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undacionluker-my.sharepoint.com/personal/nescobar_funluker_org_co/Documents/Junta directiva/Plataforma junta/Información/Cacao/"/>
    </mc:Choice>
  </mc:AlternateContent>
  <xr:revisionPtr revIDLastSave="387" documentId="8_{478BC37B-F143-4CAB-8FBD-F7F47673FB66}" xr6:coauthVersionLast="47" xr6:coauthVersionMax="47" xr10:uidLastSave="{048B4BC8-6C27-47D9-AF03-F4616CF971E3}"/>
  <bookViews>
    <workbookView xWindow="-110" yWindow="-110" windowWidth="19420" windowHeight="11500" activeTab="1" xr2:uid="{00000000-000D-0000-FFFF-FFFF00000000}"/>
  </bookViews>
  <sheets>
    <sheet name="Metadatos" sheetId="9" r:id="rId1"/>
    <sheet name="Base" sheetId="8" r:id="rId2"/>
    <sheet name="Datos" sheetId="2" state="hidden" r:id="rId3"/>
    <sheet name="Copia de Cuadro Mando" sheetId="3" state="hidden" r:id="rId4"/>
    <sheet name="Simulacion cierre 2022" sheetId="4" state="hidden" r:id="rId5"/>
  </sheets>
  <definedNames>
    <definedName name="_xlnm._FilterDatabase" localSheetId="1" hidden="1">Base!$A$1:$M$670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7" i="4" l="1"/>
  <c r="AC76" i="4"/>
  <c r="S76" i="4"/>
  <c r="L76" i="4"/>
  <c r="N76" i="4" s="1"/>
  <c r="AC75" i="4"/>
  <c r="S75" i="4"/>
  <c r="U75" i="4" s="1"/>
  <c r="L75" i="4"/>
  <c r="AB75" i="4" s="1"/>
  <c r="AF74" i="4"/>
  <c r="W74" i="4"/>
  <c r="T74" i="4"/>
  <c r="R74" i="4"/>
  <c r="Q74" i="4"/>
  <c r="P74" i="4"/>
  <c r="O74" i="4"/>
  <c r="M74" i="4"/>
  <c r="K74" i="4"/>
  <c r="AC73" i="4"/>
  <c r="AD73" i="4" s="1"/>
  <c r="X73" i="4"/>
  <c r="S72" i="4"/>
  <c r="U72" i="4" s="1"/>
  <c r="L72" i="4"/>
  <c r="N72" i="4" s="1"/>
  <c r="M71" i="4"/>
  <c r="K71" i="4"/>
  <c r="S70" i="4"/>
  <c r="U70" i="4" s="1"/>
  <c r="L70" i="4"/>
  <c r="AB70" i="4" s="1"/>
  <c r="AD70" i="4" s="1"/>
  <c r="AB69" i="4"/>
  <c r="AD69" i="4" s="1"/>
  <c r="S69" i="4"/>
  <c r="L69" i="4"/>
  <c r="AC68" i="4"/>
  <c r="S68" i="4"/>
  <c r="AB68" i="4" s="1"/>
  <c r="AC67" i="4"/>
  <c r="R67" i="4"/>
  <c r="L67" i="4"/>
  <c r="L66" i="4" s="1"/>
  <c r="G67" i="4"/>
  <c r="W66" i="4"/>
  <c r="T66" i="4"/>
  <c r="Q66" i="4"/>
  <c r="P66" i="4"/>
  <c r="O66" i="4"/>
  <c r="M66" i="4"/>
  <c r="K66" i="4"/>
  <c r="J66" i="4"/>
  <c r="I66" i="4"/>
  <c r="G66" i="4"/>
  <c r="S65" i="4"/>
  <c r="AB65" i="4" s="1"/>
  <c r="AD65" i="4" s="1"/>
  <c r="L65" i="4"/>
  <c r="N65" i="4" s="1"/>
  <c r="S64" i="4"/>
  <c r="L64" i="4"/>
  <c r="N64" i="4" s="1"/>
  <c r="S63" i="4"/>
  <c r="U63" i="4" s="1"/>
  <c r="L63" i="4"/>
  <c r="AB63" i="4" s="1"/>
  <c r="AD63" i="4" s="1"/>
  <c r="G63" i="4"/>
  <c r="D63" i="4"/>
  <c r="D80" i="4" s="1"/>
  <c r="S62" i="4"/>
  <c r="X61" i="4"/>
  <c r="S61" i="4"/>
  <c r="AB61" i="4" s="1"/>
  <c r="AD61" i="4" s="1"/>
  <c r="AC60" i="4"/>
  <c r="AB60" i="4"/>
  <c r="X60" i="4"/>
  <c r="S60" i="4"/>
  <c r="AC59" i="4"/>
  <c r="X59" i="4"/>
  <c r="P59" i="4"/>
  <c r="S59" i="4" s="1"/>
  <c r="L59" i="4"/>
  <c r="P58" i="4"/>
  <c r="O58" i="4"/>
  <c r="Q57" i="4"/>
  <c r="P57" i="4"/>
  <c r="N57" i="4"/>
  <c r="D57" i="4"/>
  <c r="W56" i="4"/>
  <c r="V56" i="4"/>
  <c r="O56" i="4"/>
  <c r="N56" i="4"/>
  <c r="D56" i="4"/>
  <c r="S55" i="4"/>
  <c r="S54" i="4"/>
  <c r="S53" i="4"/>
  <c r="AC52" i="4"/>
  <c r="S52" i="4"/>
  <c r="U52" i="4" s="1"/>
  <c r="L52" i="4"/>
  <c r="AC51" i="4"/>
  <c r="S51" i="4"/>
  <c r="U51" i="4" s="1"/>
  <c r="L51" i="4"/>
  <c r="N51" i="4" s="1"/>
  <c r="W50" i="4"/>
  <c r="T50" i="4"/>
  <c r="Q50" i="4"/>
  <c r="S50" i="4" s="1"/>
  <c r="M50" i="4"/>
  <c r="K50" i="4"/>
  <c r="AC49" i="4"/>
  <c r="AC46" i="4" s="1"/>
  <c r="S49" i="4"/>
  <c r="U49" i="4" s="1"/>
  <c r="L49" i="4"/>
  <c r="N49" i="4" s="1"/>
  <c r="S48" i="4"/>
  <c r="S58" i="4" s="1"/>
  <c r="AB58" i="4" s="1"/>
  <c r="AD58" i="4" s="1"/>
  <c r="S47" i="4"/>
  <c r="S57" i="4" s="1"/>
  <c r="AB57" i="4" s="1"/>
  <c r="AD57" i="4" s="1"/>
  <c r="L47" i="4"/>
  <c r="N47" i="4" s="1"/>
  <c r="R46" i="4"/>
  <c r="Q46" i="4"/>
  <c r="P46" i="4"/>
  <c r="O46" i="4"/>
  <c r="M46" i="4"/>
  <c r="K46" i="4"/>
  <c r="J46" i="4"/>
  <c r="I46" i="4"/>
  <c r="H46" i="4"/>
  <c r="G46" i="4"/>
  <c r="G79" i="4" s="1"/>
  <c r="F46" i="4"/>
  <c r="E46" i="4"/>
  <c r="D46" i="4"/>
  <c r="C46" i="4"/>
  <c r="B46" i="4"/>
  <c r="S45" i="4"/>
  <c r="L45" i="4"/>
  <c r="W44" i="4"/>
  <c r="AC44" i="4" s="1"/>
  <c r="S44" i="4"/>
  <c r="L44" i="4"/>
  <c r="N44" i="4" s="1"/>
  <c r="S43" i="4"/>
  <c r="U43" i="4" s="1"/>
  <c r="K43" i="4"/>
  <c r="J43" i="4"/>
  <c r="F43" i="4"/>
  <c r="AC43" i="4" s="1"/>
  <c r="E43" i="4"/>
  <c r="S42" i="4"/>
  <c r="AC41" i="4"/>
  <c r="X41" i="4"/>
  <c r="S41" i="4"/>
  <c r="U41" i="4" s="1"/>
  <c r="AC40" i="4"/>
  <c r="X40" i="4"/>
  <c r="S40" i="4"/>
  <c r="AC39" i="4"/>
  <c r="X39" i="4"/>
  <c r="S39" i="4"/>
  <c r="S38" i="4"/>
  <c r="AB38" i="4" s="1"/>
  <c r="AD38" i="4" s="1"/>
  <c r="S37" i="4"/>
  <c r="AB37" i="4" s="1"/>
  <c r="AD37" i="4" s="1"/>
  <c r="AC36" i="4"/>
  <c r="AB36" i="4"/>
  <c r="S36" i="4"/>
  <c r="AC35" i="4"/>
  <c r="S35" i="4"/>
  <c r="AB35" i="4" s="1"/>
  <c r="S34" i="4"/>
  <c r="U34" i="4" s="1"/>
  <c r="L34" i="4"/>
  <c r="AB34" i="4" s="1"/>
  <c r="AD34" i="4" s="1"/>
  <c r="D34" i="4"/>
  <c r="S33" i="4"/>
  <c r="U33" i="4" s="1"/>
  <c r="U32" i="4" s="1"/>
  <c r="L33" i="4"/>
  <c r="AB33" i="4" s="1"/>
  <c r="G33" i="4"/>
  <c r="G32" i="4" s="1"/>
  <c r="D33" i="4"/>
  <c r="D32" i="4" s="1"/>
  <c r="AC32" i="4"/>
  <c r="T32" i="4"/>
  <c r="R32" i="4"/>
  <c r="Q32" i="4"/>
  <c r="P32" i="4"/>
  <c r="O32" i="4"/>
  <c r="M32" i="4"/>
  <c r="K32" i="4"/>
  <c r="J32" i="4"/>
  <c r="I32" i="4"/>
  <c r="H32" i="4"/>
  <c r="F32" i="4"/>
  <c r="E32" i="4"/>
  <c r="C32" i="4"/>
  <c r="B32" i="4"/>
  <c r="AC31" i="4"/>
  <c r="S31" i="4"/>
  <c r="AB31" i="4" s="1"/>
  <c r="S30" i="4"/>
  <c r="U30" i="4" s="1"/>
  <c r="L30" i="4"/>
  <c r="N30" i="4" s="1"/>
  <c r="S29" i="4"/>
  <c r="L29" i="4"/>
  <c r="N29" i="4" s="1"/>
  <c r="AC28" i="4"/>
  <c r="S28" i="4"/>
  <c r="U28" i="4" s="1"/>
  <c r="L28" i="4"/>
  <c r="N28" i="4" s="1"/>
  <c r="AC27" i="4"/>
  <c r="S27" i="4"/>
  <c r="U27" i="4" s="1"/>
  <c r="L27" i="4"/>
  <c r="AC26" i="4"/>
  <c r="S26" i="4"/>
  <c r="U26" i="4" s="1"/>
  <c r="L26" i="4"/>
  <c r="AC25" i="4"/>
  <c r="S25" i="4"/>
  <c r="U25" i="4" s="1"/>
  <c r="L25" i="4"/>
  <c r="Q24" i="4"/>
  <c r="P24" i="4"/>
  <c r="O24" i="4"/>
  <c r="K24" i="4"/>
  <c r="J24" i="4"/>
  <c r="I24" i="4"/>
  <c r="H24" i="4"/>
  <c r="E24" i="4"/>
  <c r="L23" i="4"/>
  <c r="N23" i="4" s="1"/>
  <c r="J22" i="4"/>
  <c r="AC21" i="4"/>
  <c r="AC17" i="4" s="1"/>
  <c r="S21" i="4"/>
  <c r="U21" i="4" s="1"/>
  <c r="L21" i="4"/>
  <c r="AB20" i="4"/>
  <c r="AD20" i="4" s="1"/>
  <c r="AB19" i="4"/>
  <c r="AD19" i="4" s="1"/>
  <c r="AB18" i="4"/>
  <c r="AD18" i="4" s="1"/>
  <c r="T17" i="4"/>
  <c r="R17" i="4"/>
  <c r="Q17" i="4"/>
  <c r="P17" i="4"/>
  <c r="O17" i="4"/>
  <c r="M17" i="4"/>
  <c r="K17" i="4"/>
  <c r="I17" i="4"/>
  <c r="H17" i="4"/>
  <c r="D17" i="4"/>
  <c r="S16" i="4"/>
  <c r="U16" i="4" s="1"/>
  <c r="AC15" i="4"/>
  <c r="AC13" i="4" s="1"/>
  <c r="S15" i="4"/>
  <c r="L15" i="4"/>
  <c r="S14" i="4"/>
  <c r="L14" i="4"/>
  <c r="N14" i="4" s="1"/>
  <c r="T13" i="4"/>
  <c r="R13" i="4"/>
  <c r="Q13" i="4"/>
  <c r="P13" i="4"/>
  <c r="O13" i="4"/>
  <c r="M13" i="4"/>
  <c r="K13" i="4"/>
  <c r="J13" i="4"/>
  <c r="I13" i="4"/>
  <c r="AC12" i="4"/>
  <c r="S12" i="4"/>
  <c r="U12" i="4" s="1"/>
  <c r="L12" i="4"/>
  <c r="N12" i="4" s="1"/>
  <c r="X11" i="4"/>
  <c r="S11" i="4"/>
  <c r="U11" i="4" s="1"/>
  <c r="N11" i="4"/>
  <c r="G11" i="4"/>
  <c r="D11" i="4"/>
  <c r="S10" i="4"/>
  <c r="K10" i="4"/>
  <c r="L10" i="4" s="1"/>
  <c r="J10" i="4"/>
  <c r="E10" i="4"/>
  <c r="B10" i="4"/>
  <c r="O8" i="4"/>
  <c r="S8" i="4" s="1"/>
  <c r="U8" i="4" s="1"/>
  <c r="N8" i="4"/>
  <c r="AC7" i="4"/>
  <c r="AA7" i="4"/>
  <c r="Z7" i="4"/>
  <c r="Y7" i="4"/>
  <c r="X7" i="4"/>
  <c r="W7" i="4"/>
  <c r="V7" i="4"/>
  <c r="T7" i="4"/>
  <c r="Q7" i="4"/>
  <c r="P7" i="4"/>
  <c r="O7" i="4"/>
  <c r="M7" i="4"/>
  <c r="J7" i="4"/>
  <c r="I7" i="4"/>
  <c r="H7" i="4"/>
  <c r="E7" i="4"/>
  <c r="C7" i="4"/>
  <c r="B7" i="4"/>
  <c r="CO6" i="4"/>
  <c r="CN6" i="4"/>
  <c r="CM6" i="4"/>
  <c r="CL6" i="4"/>
  <c r="CK6" i="4"/>
  <c r="CJ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AE6" i="4"/>
  <c r="Z6" i="4"/>
  <c r="S6" i="4"/>
  <c r="U6" i="4" s="1"/>
  <c r="L6" i="4"/>
  <c r="G6" i="4"/>
  <c r="D6" i="4"/>
  <c r="Z5" i="4"/>
  <c r="T5" i="4"/>
  <c r="S5" i="4"/>
  <c r="M5" i="4"/>
  <c r="L5" i="4"/>
  <c r="F5" i="4"/>
  <c r="G5" i="4" s="1"/>
  <c r="C5" i="4"/>
  <c r="D5" i="4" s="1"/>
  <c r="W4" i="4"/>
  <c r="S4" i="4"/>
  <c r="AF4" i="4" s="1"/>
  <c r="L4" i="4"/>
  <c r="N4" i="4" s="1"/>
  <c r="G4" i="4"/>
  <c r="D4" i="4"/>
  <c r="Z99" i="3"/>
  <c r="AB99" i="3" s="1"/>
  <c r="Z98" i="3"/>
  <c r="S97" i="3"/>
  <c r="AG95" i="3"/>
  <c r="Z95" i="3"/>
  <c r="AF95" i="3" s="1"/>
  <c r="AG94" i="3"/>
  <c r="Z94" i="3"/>
  <c r="AB94" i="3" s="1"/>
  <c r="S94" i="3"/>
  <c r="L94" i="3"/>
  <c r="N94" i="3" s="1"/>
  <c r="AG93" i="3"/>
  <c r="Z93" i="3"/>
  <c r="L93" i="3"/>
  <c r="AA92" i="3"/>
  <c r="Y92" i="3"/>
  <c r="T92" i="3"/>
  <c r="R92" i="3"/>
  <c r="Q92" i="3"/>
  <c r="P92" i="3"/>
  <c r="O92" i="3"/>
  <c r="M92" i="3"/>
  <c r="K92" i="3"/>
  <c r="AA91" i="3"/>
  <c r="AG91" i="3" s="1"/>
  <c r="Y91" i="3"/>
  <c r="Z91" i="3" s="1"/>
  <c r="AA90" i="3"/>
  <c r="S90" i="3"/>
  <c r="U90" i="3" s="1"/>
  <c r="L90" i="3"/>
  <c r="Z88" i="3"/>
  <c r="AB88" i="3" s="1"/>
  <c r="S88" i="3"/>
  <c r="U88" i="3" s="1"/>
  <c r="L88" i="3"/>
  <c r="S87" i="3"/>
  <c r="L87" i="3"/>
  <c r="AG86" i="3"/>
  <c r="Z86" i="3"/>
  <c r="AB86" i="3" s="1"/>
  <c r="S86" i="3"/>
  <c r="U86" i="3" s="1"/>
  <c r="AG85" i="3"/>
  <c r="Z85" i="3"/>
  <c r="L85" i="3"/>
  <c r="L84" i="3" s="1"/>
  <c r="G85" i="3"/>
  <c r="AA84" i="3"/>
  <c r="T84" i="3"/>
  <c r="U84" i="3" s="1"/>
  <c r="R84" i="3"/>
  <c r="Q84" i="3"/>
  <c r="P84" i="3"/>
  <c r="O84" i="3"/>
  <c r="M84" i="3"/>
  <c r="K84" i="3"/>
  <c r="J84" i="3"/>
  <c r="I84" i="3"/>
  <c r="G84" i="3"/>
  <c r="Z83" i="3"/>
  <c r="AB83" i="3" s="1"/>
  <c r="S83" i="3"/>
  <c r="L83" i="3"/>
  <c r="N83" i="3" s="1"/>
  <c r="Z82" i="3"/>
  <c r="AB82" i="3" s="1"/>
  <c r="S82" i="3"/>
  <c r="L82" i="3"/>
  <c r="N82" i="3" s="1"/>
  <c r="Z81" i="3"/>
  <c r="AB81" i="3" s="1"/>
  <c r="S81" i="3"/>
  <c r="U81" i="3" s="1"/>
  <c r="L81" i="3"/>
  <c r="N81" i="3" s="1"/>
  <c r="G81" i="3"/>
  <c r="D81" i="3"/>
  <c r="D102" i="3" s="1"/>
  <c r="S80" i="3"/>
  <c r="Z79" i="3"/>
  <c r="S79" i="3"/>
  <c r="U79" i="3" s="1"/>
  <c r="AG78" i="3"/>
  <c r="AF78" i="3"/>
  <c r="AB78" i="3"/>
  <c r="S78" i="3"/>
  <c r="AG77" i="3"/>
  <c r="P77" i="3"/>
  <c r="S77" i="3" s="1"/>
  <c r="L77" i="3"/>
  <c r="P76" i="3"/>
  <c r="O76" i="3"/>
  <c r="Q75" i="3"/>
  <c r="P75" i="3"/>
  <c r="N75" i="3"/>
  <c r="D75" i="3"/>
  <c r="AA74" i="3"/>
  <c r="Z74" i="3"/>
  <c r="O74" i="3"/>
  <c r="N74" i="3"/>
  <c r="D74" i="3"/>
  <c r="S73" i="3"/>
  <c r="S72" i="3"/>
  <c r="S71" i="3"/>
  <c r="AG70" i="3"/>
  <c r="Z70" i="3"/>
  <c r="AB70" i="3" s="1"/>
  <c r="S70" i="3"/>
  <c r="AF70" i="3" s="1"/>
  <c r="L70" i="3"/>
  <c r="N70" i="3" s="1"/>
  <c r="AG69" i="3"/>
  <c r="AH69" i="3" s="1"/>
  <c r="AB69" i="3"/>
  <c r="S69" i="3"/>
  <c r="U69" i="3" s="1"/>
  <c r="L69" i="3"/>
  <c r="N69" i="3" s="1"/>
  <c r="AA68" i="3"/>
  <c r="Z68" i="3"/>
  <c r="Y68" i="3"/>
  <c r="T68" i="3"/>
  <c r="R68" i="3"/>
  <c r="S68" i="3" s="1"/>
  <c r="Q68" i="3"/>
  <c r="M68" i="3"/>
  <c r="K68" i="3"/>
  <c r="AG67" i="3"/>
  <c r="AG64" i="3" s="1"/>
  <c r="Z67" i="3"/>
  <c r="AB67" i="3" s="1"/>
  <c r="S67" i="3"/>
  <c r="U67" i="3" s="1"/>
  <c r="L67" i="3"/>
  <c r="N67" i="3" s="1"/>
  <c r="Z66" i="3"/>
  <c r="AB66" i="3" s="1"/>
  <c r="S66" i="3"/>
  <c r="L66" i="3"/>
  <c r="Z65" i="3"/>
  <c r="S65" i="3"/>
  <c r="S75" i="3" s="1"/>
  <c r="L65" i="3"/>
  <c r="T64" i="3"/>
  <c r="R64" i="3"/>
  <c r="Q64" i="3"/>
  <c r="P64" i="3"/>
  <c r="P74" i="3" s="1"/>
  <c r="O64" i="3"/>
  <c r="M64" i="3"/>
  <c r="K64" i="3"/>
  <c r="J64" i="3"/>
  <c r="I64" i="3"/>
  <c r="H64" i="3"/>
  <c r="G64" i="3"/>
  <c r="G101" i="3" s="1"/>
  <c r="F64" i="3"/>
  <c r="E64" i="3"/>
  <c r="D64" i="3"/>
  <c r="C64" i="3"/>
  <c r="B64" i="3"/>
  <c r="AB63" i="3"/>
  <c r="Z62" i="3"/>
  <c r="AB62" i="3" s="1"/>
  <c r="S62" i="3"/>
  <c r="L62" i="3"/>
  <c r="Z61" i="3"/>
  <c r="AB61" i="3" s="1"/>
  <c r="S61" i="3"/>
  <c r="U61" i="3" s="1"/>
  <c r="L61" i="3"/>
  <c r="N61" i="3" s="1"/>
  <c r="AA60" i="3"/>
  <c r="V60" i="3"/>
  <c r="Z60" i="3" s="1"/>
  <c r="R60" i="3"/>
  <c r="P60" i="3"/>
  <c r="K60" i="3"/>
  <c r="J60" i="3"/>
  <c r="F60" i="3"/>
  <c r="E60" i="3"/>
  <c r="S59" i="3"/>
  <c r="AG58" i="3"/>
  <c r="Z58" i="3"/>
  <c r="S58" i="3"/>
  <c r="U58" i="3" s="1"/>
  <c r="AG57" i="3"/>
  <c r="Z57" i="3"/>
  <c r="S57" i="3"/>
  <c r="U57" i="3" s="1"/>
  <c r="S56" i="3"/>
  <c r="S55" i="3"/>
  <c r="AF55" i="3" s="1"/>
  <c r="AH55" i="3" s="1"/>
  <c r="AG54" i="3"/>
  <c r="Z54" i="3"/>
  <c r="AF54" i="3" s="1"/>
  <c r="S54" i="3"/>
  <c r="AG53" i="3"/>
  <c r="AB53" i="3"/>
  <c r="S53" i="3"/>
  <c r="AF53" i="3" s="1"/>
  <c r="S47" i="3"/>
  <c r="U47" i="3" s="1"/>
  <c r="L47" i="3"/>
  <c r="D47" i="3"/>
  <c r="AH46" i="3"/>
  <c r="AB46" i="3"/>
  <c r="Z45" i="3"/>
  <c r="AB45" i="3" s="1"/>
  <c r="S45" i="3"/>
  <c r="AF44" i="3"/>
  <c r="AI44" i="3" s="1"/>
  <c r="Z44" i="3"/>
  <c r="AB44" i="3" s="1"/>
  <c r="Z43" i="3"/>
  <c r="AB43" i="3" s="1"/>
  <c r="Z42" i="3"/>
  <c r="AF42" i="3" s="1"/>
  <c r="AI42" i="3" s="1"/>
  <c r="Z41" i="3"/>
  <c r="AF41" i="3" s="1"/>
  <c r="AA40" i="3"/>
  <c r="Y40" i="3"/>
  <c r="X40" i="3"/>
  <c r="W40" i="3"/>
  <c r="V40" i="3"/>
  <c r="S40" i="3"/>
  <c r="U40" i="3" s="1"/>
  <c r="L40" i="3"/>
  <c r="N40" i="3" s="1"/>
  <c r="Z38" i="3"/>
  <c r="AB38" i="3" s="1"/>
  <c r="S38" i="3"/>
  <c r="U38" i="3" s="1"/>
  <c r="L38" i="3"/>
  <c r="N38" i="3" s="1"/>
  <c r="Z37" i="3"/>
  <c r="AB37" i="3" s="1"/>
  <c r="S37" i="3"/>
  <c r="U37" i="3" s="1"/>
  <c r="L37" i="3"/>
  <c r="N37" i="3" s="1"/>
  <c r="Z36" i="3"/>
  <c r="S36" i="3"/>
  <c r="U36" i="3" s="1"/>
  <c r="L36" i="3"/>
  <c r="N36" i="3" s="1"/>
  <c r="Z35" i="3"/>
  <c r="AB35" i="3" s="1"/>
  <c r="S35" i="3"/>
  <c r="U35" i="3" s="1"/>
  <c r="L35" i="3"/>
  <c r="Z34" i="3"/>
  <c r="AB34" i="3" s="1"/>
  <c r="S34" i="3"/>
  <c r="U34" i="3" s="1"/>
  <c r="L34" i="3"/>
  <c r="N34" i="3" s="1"/>
  <c r="AA33" i="3"/>
  <c r="Y33" i="3"/>
  <c r="X33" i="3"/>
  <c r="W33" i="3"/>
  <c r="V33" i="3"/>
  <c r="R33" i="3"/>
  <c r="Q33" i="3"/>
  <c r="P33" i="3"/>
  <c r="O33" i="3"/>
  <c r="K33" i="3"/>
  <c r="J33" i="3"/>
  <c r="I33" i="3"/>
  <c r="H33" i="3"/>
  <c r="E33" i="3"/>
  <c r="L32" i="3"/>
  <c r="N32" i="3" s="1"/>
  <c r="J31" i="3"/>
  <c r="J24" i="3" s="1"/>
  <c r="Z29" i="3"/>
  <c r="AB29" i="3" s="1"/>
  <c r="S29" i="3"/>
  <c r="U29" i="3" s="1"/>
  <c r="L29" i="3"/>
  <c r="AF28" i="3"/>
  <c r="AH28" i="3" s="1"/>
  <c r="G28" i="3"/>
  <c r="AG26" i="3"/>
  <c r="AG24" i="3" s="1"/>
  <c r="AF26" i="3"/>
  <c r="G26" i="3"/>
  <c r="AF25" i="3"/>
  <c r="G25" i="3"/>
  <c r="T24" i="3"/>
  <c r="R24" i="3"/>
  <c r="Q24" i="3"/>
  <c r="P24" i="3"/>
  <c r="O24" i="3"/>
  <c r="M24" i="3"/>
  <c r="K24" i="3"/>
  <c r="I24" i="3"/>
  <c r="H24" i="3"/>
  <c r="F24" i="3"/>
  <c r="E24" i="3"/>
  <c r="D24" i="3"/>
  <c r="D100" i="3" s="1"/>
  <c r="Z23" i="3"/>
  <c r="S23" i="3"/>
  <c r="CO21" i="3"/>
  <c r="CN21" i="3"/>
  <c r="CM21" i="3"/>
  <c r="CL21" i="3"/>
  <c r="Z21" i="3"/>
  <c r="S21" i="3"/>
  <c r="L21" i="3"/>
  <c r="N21" i="3" s="1"/>
  <c r="S20" i="3"/>
  <c r="L20" i="3"/>
  <c r="AG19" i="3"/>
  <c r="V19" i="3"/>
  <c r="T19" i="3"/>
  <c r="R19" i="3"/>
  <c r="Q19" i="3"/>
  <c r="P19" i="3"/>
  <c r="O19" i="3"/>
  <c r="M19" i="3"/>
  <c r="K19" i="3"/>
  <c r="J19" i="3"/>
  <c r="I19" i="3"/>
  <c r="CQ16" i="3"/>
  <c r="CP16" i="3"/>
  <c r="CO16" i="3"/>
  <c r="CN16" i="3"/>
  <c r="CM16" i="3"/>
  <c r="CL16" i="3"/>
  <c r="Y14" i="3"/>
  <c r="W14" i="3"/>
  <c r="AG12" i="3"/>
  <c r="S12" i="3"/>
  <c r="U12" i="3" s="1"/>
  <c r="L12" i="3"/>
  <c r="S11" i="3"/>
  <c r="U11" i="3" s="1"/>
  <c r="N11" i="3"/>
  <c r="G11" i="3"/>
  <c r="D11" i="3"/>
  <c r="CP10" i="3"/>
  <c r="CO10" i="3"/>
  <c r="CN10" i="3"/>
  <c r="CM10" i="3"/>
  <c r="CL10" i="3"/>
  <c r="CK10" i="3"/>
  <c r="CJ10" i="3"/>
  <c r="CI10" i="3"/>
  <c r="CH10" i="3"/>
  <c r="S10" i="3"/>
  <c r="K10" i="3"/>
  <c r="L10" i="3" s="1"/>
  <c r="J10" i="3"/>
  <c r="E10" i="3"/>
  <c r="B10" i="3"/>
  <c r="AG8" i="3"/>
  <c r="U8" i="3"/>
  <c r="N8" i="3"/>
  <c r="AB7" i="3"/>
  <c r="S7" i="3"/>
  <c r="U7" i="3" s="1"/>
  <c r="L7" i="3"/>
  <c r="L6" i="3" s="1"/>
  <c r="G7" i="3"/>
  <c r="D7" i="3"/>
  <c r="D6" i="3" s="1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AG6" i="3"/>
  <c r="AE6" i="3"/>
  <c r="AC6" i="3"/>
  <c r="AA6" i="3"/>
  <c r="Z6" i="3"/>
  <c r="T6" i="3"/>
  <c r="Q6" i="3"/>
  <c r="P6" i="3"/>
  <c r="O6" i="3"/>
  <c r="M6" i="3"/>
  <c r="J6" i="3"/>
  <c r="I6" i="3"/>
  <c r="H6" i="3"/>
  <c r="E6" i="3"/>
  <c r="C6" i="3"/>
  <c r="B6" i="3"/>
  <c r="AG5" i="3"/>
  <c r="Z5" i="3"/>
  <c r="T5" i="3"/>
  <c r="S5" i="3"/>
  <c r="M5" i="3"/>
  <c r="L5" i="3"/>
  <c r="F5" i="3"/>
  <c r="G5" i="3" s="1"/>
  <c r="C5" i="3"/>
  <c r="D5" i="3" s="1"/>
  <c r="AA4" i="3"/>
  <c r="AA5" i="3" s="1"/>
  <c r="Z4" i="3"/>
  <c r="S4" i="3"/>
  <c r="U4" i="3" s="1"/>
  <c r="L4" i="3"/>
  <c r="N4" i="3" s="1"/>
  <c r="G4" i="3"/>
  <c r="D4" i="3"/>
  <c r="K16" i="2"/>
  <c r="M16" i="2" s="1"/>
  <c r="G16" i="2"/>
  <c r="K15" i="2"/>
  <c r="M15" i="2" s="1"/>
  <c r="G15" i="2"/>
  <c r="K14" i="2"/>
  <c r="M14" i="2" s="1"/>
  <c r="G14" i="2"/>
  <c r="K13" i="2"/>
  <c r="M13" i="2" s="1"/>
  <c r="G13" i="2"/>
  <c r="F12" i="2"/>
  <c r="E12" i="2"/>
  <c r="K12" i="2" s="1"/>
  <c r="M12" i="2" s="1"/>
  <c r="D12" i="2"/>
  <c r="C12" i="2"/>
  <c r="B12" i="2"/>
  <c r="A12" i="2"/>
  <c r="AB91" i="3" l="1"/>
  <c r="AD75" i="4"/>
  <c r="N5" i="3"/>
  <c r="AB68" i="3"/>
  <c r="AC66" i="4"/>
  <c r="AC74" i="4"/>
  <c r="G24" i="3"/>
  <c r="G103" i="3" s="1"/>
  <c r="G12" i="2"/>
  <c r="L71" i="4"/>
  <c r="AB71" i="4" s="1"/>
  <c r="AD71" i="4" s="1"/>
  <c r="AF32" i="3"/>
  <c r="AH32" i="3" s="1"/>
  <c r="Z19" i="3"/>
  <c r="AH95" i="3"/>
  <c r="AB21" i="4"/>
  <c r="AD21" i="4" s="1"/>
  <c r="AB6" i="3"/>
  <c r="AF29" i="3"/>
  <c r="AH29" i="3" s="1"/>
  <c r="AH53" i="3"/>
  <c r="AH54" i="3"/>
  <c r="AF93" i="3"/>
  <c r="AH93" i="3" s="1"/>
  <c r="D78" i="4"/>
  <c r="AD35" i="4"/>
  <c r="AD36" i="4"/>
  <c r="L43" i="4"/>
  <c r="N43" i="4" s="1"/>
  <c r="U50" i="4"/>
  <c r="AD68" i="4"/>
  <c r="S74" i="4"/>
  <c r="U74" i="4" s="1"/>
  <c r="N75" i="4"/>
  <c r="AF35" i="3"/>
  <c r="AH35" i="3" s="1"/>
  <c r="AB4" i="4"/>
  <c r="AE4" i="4" s="1"/>
  <c r="AG4" i="4" s="1"/>
  <c r="D81" i="4"/>
  <c r="AB11" i="4"/>
  <c r="AD11" i="4" s="1"/>
  <c r="AH78" i="3"/>
  <c r="U5" i="4"/>
  <c r="AB45" i="4"/>
  <c r="AD45" i="4" s="1"/>
  <c r="S6" i="3"/>
  <c r="U6" i="3" s="1"/>
  <c r="AF21" i="3"/>
  <c r="AH21" i="3" s="1"/>
  <c r="D101" i="3"/>
  <c r="S13" i="4"/>
  <c r="U13" i="4" s="1"/>
  <c r="N29" i="3"/>
  <c r="AF58" i="3"/>
  <c r="AH58" i="3" s="1"/>
  <c r="S60" i="3"/>
  <c r="U60" i="3" s="1"/>
  <c r="AF62" i="3"/>
  <c r="AH62" i="3" s="1"/>
  <c r="S64" i="3"/>
  <c r="U64" i="3" s="1"/>
  <c r="Z84" i="3"/>
  <c r="AB84" i="3" s="1"/>
  <c r="S92" i="3"/>
  <c r="U92" i="3" s="1"/>
  <c r="AF99" i="3"/>
  <c r="AH99" i="3" s="1"/>
  <c r="S7" i="4"/>
  <c r="U7" i="4" s="1"/>
  <c r="AB23" i="4"/>
  <c r="AD23" i="4" s="1"/>
  <c r="U48" i="4"/>
  <c r="AB52" i="4"/>
  <c r="AD52" i="4" s="1"/>
  <c r="AD60" i="4"/>
  <c r="AF77" i="3"/>
  <c r="AH77" i="3" s="1"/>
  <c r="AF94" i="3"/>
  <c r="AH94" i="3" s="1"/>
  <c r="AB16" i="4"/>
  <c r="AD16" i="4" s="1"/>
  <c r="U5" i="3"/>
  <c r="AF11" i="3"/>
  <c r="AH11" i="3" s="1"/>
  <c r="AF34" i="3"/>
  <c r="AH34" i="3" s="1"/>
  <c r="AF43" i="3"/>
  <c r="AH43" i="3" s="1"/>
  <c r="L60" i="3"/>
  <c r="N60" i="3" s="1"/>
  <c r="AF87" i="3"/>
  <c r="AH87" i="3" s="1"/>
  <c r="N5" i="4"/>
  <c r="AB48" i="4"/>
  <c r="AD48" i="4" s="1"/>
  <c r="AF20" i="3"/>
  <c r="AH20" i="3" s="1"/>
  <c r="L19" i="3"/>
  <c r="N19" i="3" s="1"/>
  <c r="AB59" i="4"/>
  <c r="AD59" i="4" s="1"/>
  <c r="U59" i="4"/>
  <c r="L31" i="3"/>
  <c r="N31" i="3" s="1"/>
  <c r="AB42" i="3"/>
  <c r="AF66" i="3"/>
  <c r="AH66" i="3" s="1"/>
  <c r="U66" i="3"/>
  <c r="AB28" i="4"/>
  <c r="AD28" i="4" s="1"/>
  <c r="AB44" i="4"/>
  <c r="U44" i="4"/>
  <c r="U47" i="4"/>
  <c r="AB98" i="3"/>
  <c r="AF98" i="3"/>
  <c r="AH98" i="3" s="1"/>
  <c r="AC4" i="4"/>
  <c r="AC5" i="4" s="1"/>
  <c r="W5" i="4"/>
  <c r="AB39" i="4"/>
  <c r="AD39" i="4" s="1"/>
  <c r="U39" i="4"/>
  <c r="AF4" i="3"/>
  <c r="AH4" i="3" s="1"/>
  <c r="S19" i="3"/>
  <c r="U19" i="3" s="1"/>
  <c r="N20" i="3"/>
  <c r="AB54" i="3"/>
  <c r="AF57" i="3"/>
  <c r="AH57" i="3" s="1"/>
  <c r="AH70" i="3"/>
  <c r="U94" i="3"/>
  <c r="D103" i="3"/>
  <c r="L33" i="3"/>
  <c r="N33" i="3" s="1"/>
  <c r="S33" i="3"/>
  <c r="U33" i="3" s="1"/>
  <c r="N35" i="3"/>
  <c r="Z40" i="3"/>
  <c r="AB40" i="3" s="1"/>
  <c r="AF56" i="3"/>
  <c r="AH56" i="3" s="1"/>
  <c r="U56" i="3"/>
  <c r="L68" i="3"/>
  <c r="N68" i="3" s="1"/>
  <c r="AF68" i="3"/>
  <c r="U70" i="3"/>
  <c r="AF79" i="3"/>
  <c r="AH79" i="3" s="1"/>
  <c r="AB79" i="3"/>
  <c r="AB85" i="3"/>
  <c r="AG92" i="3"/>
  <c r="D7" i="4"/>
  <c r="N33" i="4"/>
  <c r="N32" i="4" s="1"/>
  <c r="L50" i="4"/>
  <c r="N50" i="4" s="1"/>
  <c r="N52" i="4"/>
  <c r="N63" i="4"/>
  <c r="AB64" i="4"/>
  <c r="AD64" i="4" s="1"/>
  <c r="U64" i="4"/>
  <c r="AB4" i="3"/>
  <c r="AB5" i="3"/>
  <c r="G6" i="3"/>
  <c r="AH26" i="3"/>
  <c r="AB60" i="3"/>
  <c r="Z64" i="3"/>
  <c r="AB64" i="3" s="1"/>
  <c r="N84" i="3"/>
  <c r="AF85" i="3"/>
  <c r="AH85" i="3" s="1"/>
  <c r="AF88" i="3"/>
  <c r="AI88" i="3" s="1"/>
  <c r="N88" i="3"/>
  <c r="L92" i="3"/>
  <c r="N93" i="3"/>
  <c r="G81" i="4"/>
  <c r="G7" i="4"/>
  <c r="L32" i="4"/>
  <c r="U40" i="4"/>
  <c r="AB40" i="4"/>
  <c r="AD40" i="4" s="1"/>
  <c r="AB6" i="4"/>
  <c r="AD6" i="4" s="1"/>
  <c r="AB15" i="4"/>
  <c r="AD15" i="4" s="1"/>
  <c r="AB25" i="4"/>
  <c r="AD25" i="4" s="1"/>
  <c r="AB30" i="4"/>
  <c r="AE30" i="4" s="1"/>
  <c r="AE31" i="4" s="1"/>
  <c r="S46" i="4"/>
  <c r="AB47" i="4"/>
  <c r="AD47" i="4" s="1"/>
  <c r="AF5" i="3"/>
  <c r="AH5" i="3" s="1"/>
  <c r="N6" i="3"/>
  <c r="AF7" i="3"/>
  <c r="AH7" i="3" s="1"/>
  <c r="AF23" i="3"/>
  <c r="AH23" i="3" s="1"/>
  <c r="S24" i="3"/>
  <c r="U24" i="3" s="1"/>
  <c r="AF67" i="3"/>
  <c r="AH67" i="3" s="1"/>
  <c r="U68" i="3"/>
  <c r="AF81" i="3"/>
  <c r="AH81" i="3" s="1"/>
  <c r="AF83" i="3"/>
  <c r="AI83" i="3" s="1"/>
  <c r="AG84" i="3"/>
  <c r="Z92" i="3"/>
  <c r="AB92" i="3" s="1"/>
  <c r="N6" i="4"/>
  <c r="AB14" i="4"/>
  <c r="AD14" i="4" s="1"/>
  <c r="N15" i="4"/>
  <c r="S17" i="4"/>
  <c r="U17" i="4" s="1"/>
  <c r="L24" i="4"/>
  <c r="N24" i="4" s="1"/>
  <c r="S24" i="4"/>
  <c r="AF24" i="4" s="1"/>
  <c r="AG24" i="4" s="1"/>
  <c r="AH24" i="4" s="1"/>
  <c r="N25" i="4"/>
  <c r="AB26" i="4"/>
  <c r="AD26" i="4" s="1"/>
  <c r="AD31" i="4"/>
  <c r="S32" i="4"/>
  <c r="U37" i="4"/>
  <c r="D79" i="4"/>
  <c r="L46" i="4"/>
  <c r="N46" i="4" s="1"/>
  <c r="AB49" i="4"/>
  <c r="AD49" i="4" s="1"/>
  <c r="U61" i="4"/>
  <c r="G80" i="4"/>
  <c r="U65" i="4"/>
  <c r="AB72" i="4"/>
  <c r="AD72" i="4" s="1"/>
  <c r="AF47" i="3"/>
  <c r="AH47" i="3" s="1"/>
  <c r="N47" i="3"/>
  <c r="J17" i="4"/>
  <c r="L22" i="4"/>
  <c r="L17" i="4" s="1"/>
  <c r="N17" i="4" s="1"/>
  <c r="AB29" i="4"/>
  <c r="AD29" i="4" s="1"/>
  <c r="U29" i="4"/>
  <c r="AH41" i="3"/>
  <c r="AI41" i="3"/>
  <c r="AF61" i="3"/>
  <c r="AC50" i="4"/>
  <c r="AD51" i="4"/>
  <c r="Z33" i="3"/>
  <c r="AB36" i="3"/>
  <c r="AF45" i="3"/>
  <c r="Y90" i="3"/>
  <c r="Z90" i="3" s="1"/>
  <c r="N90" i="3"/>
  <c r="AB76" i="4"/>
  <c r="AD76" i="4" s="1"/>
  <c r="U76" i="4"/>
  <c r="AF75" i="3"/>
  <c r="AH75" i="3" s="1"/>
  <c r="U75" i="3"/>
  <c r="R66" i="4"/>
  <c r="S66" i="4" s="1"/>
  <c r="S67" i="4"/>
  <c r="AB67" i="4" s="1"/>
  <c r="AD67" i="4" s="1"/>
  <c r="AF65" i="3"/>
  <c r="N65" i="3"/>
  <c r="L64" i="3"/>
  <c r="N64" i="3" s="1"/>
  <c r="AB32" i="4"/>
  <c r="AD32" i="4" s="1"/>
  <c r="AD33" i="4"/>
  <c r="AF12" i="3"/>
  <c r="AH12" i="3" s="1"/>
  <c r="G102" i="3"/>
  <c r="AF82" i="3"/>
  <c r="U82" i="3"/>
  <c r="AB27" i="4"/>
  <c r="AD27" i="4" s="1"/>
  <c r="N27" i="4"/>
  <c r="N7" i="3"/>
  <c r="S76" i="3"/>
  <c r="AF76" i="3" s="1"/>
  <c r="AH76" i="3" s="1"/>
  <c r="AF91" i="3"/>
  <c r="AH91" i="3" s="1"/>
  <c r="U4" i="4"/>
  <c r="AB41" i="4"/>
  <c r="AD41" i="4" s="1"/>
  <c r="N70" i="4"/>
  <c r="L74" i="4"/>
  <c r="N12" i="3"/>
  <c r="U23" i="3"/>
  <c r="U45" i="3"/>
  <c r="AF86" i="3"/>
  <c r="AH86" i="3" s="1"/>
  <c r="L7" i="4"/>
  <c r="N7" i="4" s="1"/>
  <c r="AB12" i="4"/>
  <c r="AD12" i="4" s="1"/>
  <c r="P56" i="4"/>
  <c r="AB74" i="3"/>
  <c r="N66" i="4"/>
  <c r="AH25" i="3"/>
  <c r="AF36" i="3"/>
  <c r="AH36" i="3" s="1"/>
  <c r="AF37" i="3"/>
  <c r="AH37" i="3" s="1"/>
  <c r="AF38" i="3"/>
  <c r="AH38" i="3" s="1"/>
  <c r="AH42" i="3"/>
  <c r="U55" i="3"/>
  <c r="U83" i="3"/>
  <c r="AB5" i="4"/>
  <c r="N21" i="4"/>
  <c r="N26" i="4"/>
  <c r="N34" i="4"/>
  <c r="AB41" i="3"/>
  <c r="AB58" i="3"/>
  <c r="AH44" i="3"/>
  <c r="AB57" i="3"/>
  <c r="AG68" i="3"/>
  <c r="U77" i="3"/>
  <c r="AB95" i="3"/>
  <c r="U31" i="4"/>
  <c r="U38" i="4"/>
  <c r="X56" i="4"/>
  <c r="U57" i="4"/>
  <c r="L13" i="4"/>
  <c r="N13" i="4" s="1"/>
  <c r="S74" i="3" l="1"/>
  <c r="U74" i="3" s="1"/>
  <c r="AH68" i="3"/>
  <c r="AI87" i="3"/>
  <c r="AD30" i="4"/>
  <c r="AF6" i="3"/>
  <c r="AH6" i="3" s="1"/>
  <c r="O71" i="4"/>
  <c r="S71" i="4" s="1"/>
  <c r="U71" i="4" s="1"/>
  <c r="AB43" i="4"/>
  <c r="AD43" i="4" s="1"/>
  <c r="AD4" i="4"/>
  <c r="AI43" i="3"/>
  <c r="AD44" i="4"/>
  <c r="AF40" i="3"/>
  <c r="AI40" i="3" s="1"/>
  <c r="N71" i="4"/>
  <c r="AF84" i="3"/>
  <c r="AB13" i="4"/>
  <c r="AD13" i="4" s="1"/>
  <c r="AB50" i="4"/>
  <c r="AD50" i="4" s="1"/>
  <c r="AF19" i="3"/>
  <c r="AH19" i="3" s="1"/>
  <c r="AH83" i="3"/>
  <c r="AH88" i="3"/>
  <c r="U24" i="4"/>
  <c r="AF8" i="3"/>
  <c r="U46" i="4"/>
  <c r="S56" i="4"/>
  <c r="AD5" i="4"/>
  <c r="AB46" i="4"/>
  <c r="AD46" i="4" s="1"/>
  <c r="AB24" i="4"/>
  <c r="AD24" i="4" s="1"/>
  <c r="N92" i="3"/>
  <c r="AF92" i="3"/>
  <c r="AF31" i="3"/>
  <c r="L24" i="3"/>
  <c r="N24" i="3" s="1"/>
  <c r="U66" i="4"/>
  <c r="AB66" i="4"/>
  <c r="AI45" i="3"/>
  <c r="AH45" i="3"/>
  <c r="AB33" i="3"/>
  <c r="AH82" i="3"/>
  <c r="AI82" i="3"/>
  <c r="AH65" i="3"/>
  <c r="AF64" i="3"/>
  <c r="AH64" i="3" s="1"/>
  <c r="AB90" i="3"/>
  <c r="AF90" i="3"/>
  <c r="AH90" i="3" s="1"/>
  <c r="AF33" i="3"/>
  <c r="AH61" i="3"/>
  <c r="AF60" i="3"/>
  <c r="AH60" i="3" s="1"/>
  <c r="AB74" i="4"/>
  <c r="N74" i="4"/>
  <c r="AB7" i="4"/>
  <c r="AD7" i="4" s="1"/>
  <c r="AB22" i="4"/>
  <c r="N22" i="4"/>
  <c r="AF74" i="3" l="1"/>
  <c r="AH74" i="3" s="1"/>
  <c r="AH40" i="3"/>
  <c r="N80" i="4"/>
  <c r="AH84" i="3"/>
  <c r="AI84" i="3"/>
  <c r="N102" i="3"/>
  <c r="AH31" i="3"/>
  <c r="AF24" i="3"/>
  <c r="AH24" i="3" s="1"/>
  <c r="U56" i="4"/>
  <c r="AB56" i="4"/>
  <c r="AD56" i="4" s="1"/>
  <c r="AH92" i="3"/>
  <c r="AI92" i="3"/>
  <c r="AI33" i="3"/>
  <c r="AJ33" i="3" s="1"/>
  <c r="AJ35" i="3" s="1"/>
  <c r="AH33" i="3"/>
  <c r="AD66" i="4"/>
  <c r="AE66" i="4"/>
  <c r="AD22" i="4"/>
  <c r="AB17" i="4"/>
  <c r="AD17" i="4" s="1"/>
  <c r="AE74" i="4"/>
  <c r="AG74" i="4" s="1"/>
  <c r="AD7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4" authorId="0" shapeId="0" xr:uid="{5C4B8630-A1D3-4C04-A7F9-7EF6412A9F91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49" authorId="0" shapeId="0" xr:uid="{D9C51887-68A6-4E4F-82A9-5BAF9050316D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H49" authorId="0" shapeId="0" xr:uid="{D6E6E213-F007-4B20-823C-E3EC5FE81AAE}">
      <text>
        <r>
          <rPr>
            <sz val="11"/>
            <color theme="1"/>
            <rFont val="Calibri"/>
            <family val="2"/>
            <scheme val="minor"/>
          </rPr>
          <t xml:space="preserve">Aux Administrativo 34
Mercadeo y Ventas  27
</t>
        </r>
      </text>
    </comment>
    <comment ref="E62" authorId="0" shapeId="0" xr:uid="{B4C8A4B2-52A6-4C8C-B513-E5FF437E4451}">
      <text>
        <r>
          <rPr>
            <sz val="11"/>
            <color theme="1"/>
            <rFont val="Calibri"/>
            <family val="2"/>
            <scheme val="minor"/>
          </rPr>
          <t>1.12 # of hectares where sustainable production/ farm rehabilitation/ sustainable intensification interventions are implemented</t>
        </r>
      </text>
    </comment>
    <comment ref="E75" authorId="0" shapeId="0" xr:uid="{8E307376-CFE4-47E1-8DF4-81A3DA11F275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76" authorId="0" shapeId="0" xr:uid="{5FA6A61C-C8C2-4BC6-941B-A03FD22C5BDD}">
      <text>
        <r>
          <rPr>
            <sz val="11"/>
            <color theme="1"/>
            <rFont val="Calibri"/>
            <family val="2"/>
            <scheme val="minor"/>
          </rPr>
          <t xml:space="preserve">identificadas 143
Capacitadas 87
mejoradas </t>
        </r>
      </text>
    </comment>
    <comment ref="E81" authorId="0" shapeId="0" xr:uid="{C293B7C4-9A0A-4CB8-B6D7-E81BEF74B597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H81" authorId="0" shapeId="0" xr:uid="{D6D22FEB-8D00-441E-85B2-2DD4D2AEB89E}">
      <text>
        <r>
          <rPr>
            <sz val="11"/>
            <color theme="1"/>
            <rFont val="Calibri"/>
            <family val="2"/>
            <scheme val="minor"/>
          </rPr>
          <t xml:space="preserve">Administrativo 21
agricultura 30
mercadeo 26
Turismo 32
</t>
        </r>
      </text>
    </comment>
    <comment ref="E96" authorId="0" shapeId="0" xr:uid="{7F13521C-863B-4CC9-BD48-B27A8AFE5744}">
      <text>
        <r>
          <rPr>
            <sz val="11"/>
            <color theme="1"/>
            <rFont val="Calibri"/>
            <family val="2"/>
            <scheme val="minor"/>
          </rPr>
          <t>1.12 # of hectares where sustainable production/ farm rehabilitation/ sustainable intensification interventions are implemented</t>
        </r>
      </text>
    </comment>
    <comment ref="E112" authorId="0" shapeId="0" xr:uid="{628B4265-A73D-4113-9E68-224F9F4B29B1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113" authorId="0" shapeId="0" xr:uid="{97D1F3AA-4759-40FF-A270-E98E16F0822C}">
      <text>
        <r>
          <rPr>
            <sz val="11"/>
            <color theme="1"/>
            <rFont val="Calibri"/>
            <family val="2"/>
            <scheme val="minor"/>
          </rPr>
          <t xml:space="preserve">identificadas 143
Capacitadas 87
mejoradas </t>
        </r>
      </text>
    </comment>
    <comment ref="E118" authorId="0" shapeId="0" xr:uid="{3AA1F440-A528-45A3-8787-BD775DEE9FD8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H118" authorId="0" shapeId="0" xr:uid="{73B7FE1F-4A51-4E49-8A8A-49D3D5D9BC87}">
      <text>
        <r>
          <rPr>
            <sz val="11"/>
            <color theme="1"/>
            <rFont val="Calibri"/>
            <family val="2"/>
            <scheme val="minor"/>
          </rPr>
          <t xml:space="preserve">turismo 37
agricultura 33
administrativo 21
mercadeo 27
</t>
        </r>
      </text>
    </comment>
    <comment ref="E119" authorId="0" shapeId="0" xr:uid="{6AD76E28-8658-4270-A9DD-5DF83BD094BD}">
      <text>
        <r>
          <rPr>
            <sz val="11"/>
            <color theme="1"/>
            <rFont val="Calibri"/>
            <family val="2"/>
            <scheme val="minor"/>
          </rPr>
          <t xml:space="preserve">- TL Sistemas informáticos /alto mira frontera
- TL Asistente contable y financiero/robles
TL Asistente administrativo /Chilvi
TL Servicio Social /
</t>
        </r>
      </text>
    </comment>
    <comment ref="E129" authorId="0" shapeId="0" xr:uid="{76A5A00D-9E8B-4135-BA4C-0C4EEF43C202}">
      <text>
        <r>
          <rPr>
            <sz val="11"/>
            <color theme="1"/>
            <rFont val="Calibri"/>
            <family val="2"/>
            <scheme val="minor"/>
          </rPr>
          <t>1.12 # of hectares where sustainable production/ farm rehabilitation/ sustainable intensification interventions are implemented</t>
        </r>
      </text>
    </comment>
    <comment ref="E154" authorId="0" shapeId="0" xr:uid="{F7DD6F71-7075-4575-8C74-C6B456DB62AC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155" authorId="0" shapeId="0" xr:uid="{39AF2B06-7798-4AF6-9422-52002F3B41AD}">
      <text>
        <r>
          <rPr>
            <sz val="11"/>
            <color theme="1"/>
            <rFont val="Calibri"/>
            <family val="2"/>
            <scheme val="minor"/>
          </rPr>
          <t xml:space="preserve">identificadas 143
Capacitadas 87
mejoradas </t>
        </r>
      </text>
    </comment>
    <comment ref="E160" authorId="0" shapeId="0" xr:uid="{EE082626-F872-4816-8F4A-A25B39635BFE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161" authorId="0" shapeId="0" xr:uid="{5F128958-7297-4524-A038-17CF616095FD}">
      <text>
        <r>
          <rPr>
            <sz val="11"/>
            <color theme="1"/>
            <rFont val="Calibri"/>
            <family val="2"/>
            <scheme val="minor"/>
          </rPr>
          <t xml:space="preserve">- TL Sistemas informáticos /alto mira frontera
- TL Asistente contable y financiero/robles
TL Asistente administrativo /Chilvi
TL Servicio Social /
</t>
        </r>
      </text>
    </comment>
    <comment ref="H161" authorId="0" shapeId="0" xr:uid="{706EA93C-3C40-430A-A41D-30B316F8729C}">
      <text>
        <r>
          <rPr>
            <sz val="11"/>
            <color theme="1"/>
            <rFont val="Calibri"/>
            <family val="2"/>
            <scheme val="minor"/>
          </rPr>
          <t xml:space="preserve">•	Tecnico laboral en Asistente Administrativo 
•	Tecnico laboral en auxiliar Contable y Financiero 
•	Tecnico laboral en Sistemas Informáticos 
</t>
        </r>
      </text>
    </comment>
    <comment ref="H167" authorId="0" shapeId="0" xr:uid="{FC81726A-7305-4909-A740-C16E7696EE87}">
      <text>
        <r>
          <rPr>
            <sz val="11"/>
            <color theme="1"/>
            <rFont val="Calibri"/>
            <family val="2"/>
            <scheme val="minor"/>
          </rPr>
          <t>debemos sacar un 83% de mejoramiento para llegar a 80 finald</t>
        </r>
      </text>
    </comment>
    <comment ref="E169" authorId="0" shapeId="0" xr:uid="{AF707BBA-9A5C-4BB1-88BF-F0D3B35B4629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170" authorId="0" shapeId="0" xr:uid="{2F22295E-72D9-4AC5-9A93-358ABC670565}">
      <text>
        <r>
          <rPr>
            <sz val="11"/>
            <color theme="1"/>
            <rFont val="Calibri"/>
            <family val="2"/>
            <scheme val="minor"/>
          </rPr>
          <t xml:space="preserve">- TL Sistemas informáticos /alto mira frontera
- TL Asistente contable y financiero/robles
TL Asistente administrativo /Chilvi
TL Servicio Social /
</t>
        </r>
      </text>
    </comment>
    <comment ref="H170" authorId="0" shapeId="0" xr:uid="{3C413185-2B9E-4557-88A4-0FE6FEE6C3DB}">
      <text>
        <r>
          <rPr>
            <sz val="11"/>
            <color theme="1"/>
            <rFont val="Calibri"/>
            <family val="2"/>
            <scheme val="minor"/>
          </rPr>
          <t>POr REPORTar USAID graduados jul- sep 2023</t>
        </r>
      </text>
    </comment>
    <comment ref="E213" authorId="0" shapeId="0" xr:uid="{33064CB1-7DBC-4700-9DF9-74343621EC70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218" authorId="0" shapeId="0" xr:uid="{94747205-AE64-4E4F-A818-468995754876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231" authorId="0" shapeId="0" xr:uid="{14BA3605-EBFA-4297-936F-EC470BC323E4}">
      <text>
        <r>
          <rPr>
            <sz val="11"/>
            <color theme="1"/>
            <rFont val="Calibri"/>
            <family val="2"/>
            <scheme val="minor"/>
          </rPr>
          <t>1.12 # of hectares where sustainable production/ farm rehabilitation/ sustainable intensification interventions are implemented</t>
        </r>
      </text>
    </comment>
    <comment ref="E244" authorId="0" shapeId="0" xr:uid="{49760D0F-D729-47CA-8F75-D019A82010BB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245" authorId="0" shapeId="0" xr:uid="{3E784369-DB3B-4FAC-B2F0-C74CC141D34E}">
      <text>
        <r>
          <rPr>
            <sz val="11"/>
            <color theme="1"/>
            <rFont val="Calibri"/>
            <family val="2"/>
            <scheme val="minor"/>
          </rPr>
          <t xml:space="preserve">identificadas 143
Capacitadas 87
mejoradas </t>
        </r>
      </text>
    </comment>
    <comment ref="E250" authorId="0" shapeId="0" xr:uid="{5AC8B548-676E-4ED5-A638-34E909EB5C35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264" authorId="0" shapeId="0" xr:uid="{862B0D20-85E5-443A-8F82-9F6155079E51}">
      <text>
        <r>
          <rPr>
            <sz val="11"/>
            <color theme="1"/>
            <rFont val="Calibri"/>
            <family val="2"/>
            <scheme val="minor"/>
          </rPr>
          <t>1.12 # of hectares where sustainable production/ farm rehabilitation/ sustainable intensification interventions are implemented</t>
        </r>
      </text>
    </comment>
    <comment ref="E280" authorId="0" shapeId="0" xr:uid="{BBD78F60-423C-401F-9016-7232E878B654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281" authorId="0" shapeId="0" xr:uid="{559B15E4-D225-42D5-9206-E47320F1C131}">
      <text>
        <r>
          <rPr>
            <sz val="11"/>
            <color theme="1"/>
            <rFont val="Calibri"/>
            <family val="2"/>
            <scheme val="minor"/>
          </rPr>
          <t xml:space="preserve">identificadas 143
Capacitadas 87
mejoradas </t>
        </r>
      </text>
    </comment>
    <comment ref="E286" authorId="0" shapeId="0" xr:uid="{2DC9253B-9D6C-42AD-826E-8498B81C56F7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287" authorId="0" shapeId="0" xr:uid="{937FAE70-E733-4A05-8408-E5D0E750E3FE}">
      <text>
        <r>
          <rPr>
            <sz val="11"/>
            <color theme="1"/>
            <rFont val="Calibri"/>
            <family val="2"/>
            <scheme val="minor"/>
          </rPr>
          <t xml:space="preserve">- TL Sistemas informáticos /alto mira frontera
- TL Asistente contable y financiero/robles
TL Asistente administrativo /Chilvi
TL Servicio Social /
</t>
        </r>
      </text>
    </comment>
    <comment ref="E297" authorId="0" shapeId="0" xr:uid="{CCDCF80E-7ED2-48ED-AE01-A448E8C9EE7F}">
      <text>
        <r>
          <rPr>
            <sz val="11"/>
            <color theme="1"/>
            <rFont val="Calibri"/>
            <family val="2"/>
            <scheme val="minor"/>
          </rPr>
          <t>1.12 # of hectares where sustainable production/ farm rehabilitation/ sustainable intensification interventions are implemented</t>
        </r>
      </text>
    </comment>
    <comment ref="E322" authorId="0" shapeId="0" xr:uid="{5519CA7C-271B-45D8-9AB9-401427CA9CB2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323" authorId="0" shapeId="0" xr:uid="{C663EBDA-F5A5-4589-8202-69416A156778}">
      <text>
        <r>
          <rPr>
            <sz val="11"/>
            <color theme="1"/>
            <rFont val="Calibri"/>
            <family val="2"/>
            <scheme val="minor"/>
          </rPr>
          <t xml:space="preserve">identificadas 143
Capacitadas 87
mejoradas </t>
        </r>
      </text>
    </comment>
    <comment ref="E328" authorId="0" shapeId="0" xr:uid="{6ACF0BF7-0AD8-4156-9636-FB63B8F0D212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329" authorId="0" shapeId="0" xr:uid="{EA219B1F-B0DB-4883-AEF4-558C879245A1}">
      <text>
        <r>
          <rPr>
            <sz val="11"/>
            <color theme="1"/>
            <rFont val="Calibri"/>
            <family val="2"/>
            <scheme val="minor"/>
          </rPr>
          <t xml:space="preserve">- TL Sistemas informáticos /alto mira frontera
- TL Asistente contable y financiero/robles
TL Asistente administrativo /Chilvi
TL Servicio Social /
</t>
        </r>
      </text>
    </comment>
    <comment ref="H332" authorId="0" shapeId="0" xr:uid="{5B3674A8-0715-4D71-AF6E-CCEC701EDA42}">
      <text>
        <r>
          <rPr>
            <sz val="11"/>
            <color theme="1"/>
            <rFont val="Calibri"/>
            <family val="2"/>
            <scheme val="minor"/>
          </rPr>
          <t>200 personas: 
50 antiguos (25%) - 150 nuevos (75%)
De las 150 Nuevas - 45 jovenes (30%) - 105 adultos (70%)</t>
        </r>
      </text>
    </comment>
    <comment ref="E337" authorId="0" shapeId="0" xr:uid="{B94EE7F3-90E9-4CDF-A925-6B3423304B02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338" authorId="0" shapeId="0" xr:uid="{9943D6D5-8F67-413D-9A99-46AF71BFD7E8}">
      <text>
        <r>
          <rPr>
            <sz val="11"/>
            <color theme="1"/>
            <rFont val="Calibri"/>
            <family val="2"/>
            <scheme val="minor"/>
          </rPr>
          <t xml:space="preserve">- TL Sistemas informáticos /alto mira frontera
- TL Asistente contable y financiero/robles
TL Asistente administrativo /Chilvi
TL Servicio Social /
</t>
        </r>
      </text>
    </comment>
    <comment ref="E381" authorId="0" shapeId="0" xr:uid="{832AA4F1-C7F8-47E7-B23F-723EA2AD095E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386" authorId="0" shapeId="0" xr:uid="{3F95B74B-FE10-4FBB-8785-26CA9B98C39B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399" authorId="0" shapeId="0" xr:uid="{110E8FD1-7178-48D1-BD28-1C7910326795}">
      <text>
        <r>
          <rPr>
            <sz val="11"/>
            <color theme="1"/>
            <rFont val="Calibri"/>
            <family val="2"/>
            <scheme val="minor"/>
          </rPr>
          <t>1.12 # of hectares where sustainable production/ farm rehabilitation/ sustainable intensification interventions are implemented</t>
        </r>
      </text>
    </comment>
    <comment ref="E412" authorId="0" shapeId="0" xr:uid="{A4BEAA0F-E8B0-4C5A-892B-3644D49703FB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413" authorId="0" shapeId="0" xr:uid="{B02D616E-F77F-4C00-A328-29215DB3361D}">
      <text>
        <r>
          <rPr>
            <sz val="11"/>
            <color theme="1"/>
            <rFont val="Calibri"/>
            <family val="2"/>
            <scheme val="minor"/>
          </rPr>
          <t xml:space="preserve">identificadas 143
Capacitadas 87
mejoradas </t>
        </r>
      </text>
    </comment>
    <comment ref="E418" authorId="0" shapeId="0" xr:uid="{F35DAC01-8A6E-42FA-85B1-150D3D4A62AA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432" authorId="0" shapeId="0" xr:uid="{09619F98-C957-467B-A67F-4D2F54DAF2E4}">
      <text>
        <r>
          <rPr>
            <sz val="11"/>
            <color theme="1"/>
            <rFont val="Calibri"/>
            <family val="2"/>
            <scheme val="minor"/>
          </rPr>
          <t>1.12 # of hectares where sustainable production/ farm rehabilitation/ sustainable intensification interventions are implemented</t>
        </r>
      </text>
    </comment>
    <comment ref="E448" authorId="0" shapeId="0" xr:uid="{0F850EC4-A23C-4C69-AEDF-F6214532FE86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449" authorId="0" shapeId="0" xr:uid="{7D23E8B7-8D15-4E60-ACE0-3C0E27E69AA5}">
      <text>
        <r>
          <rPr>
            <sz val="11"/>
            <color theme="1"/>
            <rFont val="Calibri"/>
            <family val="2"/>
            <scheme val="minor"/>
          </rPr>
          <t xml:space="preserve">identificadas 143
Capacitadas 87
mejoradas </t>
        </r>
      </text>
    </comment>
    <comment ref="E454" authorId="0" shapeId="0" xr:uid="{5FED2C36-543E-44D1-9282-EC1CFB8EA4B9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455" authorId="0" shapeId="0" xr:uid="{390017D9-EDB1-4B2C-B171-A8F01CC24C3F}">
      <text>
        <r>
          <rPr>
            <sz val="11"/>
            <color theme="1"/>
            <rFont val="Calibri"/>
            <family val="2"/>
            <scheme val="minor"/>
          </rPr>
          <t xml:space="preserve">- TL Sistemas informáticos /alto mira frontera
- TL Asistente contable y financiero/robles
TL Asistente administrativo /Chilvi
TL Servicio Social /
</t>
        </r>
      </text>
    </comment>
    <comment ref="E465" authorId="0" shapeId="0" xr:uid="{1DA93E59-3CDE-40BF-B5AD-04E2B4187570}">
      <text>
        <r>
          <rPr>
            <sz val="11"/>
            <color theme="1"/>
            <rFont val="Calibri"/>
            <family val="2"/>
            <scheme val="minor"/>
          </rPr>
          <t>1.12 # of hectares where sustainable production/ farm rehabilitation/ sustainable intensification interventions are implemented</t>
        </r>
      </text>
    </comment>
    <comment ref="E490" authorId="0" shapeId="0" xr:uid="{DDDAAA4B-BEAE-4AFF-A568-7B794D6D16F6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E491" authorId="0" shapeId="0" xr:uid="{822B6AC3-61BD-49E5-AB21-1ED8CA3112B0}">
      <text>
        <r>
          <rPr>
            <sz val="11"/>
            <color theme="1"/>
            <rFont val="Calibri"/>
            <family val="2"/>
            <scheme val="minor"/>
          </rPr>
          <t xml:space="preserve">identificadas 143
Capacitadas 87
mejoradas </t>
        </r>
      </text>
    </comment>
    <comment ref="E496" authorId="0" shapeId="0" xr:uid="{20172371-24A9-4484-9124-18B3DA2D68E8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497" authorId="0" shapeId="0" xr:uid="{AFA0A774-CDCC-4D29-A5AC-34147E0F0A05}">
      <text>
        <r>
          <rPr>
            <sz val="11"/>
            <color theme="1"/>
            <rFont val="Calibri"/>
            <family val="2"/>
            <scheme val="minor"/>
          </rPr>
          <t xml:space="preserve">- TL Sistemas informáticos /alto mira frontera
- TL Asistente contable y financiero/robles
TL Asistente administrativo /Chilvi
TL Servicio Social /
</t>
        </r>
      </text>
    </comment>
    <comment ref="E505" authorId="0" shapeId="0" xr:uid="{42F149C8-0C26-449B-BD0F-921593F1D279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506" authorId="0" shapeId="0" xr:uid="{41841A21-4113-4080-843C-D9AB007A8BAF}">
      <text>
        <r>
          <rPr>
            <sz val="11"/>
            <color theme="1"/>
            <rFont val="Calibri"/>
            <family val="2"/>
            <scheme val="minor"/>
          </rPr>
          <t xml:space="preserve">- TL Sistemas informáticos /alto mira frontera
- TL Asistente contable y financiero/robles
TL Asistente administrativo /Chilvi
TL Servicio Social /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diferencia Q1, q3 2020 vs reporte monitor</t>
        </r>
      </text>
    </comment>
    <comment ref="A2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1.12 # of hectares where sustainable production/ farm rehabilitation/ sustainable intensification interventions are implemented</t>
        </r>
      </text>
    </comment>
    <comment ref="AA29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23 socios * 2.5</t>
        </r>
      </text>
    </comment>
    <comment ref="A3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1.12 # of hectares where sustainable production/ farm rehabilitation/ sustainable intensification interventions are implemented</t>
        </r>
      </text>
    </comment>
    <comment ref="AA40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23 MPDL Tumaco</t>
        </r>
      </text>
    </comment>
    <comment ref="A5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90% de los socios, adopten practicas Soy Cacaocultor</t>
        </r>
      </text>
    </comment>
    <comment ref="V5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32 socios</t>
        </r>
      </text>
    </comment>
    <comment ref="AF60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pendiente asopoagrado, asocapotrerillos</t>
        </r>
      </text>
    </comment>
    <comment ref="R6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asocpraur</t>
        </r>
      </text>
    </comment>
    <comment ref="V6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 xml:space="preserve">agrofrontera, asopazcifico, , corcacao
</t>
        </r>
      </text>
    </comment>
    <comment ref="V6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asocahobo</t>
        </r>
      </text>
    </comment>
    <comment ref="E6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6 mas a reportados en USAID 244</t>
        </r>
      </text>
    </comment>
    <comment ref="R6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10</t>
        </r>
      </text>
    </comment>
    <comment ref="A69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 xml:space="preserve">Identificadas
</t>
        </r>
      </text>
    </comment>
    <comment ref="A70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identificadas 143
Capacitadas 87
mejoradas</t>
        </r>
      </text>
    </comment>
    <comment ref="AC8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debemos sacar un 83% de mejoramiento para llegar a 80 finald</t>
        </r>
      </text>
    </comment>
    <comment ref="V8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308 cursando</t>
        </r>
      </text>
    </comment>
    <comment ref="W8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283 cursando</t>
        </r>
      </text>
    </comment>
    <comment ref="V83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722 cursando</t>
        </r>
      </text>
    </comment>
    <comment ref="W83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581 cursando</t>
        </r>
      </text>
    </comment>
    <comment ref="A8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Activos
- Mercadeo Ventas /pueblo nuevo 
- Auxiliar Administrativo /gariton
- Agente Turismo/ tulapita
- Operador portuario y logistico/mulaticos
- Seguridad y Salud en el Trabajo /mellito
- Configuración ss comercio electronico /gariton
- Administración Hotelera /caribia 
- Agricultura orgánica /caribia</t>
        </r>
      </text>
    </comment>
    <comment ref="E85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 xml:space="preserve">Aux Administrativo 34
Mercadeo y Ventas  27
</t>
        </r>
      </text>
    </comment>
    <comment ref="J8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Graduados  32 H, 77 M</t>
        </r>
      </text>
    </comment>
    <comment ref="L8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 xml:space="preserve">Administrativo 21
agricultura 30
mercadeo 26
Turismo 32
</t>
        </r>
      </text>
    </comment>
    <comment ref="O85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3M, 6H</t>
        </r>
      </text>
    </comment>
    <comment ref="S85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 xml:space="preserve">turismo 37
agricultura 33
administrativo 21
mercadeo 27
</t>
        </r>
      </text>
    </comment>
    <comment ref="W85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36 Operaciones Marítimas Y Portuarias
15 en  confugurcion de comercio electronico
240 en formación</t>
        </r>
      </text>
    </comment>
    <comment ref="A8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 xml:space="preserve">- TL Sistemas informáticos /alto mira frontera
- TL Asistente contable y financiero/robles
TL Asistente administrativo /Chilvi
TL Servicio Social /
</t>
        </r>
      </text>
    </comment>
    <comment ref="V8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116 en formación</t>
        </r>
      </text>
    </comment>
    <comment ref="W8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156 en formacion</t>
        </r>
      </text>
    </comment>
    <comment ref="Z8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 xml:space="preserve">•	Tecnico laboral en Asistente Administrativo 
•	Tecnico laboral en auxiliar Contable y Financiero 
•	Tecnico laboral en Sistemas Informáticos 
</t>
        </r>
      </text>
    </comment>
    <comment ref="AA89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CDRISC 25 (0-100) - El mismo instrumento mas sensible</t>
        </r>
      </text>
    </comment>
    <comment ref="K90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27 puntos equivalena 68% 
Sobre 165 personas deserción (pandemia)</t>
        </r>
      </text>
    </comment>
    <comment ref="L90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resultado 27 puntos CDRISC que equivalen a 67,5%</t>
        </r>
      </text>
    </comment>
    <comment ref="M90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LB 26 Puntos (65%) +Meta 7 (17,5%)  = 33 puntos (83%)</t>
        </r>
      </text>
    </comment>
    <comment ref="AA90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 xml:space="preserve">CDRISC 25 (0-100) - El mismo instrumento mas sensible
103
Lb+6Puntos
160
cd rics 25 - 1- 100 puntos
</t>
        </r>
      </text>
    </comment>
    <comment ref="O91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10 Puntos CDRISC</t>
        </r>
      </text>
    </comment>
    <comment ref="Z91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72% LINEA BASE + 7.5 % META</t>
        </r>
      </text>
    </comment>
    <comment ref="AA91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72% Lb + 7,5%</t>
        </r>
      </text>
    </comment>
    <comment ref="AA9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200 personas: 
50 antiguos (25%) - 150 nuevos (75%)
De las 150 Nuevas - 45 jovenes (30%) - 105 adultos (70%)</t>
        </r>
      </text>
    </comment>
    <comment ref="K94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aca faltan 30</t>
        </r>
      </text>
    </comment>
    <comment ref="Q94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FSC validará</t>
        </r>
      </text>
    </comment>
    <comment ref="V94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validar</t>
        </r>
      </text>
    </comment>
    <comment ref="Y94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validar repetids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diferencia Q1, q3 2020 vs reporte monitor</t>
        </r>
      </text>
    </comment>
    <comment ref="A67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- Mercadeo Ventas /Mellito
- Auxiliar Administrativo /comarca
- Agente Turismo/ buenos aires
- Agricultura orgánica /caribia
- Operaciones portuarias logisticas /mellito
- Configuración ss comercio electronico /gariton</t>
        </r>
      </text>
    </comment>
    <comment ref="E6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reportar USAID 2020-1</t>
        </r>
      </text>
    </comment>
    <comment ref="J67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Graduados  32 H, 77 M</t>
        </r>
      </text>
    </comment>
    <comment ref="O67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3M, 6H</t>
        </r>
      </text>
    </comment>
    <comment ref="A68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 xml:space="preserve">- TL Sistemas informáticos /alto mira frontera
- TL Asistente contable y financiero/robles
TL Asistente administrativo /Chilvi
</t>
        </r>
      </text>
    </comment>
    <comment ref="L7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resultado 27 puntos CDRISC que equivalen a 67,5%</t>
        </r>
      </text>
    </comment>
    <comment ref="M7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LB 26 Puntos (65%) +Meta 7 (17,5%)  = 33 puntos (83%)</t>
        </r>
      </text>
    </comment>
    <comment ref="K72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 xml:space="preserve">27 puntos equivalena 68% </t>
        </r>
      </text>
    </comment>
    <comment ref="O73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10 Puntos CDRISC</t>
        </r>
      </text>
    </comment>
  </commentList>
</comments>
</file>

<file path=xl/sharedStrings.xml><?xml version="1.0" encoding="utf-8"?>
<sst xmlns="http://schemas.openxmlformats.org/spreadsheetml/2006/main" count="7931" uniqueCount="344">
  <si>
    <t>Linea de tiempo</t>
  </si>
  <si>
    <t>EJECUCION</t>
  </si>
  <si>
    <t xml:space="preserve">META </t>
  </si>
  <si>
    <t>%</t>
  </si>
  <si>
    <t>EJECUCIÓN</t>
  </si>
  <si>
    <t>META</t>
  </si>
  <si>
    <t>T1</t>
  </si>
  <si>
    <t>T2</t>
  </si>
  <si>
    <t>T3</t>
  </si>
  <si>
    <t>T4</t>
  </si>
  <si>
    <t>META 2021</t>
  </si>
  <si>
    <t>T1(O-D)</t>
  </si>
  <si>
    <t>T2 (E-M)</t>
  </si>
  <si>
    <t>T3 (A-J)</t>
  </si>
  <si>
    <t>T4(J-S)</t>
  </si>
  <si>
    <t>Ejecución</t>
  </si>
  <si>
    <t>EJECUCIÓN
ACUM</t>
  </si>
  <si>
    <t>META TOTAL</t>
  </si>
  <si>
    <t>TCE USAID</t>
  </si>
  <si>
    <t>FINANCIEROS</t>
  </si>
  <si>
    <t>Presupuesto USAID $USD</t>
  </si>
  <si>
    <t>Presupuesto USAID $COP</t>
  </si>
  <si>
    <t>F</t>
  </si>
  <si>
    <t>M</t>
  </si>
  <si>
    <t>A</t>
  </si>
  <si>
    <t>J</t>
  </si>
  <si>
    <t>S</t>
  </si>
  <si>
    <t>O</t>
  </si>
  <si>
    <t>N</t>
  </si>
  <si>
    <t>D</t>
  </si>
  <si>
    <t>E</t>
  </si>
  <si>
    <t>Presupuesto Contrapartida $COP</t>
  </si>
  <si>
    <t>Presupuesto Contrapartida $USD</t>
  </si>
  <si>
    <t>CRONOGRAMA IDH</t>
  </si>
  <si>
    <t>Fondos movilizados</t>
  </si>
  <si>
    <t>PRODUCTIVIDAD</t>
  </si>
  <si>
    <t>Socios Productores</t>
  </si>
  <si>
    <t>USAID</t>
  </si>
  <si>
    <t xml:space="preserve"> </t>
  </si>
  <si>
    <t>Na</t>
  </si>
  <si>
    <t>IDH</t>
  </si>
  <si>
    <t>ENEL</t>
  </si>
  <si>
    <t>Dias sin visita</t>
  </si>
  <si>
    <t>Urabá</t>
  </si>
  <si>
    <t>Bajo Cauca</t>
  </si>
  <si>
    <t>Huila</t>
  </si>
  <si>
    <t>Tumaco</t>
  </si>
  <si>
    <t>MINEROS</t>
  </si>
  <si>
    <t>1.1. Hectáreas Sembradas (Ha)</t>
  </si>
  <si>
    <t>Bajo Cauca(nechí) Mou Mineros</t>
  </si>
  <si>
    <t>Huila (IDH)</t>
  </si>
  <si>
    <t>1.2.Hectáreas Rehabilitadas</t>
  </si>
  <si>
    <t>EneL</t>
  </si>
  <si>
    <t>Hectareas Mejoradas</t>
  </si>
  <si>
    <t>1.3 Ventas</t>
  </si>
  <si>
    <t>Uraba</t>
  </si>
  <si>
    <t>Nariño</t>
  </si>
  <si>
    <t>IDH (Ton)</t>
  </si>
  <si>
    <t>1.4 Capacitación&gt;16H</t>
  </si>
  <si>
    <t>IDH(modelo 3 Impacto)</t>
  </si>
  <si>
    <t>1.5 Productividad (KG/Ha)</t>
  </si>
  <si>
    <t xml:space="preserve">Cultivo Ancla Rosario </t>
  </si>
  <si>
    <t>Biofábrica (ENEL)</t>
  </si>
  <si>
    <t>1.6 Tasa adopción de cacaocultores de practicas Soy Cacaocultor  en cultivo de cacao(IDH)</t>
  </si>
  <si>
    <t>LB</t>
  </si>
  <si>
    <t>1.7 Tasa adopción practicas ambientales (IDH)</t>
  </si>
  <si>
    <t>1.8 Evaluación Ecológica Rapida Hobo - Algeciras</t>
  </si>
  <si>
    <t>1.9 Plan de protección ecologico Hobo - Algeciras</t>
  </si>
  <si>
    <t xml:space="preserve">1.10 Farmland area where trained practices are applied
</t>
  </si>
  <si>
    <t xml:space="preserve">1.11 # of hectares where protection and restoration interventions are implemented
</t>
  </si>
  <si>
    <t>ASOCIATIVIDAD</t>
  </si>
  <si>
    <t>2.1 Asociaciones Mejoradas</t>
  </si>
  <si>
    <t>NA</t>
  </si>
  <si>
    <t>Miembros de asociaciones organizados</t>
  </si>
  <si>
    <t>2.2 Personas capacitadas emprendimiento con enfoque en género</t>
  </si>
  <si>
    <t>EAFIT</t>
  </si>
  <si>
    <t>Manizales +</t>
  </si>
  <si>
    <t>IDH- EAFIT</t>
  </si>
  <si>
    <t>2.3 Iniciativas emprendimiento Mejoradas</t>
  </si>
  <si>
    <t>Vc. Emprendimientos Activas USAID</t>
  </si>
  <si>
    <t>Vc. Emprendimientos activos IDH</t>
  </si>
  <si>
    <t>VC. Emprendimientos Indentificados</t>
  </si>
  <si>
    <t>2.4 Participación femenina capacitaciones emprendimiento</t>
  </si>
  <si>
    <t>USAID- Eafit</t>
  </si>
  <si>
    <t>Tumaco Manizales +</t>
  </si>
  <si>
    <t xml:space="preserve"># Mujeres Formadas (IDH) </t>
  </si>
  <si>
    <t>2. 5 Numero de socios productores asociados (IDH)</t>
  </si>
  <si>
    <t>Linea Base</t>
  </si>
  <si>
    <t>2.6 Sostenibilidad integrada a nivel corporativo</t>
  </si>
  <si>
    <t>SOCIAL</t>
  </si>
  <si>
    <t>3.1 Porcentaje mejoramiento competencias lectura</t>
  </si>
  <si>
    <t>3.4 Jóvenes gradudados en programas vocacionales</t>
  </si>
  <si>
    <t>Necoclí</t>
  </si>
  <si>
    <t>Cumplido</t>
  </si>
  <si>
    <t>3.6 Docentes formados en competencias académicas y socioemocionales</t>
  </si>
  <si>
    <t>3.7 Mejoramiento de competencias en resiliencia</t>
  </si>
  <si>
    <t>LB: 26 puntos (65%) escala CDRISC Escala 40 puntos  (CDRISC10) de 341 personas</t>
  </si>
  <si>
    <t>3.8 Personas capacitadas en resiliencia</t>
  </si>
  <si>
    <t>3.9 Jovenes formados en Liderazgo</t>
  </si>
  <si>
    <t>Personas formadas  para la escuela para la equidad(ENEL)</t>
  </si>
  <si>
    <t>SOSTENIBILIDAD</t>
  </si>
  <si>
    <t>1 Evaluación Ecológica</t>
  </si>
  <si>
    <t xml:space="preserve">1 Plan de protección </t>
  </si>
  <si>
    <t>DESEMPEÑO PRODUCTIVIDAD</t>
  </si>
  <si>
    <t>DESEMPEÑO ASOCIATIVIDAD</t>
  </si>
  <si>
    <t>DESEMPEÑO SOCIAL</t>
  </si>
  <si>
    <t>Cumplimiento TCE</t>
  </si>
  <si>
    <t>PROMEDIO GENERAL</t>
  </si>
  <si>
    <t>Año Octubre - Septiembre</t>
  </si>
  <si>
    <t>Año colombiano (Enero - Diciembre)</t>
  </si>
  <si>
    <t>1.4</t>
  </si>
  <si>
    <t>2.1</t>
  </si>
  <si>
    <t>2.2</t>
  </si>
  <si>
    <t>2.3</t>
  </si>
  <si>
    <t xml:space="preserve">Estudiantes que mejoren en la segunda medición EGRA, respecto a la primera. </t>
  </si>
  <si>
    <t>3.2</t>
  </si>
  <si>
    <t>3.3</t>
  </si>
  <si>
    <t>3.4</t>
  </si>
  <si>
    <t>3.5</t>
  </si>
  <si>
    <t>3.6</t>
  </si>
  <si>
    <t>3.8</t>
  </si>
  <si>
    <t>Género</t>
  </si>
  <si>
    <t>2023: 29% son mujeres cacaocultoras y 71% hombres.       en 2019: 77% hombres y 23% mujeres</t>
  </si>
  <si>
    <t>el 47% de las socias en tumaco son mujeres</t>
  </si>
  <si>
    <t>meta 31/01/2024</t>
  </si>
  <si>
    <t>Tons Cacao</t>
  </si>
  <si>
    <t>3.2 Niños capacitados en programas académicos</t>
  </si>
  <si>
    <t>3.3 Niños y jóvenes capacitados en programas socioemocionales</t>
  </si>
  <si>
    <t>3.5 Adultos en programas académicos</t>
  </si>
  <si>
    <r>
      <rPr>
        <sz val="9"/>
        <color rgb="FF000000"/>
        <rFont val="Gill Sans"/>
        <family val="2"/>
      </rPr>
      <t xml:space="preserve">Un productor se contabilizará como capacitado cuando asiste a mínimo una capacitación formal, en tecnologías del cacao </t>
    </r>
    <r>
      <rPr>
        <b/>
        <sz val="9"/>
        <color rgb="FF000000"/>
        <rFont val="Gill Sans MT"/>
        <family val="2"/>
      </rPr>
      <t>mayor a 2 dias o equivalente a 16 H.</t>
    </r>
  </si>
  <si>
    <r>
      <rPr>
        <sz val="9"/>
        <color rgb="FF000000"/>
        <rFont val="Gill Sans"/>
        <family val="2"/>
      </rPr>
      <t>Una asociación se contabilizará como mejorada cuando: l</t>
    </r>
    <r>
      <rPr>
        <b/>
        <sz val="9"/>
        <color rgb="FF000000"/>
        <rFont val="Gill Sans MT"/>
        <family val="2"/>
      </rPr>
      <t>ogre un valor igual o superior a 70</t>
    </r>
    <r>
      <rPr>
        <sz val="9"/>
        <color rgb="FF000000"/>
        <rFont val="Gill Sans MT"/>
        <family val="2"/>
      </rPr>
      <t xml:space="preserve"> puntos en la escala ICO. </t>
    </r>
  </si>
  <si>
    <r>
      <rPr>
        <sz val="9"/>
        <color rgb="FF000000"/>
        <rFont val="Gill Sans"/>
        <family val="2"/>
      </rPr>
      <t xml:space="preserve">Se contabilizarán las personas como capacitadas cuando </t>
    </r>
    <r>
      <rPr>
        <b/>
        <sz val="9"/>
        <color rgb="FF000000"/>
        <rFont val="Gill Sans MT"/>
        <family val="2"/>
      </rPr>
      <t>asistan a mínimo a 3 talleres de los 4</t>
    </r>
    <r>
      <rPr>
        <sz val="9"/>
        <color rgb="FF000000"/>
        <rFont val="Gill Sans MT"/>
        <family val="2"/>
      </rPr>
      <t xml:space="preserve"> que contempla la intervención.</t>
    </r>
  </si>
  <si>
    <r>
      <rPr>
        <sz val="9"/>
        <color rgb="FF000000"/>
        <rFont val="Gill Sans"/>
        <family val="2"/>
      </rPr>
      <t xml:space="preserve">Se contabilizarán las iniciativas apoyadas cuando: </t>
    </r>
    <r>
      <rPr>
        <b/>
        <sz val="9"/>
        <color rgb="FF000000"/>
        <rFont val="Gill Sans MT"/>
        <family val="2"/>
      </rPr>
      <t>1. Complete el proceso del concurso. 2. Cumpla requisitos 3. Sea seleccionada 4. reciba acompañamiento.</t>
    </r>
  </si>
  <si>
    <r>
      <rPr>
        <sz val="9"/>
        <color rgb="FF000000"/>
        <rFont val="Gill Sans"/>
        <family val="2"/>
      </rPr>
      <t xml:space="preserve">Un niño se considera capacitado en programas academicos cuando </t>
    </r>
    <r>
      <rPr>
        <b/>
        <sz val="9"/>
        <color rgb="FF000000"/>
        <rFont val="Gill Sans MT"/>
        <family val="2"/>
      </rPr>
      <t>curse entre 1° y 5° y esté inscrito</t>
    </r>
    <r>
      <rPr>
        <sz val="9"/>
        <color rgb="FF000000"/>
        <rFont val="Gill Sans MT"/>
        <family val="2"/>
      </rPr>
      <t xml:space="preserve"> al programa Aprende.</t>
    </r>
  </si>
  <si>
    <r>
      <rPr>
        <sz val="9"/>
        <color rgb="FF000000"/>
        <rFont val="Gill Sans"/>
        <family val="2"/>
      </rPr>
      <t xml:space="preserve">Los Niños y jóvenes se contabilizarán cuando </t>
    </r>
    <r>
      <rPr>
        <b/>
        <sz val="9"/>
        <color rgb="FF000000"/>
        <rFont val="Gill Sans MT"/>
        <family val="2"/>
      </rPr>
      <t>cursen entre preescolar  y 11°</t>
    </r>
    <r>
      <rPr>
        <sz val="9"/>
        <color rgb="FF000000"/>
        <rFont val="Gill Sans MT"/>
        <family val="2"/>
      </rPr>
      <t xml:space="preserve"> y hagan parte del programa</t>
    </r>
    <r>
      <rPr>
        <b/>
        <sz val="9"/>
        <color rgb="FF000000"/>
        <rFont val="Gill Sans MT"/>
        <family val="2"/>
      </rPr>
      <t xml:space="preserve"> Escuela Nueva Activa</t>
    </r>
    <r>
      <rPr>
        <sz val="9"/>
        <color rgb="FF000000"/>
        <rFont val="Gill Sans MT"/>
        <family val="2"/>
      </rPr>
      <t>.</t>
    </r>
  </si>
  <si>
    <r>
      <rPr>
        <sz val="9"/>
        <color rgb="FF000000"/>
        <rFont val="Gill Sans"/>
        <family val="2"/>
      </rPr>
      <t>Se contabilizarán los jovenes cuando</t>
    </r>
    <r>
      <rPr>
        <b/>
        <sz val="9"/>
        <color rgb="FF000000"/>
        <rFont val="Gill Sans MT"/>
        <family val="2"/>
      </rPr>
      <t xml:space="preserve"> finalicen los programas técnicos laborales</t>
    </r>
    <r>
      <rPr>
        <sz val="9"/>
        <color rgb="FF000000"/>
        <rFont val="Gill Sans MT"/>
        <family val="2"/>
      </rPr>
      <t>.</t>
    </r>
  </si>
  <si>
    <r>
      <rPr>
        <sz val="9"/>
        <color rgb="FF000000"/>
        <rFont val="Gill Sans"/>
        <family val="2"/>
      </rPr>
      <t xml:space="preserve">Un adulto se contabiliza capacitado </t>
    </r>
    <r>
      <rPr>
        <b/>
        <sz val="9"/>
        <color rgb="FF000000"/>
        <rFont val="Gill Sans MT"/>
        <family val="2"/>
      </rPr>
      <t>cuando curse</t>
    </r>
    <r>
      <rPr>
        <sz val="9"/>
        <color rgb="FF000000"/>
        <rFont val="Gill Sans MT"/>
        <family val="2"/>
      </rPr>
      <t xml:space="preserve"> la capacitación en programas academicos de primaria y/o secundaria.</t>
    </r>
  </si>
  <si>
    <r>
      <rPr>
        <sz val="9"/>
        <color rgb="FF000000"/>
        <rFont val="Gill Sans"/>
        <family val="2"/>
      </rPr>
      <t xml:space="preserve">Se contabilizarán los docentes capacitados cuando </t>
    </r>
    <r>
      <rPr>
        <b/>
        <sz val="9"/>
        <color rgb="FF000000"/>
        <rFont val="Gill Sans MT"/>
        <family val="2"/>
      </rPr>
      <t xml:space="preserve">asistan a 1 taller </t>
    </r>
    <r>
      <rPr>
        <sz val="9"/>
        <color rgb="FF000000"/>
        <rFont val="Gill Sans MT"/>
        <family val="2"/>
      </rPr>
      <t>de formación.</t>
    </r>
  </si>
  <si>
    <r>
      <rPr>
        <sz val="9"/>
        <color rgb="FF000000"/>
        <rFont val="Gill Sans"/>
        <family val="2"/>
      </rPr>
      <t xml:space="preserve">Las personas se contabilizarán cuando </t>
    </r>
    <r>
      <rPr>
        <b/>
        <sz val="9"/>
        <color rgb="FF000000"/>
        <rFont val="Gill Sans MT"/>
        <family val="2"/>
      </rPr>
      <t>finalicen la capacitación en los programas de resiliencia</t>
    </r>
    <r>
      <rPr>
        <sz val="9"/>
        <color rgb="FF000000"/>
        <rFont val="Gill Sans MT"/>
        <family val="2"/>
      </rPr>
      <t xml:space="preserve">. </t>
    </r>
  </si>
  <si>
    <t>INDICADOR</t>
  </si>
  <si>
    <t>ACUMULADO</t>
  </si>
  <si>
    <t>meta</t>
  </si>
  <si>
    <t>MONITOR</t>
  </si>
  <si>
    <t>Diferencia</t>
  </si>
  <si>
    <t>Total</t>
  </si>
  <si>
    <t>TCE</t>
  </si>
  <si>
    <t>Presupuesto USAID USD</t>
  </si>
  <si>
    <t>Presupuesto USAID COP</t>
  </si>
  <si>
    <t>Presupuesto Contrapartida USD</t>
  </si>
  <si>
    <t>Presupuesto Contrapartida COP</t>
  </si>
  <si>
    <t>Por definir</t>
  </si>
  <si>
    <t>IDH(modelo 3I)</t>
  </si>
  <si>
    <t xml:space="preserve">Cultivos de cacao </t>
  </si>
  <si>
    <t>1.6 Tasa adopción practicas Soy Cacaocultor (IDH)</t>
  </si>
  <si>
    <t xml:space="preserve">1.12 # of hectares where sustainable production/ farm rehabilitation/ sustainable intensification interventions are implemented
</t>
  </si>
  <si>
    <t>2.2 Personas capacitadas emprendimiento</t>
  </si>
  <si>
    <t>82,5%+(LB+7,5%)</t>
  </si>
  <si>
    <t>LB: 26 puntos (65%) escala CDRISC Escala 40 puntos de 341 personas</t>
  </si>
  <si>
    <t>Lb+7,5%</t>
  </si>
  <si>
    <t>Lb</t>
  </si>
  <si>
    <r>
      <rPr>
        <sz val="9"/>
        <color rgb="FF000000"/>
        <rFont val="Gill Sans"/>
        <family val="2"/>
      </rPr>
      <t xml:space="preserve">Un productor se contabilizará como capacitado cuando asiste a mínimo una capacitación formal, en tecnologías del cacao </t>
    </r>
    <r>
      <rPr>
        <b/>
        <sz val="9"/>
        <color rgb="FF000000"/>
        <rFont val="Gill Sans MT"/>
        <family val="2"/>
      </rPr>
      <t>mayor a 2 dias o equivalente a 16 H.</t>
    </r>
  </si>
  <si>
    <r>
      <rPr>
        <sz val="9"/>
        <color rgb="FF000000"/>
        <rFont val="Gill Sans"/>
        <family val="2"/>
      </rPr>
      <t>Una asociación se contabilizará como mejorada cuando: l</t>
    </r>
    <r>
      <rPr>
        <b/>
        <sz val="9"/>
        <color rgb="FF000000"/>
        <rFont val="Gill Sans MT"/>
        <family val="2"/>
      </rPr>
      <t>ogre un valor igual o superior a 70</t>
    </r>
    <r>
      <rPr>
        <sz val="9"/>
        <color rgb="FF000000"/>
        <rFont val="Gill Sans MT"/>
        <family val="2"/>
      </rPr>
      <t xml:space="preserve"> puntos en la escala ICO. </t>
    </r>
  </si>
  <si>
    <r>
      <rPr>
        <sz val="9"/>
        <color rgb="FF000000"/>
        <rFont val="Gill Sans"/>
        <family val="2"/>
      </rPr>
      <t xml:space="preserve">Se contabilizarán las personas como capacitadas cuando </t>
    </r>
    <r>
      <rPr>
        <b/>
        <sz val="9"/>
        <color rgb="FF000000"/>
        <rFont val="Gill Sans MT"/>
        <family val="2"/>
      </rPr>
      <t>asistan a mínimo a 3 talleres de los 4</t>
    </r>
    <r>
      <rPr>
        <sz val="9"/>
        <color rgb="FF000000"/>
        <rFont val="Gill Sans MT"/>
        <family val="2"/>
      </rPr>
      <t xml:space="preserve"> que contempla la intervención.</t>
    </r>
  </si>
  <si>
    <r>
      <rPr>
        <sz val="9"/>
        <color rgb="FF000000"/>
        <rFont val="Gill Sans"/>
        <family val="2"/>
      </rPr>
      <t xml:space="preserve">Se contabilizarán las iniciativas apoyadas cuando: </t>
    </r>
    <r>
      <rPr>
        <b/>
        <sz val="9"/>
        <color rgb="FF000000"/>
        <rFont val="Gill Sans MT"/>
        <family val="2"/>
      </rPr>
      <t>1. Complete el proceso del concurso. 2. Cumpla requisitos 3. Sea seleccionada 4. reciba acompañamiento.</t>
    </r>
  </si>
  <si>
    <r>
      <rPr>
        <sz val="9"/>
        <color rgb="FF000000"/>
        <rFont val="Gill Sans"/>
        <family val="2"/>
      </rPr>
      <t xml:space="preserve">Un niño se considera capacitado en programas academicos cuando </t>
    </r>
    <r>
      <rPr>
        <b/>
        <sz val="9"/>
        <color rgb="FF000000"/>
        <rFont val="Gill Sans MT"/>
        <family val="2"/>
      </rPr>
      <t>curse entre 1° y 5° y esté inscrito</t>
    </r>
    <r>
      <rPr>
        <sz val="9"/>
        <color rgb="FF000000"/>
        <rFont val="Gill Sans MT"/>
        <family val="2"/>
      </rPr>
      <t xml:space="preserve"> al programa Aprende.</t>
    </r>
  </si>
  <si>
    <r>
      <rPr>
        <sz val="9"/>
        <color rgb="FF000000"/>
        <rFont val="Gill Sans"/>
        <family val="2"/>
      </rPr>
      <t xml:space="preserve">Los Niños y jóvenes se contabilizarán cuando </t>
    </r>
    <r>
      <rPr>
        <b/>
        <sz val="9"/>
        <color rgb="FF000000"/>
        <rFont val="Gill Sans MT"/>
        <family val="2"/>
      </rPr>
      <t>cursen entre preescolar  y 11°</t>
    </r>
    <r>
      <rPr>
        <sz val="9"/>
        <color rgb="FF000000"/>
        <rFont val="Gill Sans MT"/>
        <family val="2"/>
      </rPr>
      <t xml:space="preserve"> y hagan parte del programa</t>
    </r>
    <r>
      <rPr>
        <b/>
        <sz val="9"/>
        <color rgb="FF000000"/>
        <rFont val="Gill Sans MT"/>
        <family val="2"/>
      </rPr>
      <t xml:space="preserve"> Escuela Nueva Activa</t>
    </r>
    <r>
      <rPr>
        <sz val="9"/>
        <color rgb="FF000000"/>
        <rFont val="Gill Sans MT"/>
        <family val="2"/>
      </rPr>
      <t>.</t>
    </r>
  </si>
  <si>
    <r>
      <rPr>
        <sz val="9"/>
        <color rgb="FF000000"/>
        <rFont val="Gill Sans"/>
        <family val="2"/>
      </rPr>
      <t>Se contabilizarán los jovenes cuando</t>
    </r>
    <r>
      <rPr>
        <b/>
        <sz val="9"/>
        <color rgb="FF000000"/>
        <rFont val="Gill Sans MT"/>
        <family val="2"/>
      </rPr>
      <t xml:space="preserve"> finalicen los programas técnicos laborales</t>
    </r>
    <r>
      <rPr>
        <sz val="9"/>
        <color rgb="FF000000"/>
        <rFont val="Gill Sans MT"/>
        <family val="2"/>
      </rPr>
      <t>.</t>
    </r>
  </si>
  <si>
    <r>
      <rPr>
        <sz val="9"/>
        <color rgb="FF000000"/>
        <rFont val="Gill Sans"/>
        <family val="2"/>
      </rPr>
      <t xml:space="preserve">Un adulto se contabiliza capacitado </t>
    </r>
    <r>
      <rPr>
        <b/>
        <sz val="9"/>
        <color rgb="FF000000"/>
        <rFont val="Gill Sans MT"/>
        <family val="2"/>
      </rPr>
      <t>cuando curse</t>
    </r>
    <r>
      <rPr>
        <sz val="9"/>
        <color rgb="FF000000"/>
        <rFont val="Gill Sans MT"/>
        <family val="2"/>
      </rPr>
      <t xml:space="preserve"> la capacitación en programas academicos de primaria y/o secundaria.</t>
    </r>
  </si>
  <si>
    <r>
      <rPr>
        <sz val="9"/>
        <color rgb="FF000000"/>
        <rFont val="Gill Sans"/>
        <family val="2"/>
      </rPr>
      <t xml:space="preserve">Se contabilizarán los docentes capacitados cuando </t>
    </r>
    <r>
      <rPr>
        <b/>
        <sz val="9"/>
        <color rgb="FF000000"/>
        <rFont val="Gill Sans MT"/>
        <family val="2"/>
      </rPr>
      <t xml:space="preserve">asistan a 1 taller </t>
    </r>
    <r>
      <rPr>
        <sz val="9"/>
        <color rgb="FF000000"/>
        <rFont val="Gill Sans MT"/>
        <family val="2"/>
      </rPr>
      <t>de formación.</t>
    </r>
  </si>
  <si>
    <r>
      <rPr>
        <sz val="9"/>
        <color rgb="FF000000"/>
        <rFont val="Gill Sans"/>
        <family val="2"/>
      </rPr>
      <t xml:space="preserve">Las personas se contabilizarán cuando </t>
    </r>
    <r>
      <rPr>
        <b/>
        <sz val="9"/>
        <color rgb="FF000000"/>
        <rFont val="Gill Sans MT"/>
        <family val="2"/>
      </rPr>
      <t>finalicen la capacitación en los programas de resiliencia</t>
    </r>
    <r>
      <rPr>
        <sz val="9"/>
        <color rgb="FF000000"/>
        <rFont val="Gill Sans MT"/>
        <family val="2"/>
      </rPr>
      <t xml:space="preserve">. </t>
    </r>
  </si>
  <si>
    <t>indicador</t>
  </si>
  <si>
    <t>categoría</t>
  </si>
  <si>
    <t>año</t>
  </si>
  <si>
    <t>Presupuesto USAID COP: Monto ejecutado</t>
  </si>
  <si>
    <t>Inversión de terceros (contrapartidas Aliados CL-LA-EAFIT-FSC-UAM) COP: Monto ejecutado</t>
  </si>
  <si>
    <t>Socios Productores USAID: Monto ejecutado</t>
  </si>
  <si>
    <t>Hectáreas Rehabilitadas: Monto ejecutado</t>
  </si>
  <si>
    <t>Ventas: Monto ejecutado</t>
  </si>
  <si>
    <t>Capacitación&gt;16H: Monto ejecutado</t>
  </si>
  <si>
    <t>Productividad (KG/Ha): Monto ejecutado</t>
  </si>
  <si>
    <t>Porcentaje mejoramiento competencias lectura: Monto ejecutado</t>
  </si>
  <si>
    <t>Niños capacitados en programas académicos: Monto ejecutado</t>
  </si>
  <si>
    <t>Niños y jóvenes capacitados en programas socioemocionales: Monto ejecutado</t>
  </si>
  <si>
    <t>Adultos en programas académicos: Monto ejecutado</t>
  </si>
  <si>
    <t>Docentes formados en competencias académicas y socioemocionales: Monto ejecutado</t>
  </si>
  <si>
    <t>Hectáreas Sembradas (Ha): Monto ejecutado</t>
  </si>
  <si>
    <t>Asociaciones Mejoradas: Monto ejecutado</t>
  </si>
  <si>
    <t>Iniciativas emprendimiento Mejoradas: Monto ejecutado</t>
  </si>
  <si>
    <t>Jóvenes gradudados en programas vocacionales: Monto ejecutado</t>
  </si>
  <si>
    <t>Personas capacitadas en resiliencia: Monto ejecutado</t>
  </si>
  <si>
    <t>Presupuesto USAID COP: Meta</t>
  </si>
  <si>
    <t>Inversión de terceros (contrapartidas Aliados CL-LA-EAFIT-FSC-UAM) COP: Meta</t>
  </si>
  <si>
    <t>Socios Productores USAID: Meta</t>
  </si>
  <si>
    <t>Hectáreas Rehabilitadas: Meta</t>
  </si>
  <si>
    <t>Ventas: Meta</t>
  </si>
  <si>
    <t>Capacitación&gt;16H: Meta</t>
  </si>
  <si>
    <t>Productividad (KG/Ha): Meta</t>
  </si>
  <si>
    <t>Porcentaje mejoramiento competencias lectura: Meta</t>
  </si>
  <si>
    <t>Niños capacitados en programas académicos: Meta</t>
  </si>
  <si>
    <t>Niños y jóvenes capacitados en programas socioemocionales: Meta</t>
  </si>
  <si>
    <t>Adultos en programas académicos: Meta</t>
  </si>
  <si>
    <t>Docentes formados en competencias académicas y socioemocionales: Meta</t>
  </si>
  <si>
    <t>Hectáreas Sembradas (Ha): Meta</t>
  </si>
  <si>
    <t>Asociaciones Mejoradas: Meta</t>
  </si>
  <si>
    <t>Iniciativas emprendimiento Mejoradas: Meta</t>
  </si>
  <si>
    <t>Jóvenes gradudados en programas vocacionales: Meta</t>
  </si>
  <si>
    <t>Personas capacitadas en resiliencia: Meta</t>
  </si>
  <si>
    <t>Presupuesto USAID COP: % Ejecución</t>
  </si>
  <si>
    <t>Inversión de terceros (contrapartidas Aliados CL-LA-EAFIT-FSC-UAM) COP: % Ejecución</t>
  </si>
  <si>
    <t>Socios Productores USAID: % Ejecución</t>
  </si>
  <si>
    <t>Hectáreas Rehabilitadas: % Ejecución</t>
  </si>
  <si>
    <t>Ventas: % Ejecución</t>
  </si>
  <si>
    <t>Capacitación&gt;16H: % Ejecución</t>
  </si>
  <si>
    <t>Productividad (KG/Ha): % Ejecución</t>
  </si>
  <si>
    <t>Porcentaje mejoramiento competencias lectura: % Ejecución</t>
  </si>
  <si>
    <t>Niños capacitados en programas académicos: % Ejecución</t>
  </si>
  <si>
    <t>Niños y jóvenes capacitados en programas socioemocionales: % Ejecución</t>
  </si>
  <si>
    <t>Adultos en programas académicos: % Ejecución</t>
  </si>
  <si>
    <t>Docentes formados en competencias académicas y socioemocionales: % Ejecución</t>
  </si>
  <si>
    <t>Hectáreas Sembradas (Ha): % Ejecución</t>
  </si>
  <si>
    <t>Asociaciones Mejoradas: % Ejecución</t>
  </si>
  <si>
    <t>Iniciativas emprendimiento Mejoradas: % Ejecución</t>
  </si>
  <si>
    <t>Jóvenes gradudados en programas vocacionales: % Ejecución</t>
  </si>
  <si>
    <t>Personas capacitadas en resiliencia: % Ejecución</t>
  </si>
  <si>
    <t>base</t>
  </si>
  <si>
    <t>sección</t>
  </si>
  <si>
    <t>cod_indicador</t>
  </si>
  <si>
    <t>cod_entidad</t>
  </si>
  <si>
    <t>entidad</t>
  </si>
  <si>
    <t>periodicidad</t>
  </si>
  <si>
    <t>mes_trimestre</t>
  </si>
  <si>
    <t>Cacao</t>
  </si>
  <si>
    <t>Financiero</t>
  </si>
  <si>
    <t>anual</t>
  </si>
  <si>
    <t>CC.1.3.A</t>
  </si>
  <si>
    <t>CC.1.1.A</t>
  </si>
  <si>
    <t>Productividad</t>
  </si>
  <si>
    <t>CC.2.1.A</t>
  </si>
  <si>
    <t>CC.2.3.A</t>
  </si>
  <si>
    <t>CC.2.4.A</t>
  </si>
  <si>
    <t>CC.2.5.A</t>
  </si>
  <si>
    <t>Social</t>
  </si>
  <si>
    <t>CC.3.1.A</t>
  </si>
  <si>
    <t>CC.3.2.A</t>
  </si>
  <si>
    <t>CC.3.3.A</t>
  </si>
  <si>
    <t>CC.3.5.A</t>
  </si>
  <si>
    <t>CC.3.6.A</t>
  </si>
  <si>
    <t>CC.2.2.A</t>
  </si>
  <si>
    <t>Asociatividad</t>
  </si>
  <si>
    <t>CC.3.4.A</t>
  </si>
  <si>
    <t>CC.3.7.A</t>
  </si>
  <si>
    <t>CC.1.3.B</t>
  </si>
  <si>
    <t>CC.1.1.B</t>
  </si>
  <si>
    <t>CC.2.1.B</t>
  </si>
  <si>
    <t>CC.2.3.B</t>
  </si>
  <si>
    <t>CC.2.4.B</t>
  </si>
  <si>
    <t>CC.2.5.B</t>
  </si>
  <si>
    <t>CC.3.1.B</t>
  </si>
  <si>
    <t>CC.3.2.B</t>
  </si>
  <si>
    <t>CC.3.3.B</t>
  </si>
  <si>
    <t>CC.3.5.B</t>
  </si>
  <si>
    <t>CC.3.6.B</t>
  </si>
  <si>
    <t>CC.2.2.B</t>
  </si>
  <si>
    <t>CC.3.4.B</t>
  </si>
  <si>
    <t>CC.3.7.B</t>
  </si>
  <si>
    <t>CC.1.3.C</t>
  </si>
  <si>
    <t>CC.1.1.C</t>
  </si>
  <si>
    <t>CC.2.1.C</t>
  </si>
  <si>
    <t>CC.2.3.C</t>
  </si>
  <si>
    <t>CC.2.4.C</t>
  </si>
  <si>
    <t>CC.2.5.C</t>
  </si>
  <si>
    <t>CC.3.1.C</t>
  </si>
  <si>
    <t>CC.3.2.C</t>
  </si>
  <si>
    <t>CC.3.3.C</t>
  </si>
  <si>
    <t>CC.3.5.C</t>
  </si>
  <si>
    <t>CC.3.6.C</t>
  </si>
  <si>
    <t>CC.2.2.C</t>
  </si>
  <si>
    <t>CC.3.4.C</t>
  </si>
  <si>
    <t>CC.3.7.C</t>
  </si>
  <si>
    <t>dato</t>
  </si>
  <si>
    <t>fuente</t>
  </si>
  <si>
    <t>Fundación Luker: Coordinación de Monitoreo y Evaluación proyecto El Efecto Cacao</t>
  </si>
  <si>
    <t>unidad_medida</t>
  </si>
  <si>
    <t>Pesos</t>
  </si>
  <si>
    <t>Personas</t>
  </si>
  <si>
    <t>Hectáreas</t>
  </si>
  <si>
    <t>Porcentaje (el valor está multiplicado por 100)</t>
  </si>
  <si>
    <t>Niños</t>
  </si>
  <si>
    <t>Adultos</t>
  </si>
  <si>
    <t>Docentes</t>
  </si>
  <si>
    <t>Asociaciones</t>
  </si>
  <si>
    <t>Iniciativas</t>
  </si>
  <si>
    <t>Jóvenes</t>
  </si>
  <si>
    <t>Sueño de Chocolate</t>
  </si>
  <si>
    <t>PE.1</t>
  </si>
  <si>
    <t>Número de benficiarios del proyecto</t>
  </si>
  <si>
    <t xml:space="preserve">Educación </t>
  </si>
  <si>
    <t>05490</t>
  </si>
  <si>
    <t>Anual</t>
  </si>
  <si>
    <t>Fundación Luker - Coordinación de proyectos especiales</t>
  </si>
  <si>
    <t>Técnico Laboral en Producción de Cacao</t>
  </si>
  <si>
    <t>Fortalecimiento Comunitario</t>
  </si>
  <si>
    <t>Promoción de Cacao</t>
  </si>
  <si>
    <t>Emprendiendo Sueños</t>
  </si>
  <si>
    <t>Resilencia</t>
  </si>
  <si>
    <t>Abasto</t>
  </si>
  <si>
    <t>Liderazgo Juvenil</t>
  </si>
  <si>
    <t>Participación Comunitaria</t>
  </si>
  <si>
    <t>Agua</t>
  </si>
  <si>
    <t>Emprendiendo Sueños
Sumar para el futuro</t>
  </si>
  <si>
    <t>PE.2</t>
  </si>
  <si>
    <t>Inversión total del proyecto</t>
  </si>
  <si>
    <t>PE.3</t>
  </si>
  <si>
    <t>Inversión con recursos propios</t>
  </si>
  <si>
    <t>PE.4</t>
  </si>
  <si>
    <t>Inversión con recursos de terceros</t>
  </si>
  <si>
    <t>Descripción de la base de datos</t>
  </si>
  <si>
    <t>Base de datos a la que pertenece la información</t>
  </si>
  <si>
    <t>Sección del proyecto: 1) Financiero; 2) productividad; 3) Asociatividad; 4) Social.</t>
  </si>
  <si>
    <t>Código en texto del indicador</t>
  </si>
  <si>
    <t>Nombre del indicador</t>
  </si>
  <si>
    <t>Subcategoría o desagragación del indicador por zona o proyecto que suministra los beneficios de la intervención.</t>
  </si>
  <si>
    <t>Código DANE de la entidad territorial. Al tratarse de aglomeraciones de municipios que no corresponden al departamento necesariamente, se omite para esta base de datos</t>
  </si>
  <si>
    <t>Nombre de la entidad territorial de la información</t>
  </si>
  <si>
    <t>Dato numerico</t>
  </si>
  <si>
    <t>Año de referencia</t>
  </si>
  <si>
    <t>Tipo de periodicidad del dato: 1) Anual; 2) Trimestral; 3) Mensual.</t>
  </si>
  <si>
    <t>Número del mes/trimestre del año/periodo seleccionado. En caso de información anual se diligencia Na</t>
  </si>
  <si>
    <t>Fuente de la información</t>
  </si>
  <si>
    <t>Unidad de medida de la información.</t>
  </si>
  <si>
    <t>Fecha actualización</t>
  </si>
  <si>
    <t># de personas impactadas programa Generación R</t>
  </si>
  <si>
    <t>Recursos movilizados por el proyecto</t>
  </si>
  <si>
    <t># de docentes formados</t>
  </si>
  <si>
    <t>% de jóvenes graduados en los cursos de formación por competencias</t>
  </si>
  <si>
    <t>% de aumento de ingresos de jóvenes acompañados por fuente</t>
  </si>
  <si>
    <t>Generación R</t>
  </si>
  <si>
    <t>R.1</t>
  </si>
  <si>
    <t>R.2</t>
  </si>
  <si>
    <t>R.3</t>
  </si>
  <si>
    <t>R.4</t>
  </si>
  <si>
    <t>R.5</t>
  </si>
  <si>
    <t>Fundación Luker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</si>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</sst>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164" formatCode="_-[$USD]\ * #,##0_-;\-[$USD]\ * #,##0_-;_-[$USD]\ * &quot;-&quot;_-;_-@"/>
    <numFmt numFmtId="165" formatCode="[$ $]#,##0"/>
    <numFmt numFmtId="166" formatCode="0.0"/>
    <numFmt numFmtId="167" formatCode="#,##0.0"/>
    <numFmt numFmtId="168" formatCode="0.0%"/>
    <numFmt numFmtId="169" formatCode="_-[$$-240A]\ * #,##0_-;\-[$$-240A]\ * #,##0_-;_-[$$-240A]\ * &quot;-&quot;??_-;_-@"/>
    <numFmt numFmtId="170" formatCode="_-&quot;$&quot;\ * #,##0_-;\-&quot;$&quot;\ * #,##0_-;_-&quot;$&quot;\ * &quot;-&quot;_-;_-@"/>
  </numFmts>
  <fonts count="4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b/>
      <i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Gill Sans"/>
      <family val="2"/>
    </font>
    <font>
      <sz val="11"/>
      <color theme="1"/>
      <name val="Calibri"/>
      <family val="2"/>
      <scheme val="minor"/>
    </font>
    <font>
      <i/>
      <sz val="9"/>
      <color theme="1"/>
      <name val="Gill Sans"/>
      <family val="2"/>
    </font>
    <font>
      <b/>
      <sz val="9"/>
      <color theme="1"/>
      <name val="Calibri"/>
      <family val="2"/>
    </font>
    <font>
      <b/>
      <sz val="11"/>
      <color theme="1"/>
      <name val="Arial"/>
      <family val="2"/>
    </font>
    <font>
      <sz val="9"/>
      <color theme="1"/>
      <name val="Calibri"/>
      <family val="2"/>
    </font>
    <font>
      <i/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222222"/>
      <name val="Verdana"/>
      <family val="2"/>
    </font>
    <font>
      <b/>
      <sz val="11"/>
      <color theme="1"/>
      <name val="Calibri"/>
      <family val="2"/>
      <scheme val="minor"/>
    </font>
    <font>
      <sz val="9"/>
      <color rgb="FF000000"/>
      <name val="Gill Sans"/>
      <family val="2"/>
    </font>
    <font>
      <i/>
      <sz val="11"/>
      <color theme="1"/>
      <name val="Arial"/>
      <family val="2"/>
    </font>
    <font>
      <b/>
      <sz val="11"/>
      <color theme="0"/>
      <name val="Calibri"/>
      <family val="2"/>
    </font>
    <font>
      <sz val="9"/>
      <color rgb="FF333333"/>
      <name val="&quot;Segoe UI&quot;"/>
    </font>
    <font>
      <sz val="9"/>
      <color rgb="FF000000"/>
      <name val="Arial"/>
      <family val="2"/>
    </font>
    <font>
      <b/>
      <sz val="9"/>
      <color rgb="FF000000"/>
      <name val="Gill Sans MT"/>
      <family val="2"/>
    </font>
    <font>
      <sz val="9"/>
      <color rgb="FF000000"/>
      <name val="Gill Sans MT"/>
      <family val="2"/>
    </font>
    <font>
      <b/>
      <sz val="8"/>
      <color rgb="FF077287"/>
      <name val="Montserrat"/>
    </font>
    <font>
      <sz val="8"/>
      <color theme="1"/>
      <name val="Montserrat"/>
    </font>
    <font>
      <b/>
      <sz val="12"/>
      <color rgb="FF404040"/>
      <name val="Montserrat"/>
    </font>
    <font>
      <sz val="8"/>
      <color rgb="FF077287"/>
      <name val="Montserrat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FFFFFF"/>
        <bgColor rgb="FFFFFFFF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FE598"/>
        <bgColor rgb="FFFFE598"/>
      </patternFill>
    </fill>
    <fill>
      <patternFill patternType="solid">
        <fgColor rgb="FF3D85C6"/>
        <bgColor rgb="FF3D85C6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E2EFDA"/>
        <bgColor rgb="FFE2EFDA"/>
      </patternFill>
    </fill>
    <fill>
      <patternFill patternType="solid">
        <fgColor rgb="FF6FA8DC"/>
        <bgColor rgb="FF6FA8DC"/>
      </patternFill>
    </fill>
    <fill>
      <patternFill patternType="solid">
        <fgColor rgb="FFBDD6EE"/>
        <bgColor rgb="FFBDD6EE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theme="5"/>
        <bgColor theme="5"/>
      </patternFill>
    </fill>
    <fill>
      <patternFill patternType="solid">
        <fgColor rgb="FFFFE599"/>
        <bgColor rgb="FFFFE599"/>
      </patternFill>
    </fill>
    <fill>
      <patternFill patternType="solid">
        <fgColor rgb="FFF6F6F6"/>
        <bgColor rgb="FFF6F6F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9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theme="0"/>
      </bottom>
      <diagonal/>
    </border>
    <border>
      <left/>
      <right/>
      <top style="medium">
        <color rgb="FF000000"/>
      </top>
      <bottom style="thin">
        <color theme="0"/>
      </bottom>
      <diagonal/>
    </border>
    <border>
      <left/>
      <right style="medium">
        <color rgb="FF000000"/>
      </right>
      <top style="medium">
        <color rgb="FF000000"/>
      </top>
      <bottom style="thin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00000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4">
    <xf numFmtId="0" fontId="0" fillId="0" borderId="0"/>
    <xf numFmtId="0" fontId="1" fillId="0" borderId="87"/>
    <xf numFmtId="0" fontId="38" fillId="0" borderId="87"/>
    <xf numFmtId="9" fontId="38" fillId="0" borderId="87" applyFont="0" applyFill="0" applyBorder="0" applyAlignment="0" applyProtection="0"/>
  </cellStyleXfs>
  <cellXfs count="1085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left" vertical="center" wrapText="1"/>
    </xf>
    <xf numFmtId="0" fontId="12" fillId="4" borderId="16" xfId="0" applyFont="1" applyFill="1" applyBorder="1" applyAlignment="1">
      <alignment vertical="center"/>
    </xf>
    <xf numFmtId="0" fontId="12" fillId="4" borderId="6" xfId="0" applyFont="1" applyFill="1" applyBorder="1" applyAlignment="1">
      <alignment vertical="center"/>
    </xf>
    <xf numFmtId="0" fontId="12" fillId="4" borderId="17" xfId="0" applyFont="1" applyFill="1" applyBorder="1" applyAlignment="1">
      <alignment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1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vertical="center"/>
    </xf>
    <xf numFmtId="0" fontId="12" fillId="5" borderId="6" xfId="0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/>
    </xf>
    <xf numFmtId="164" fontId="15" fillId="0" borderId="23" xfId="0" applyNumberFormat="1" applyFont="1" applyBorder="1" applyAlignment="1">
      <alignment horizontal="right" vertical="center"/>
    </xf>
    <xf numFmtId="164" fontId="15" fillId="0" borderId="0" xfId="0" applyNumberFormat="1" applyFont="1" applyAlignment="1">
      <alignment horizontal="right" vertical="center"/>
    </xf>
    <xf numFmtId="9" fontId="15" fillId="6" borderId="17" xfId="0" applyNumberFormat="1" applyFont="1" applyFill="1" applyBorder="1" applyAlignment="1">
      <alignment horizontal="right" vertical="center"/>
    </xf>
    <xf numFmtId="9" fontId="15" fillId="6" borderId="17" xfId="0" applyNumberFormat="1" applyFont="1" applyFill="1" applyBorder="1" applyAlignment="1">
      <alignment horizontal="center" vertical="center"/>
    </xf>
    <xf numFmtId="164" fontId="15" fillId="0" borderId="23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9" fontId="12" fillId="6" borderId="13" xfId="0" applyNumberFormat="1" applyFont="1" applyFill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/>
    </xf>
    <xf numFmtId="164" fontId="15" fillId="3" borderId="0" xfId="0" applyNumberFormat="1" applyFont="1" applyFill="1" applyAlignment="1">
      <alignment horizontal="center" vertical="center"/>
    </xf>
    <xf numFmtId="164" fontId="16" fillId="0" borderId="0" xfId="0" applyNumberFormat="1" applyFont="1" applyAlignment="1">
      <alignment horizontal="left" vertical="center" wrapText="1"/>
    </xf>
    <xf numFmtId="4" fontId="15" fillId="5" borderId="6" xfId="0" applyNumberFormat="1" applyFont="1" applyFill="1" applyBorder="1" applyAlignment="1">
      <alignment horizontal="right" vertical="center"/>
    </xf>
    <xf numFmtId="0" fontId="17" fillId="0" borderId="0" xfId="0" applyFont="1"/>
    <xf numFmtId="165" fontId="15" fillId="0" borderId="0" xfId="0" applyNumberFormat="1" applyFont="1" applyAlignment="1">
      <alignment horizontal="left" vertical="center" wrapText="1"/>
    </xf>
    <xf numFmtId="165" fontId="15" fillId="0" borderId="23" xfId="0" applyNumberFormat="1" applyFont="1" applyBorder="1" applyAlignment="1">
      <alignment horizontal="right" vertical="center"/>
    </xf>
    <xf numFmtId="165" fontId="15" fillId="0" borderId="0" xfId="0" applyNumberFormat="1" applyFont="1" applyAlignment="1">
      <alignment horizontal="right" vertical="center"/>
    </xf>
    <xf numFmtId="165" fontId="15" fillId="3" borderId="16" xfId="0" applyNumberFormat="1" applyFont="1" applyFill="1" applyBorder="1" applyAlignment="1">
      <alignment horizontal="center" vertical="center"/>
    </xf>
    <xf numFmtId="165" fontId="15" fillId="3" borderId="6" xfId="0" applyNumberFormat="1" applyFont="1" applyFill="1" applyBorder="1" applyAlignment="1">
      <alignment horizontal="center" vertical="center"/>
    </xf>
    <xf numFmtId="165" fontId="18" fillId="0" borderId="0" xfId="0" applyNumberFormat="1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 wrapText="1"/>
    </xf>
    <xf numFmtId="165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5" fontId="15" fillId="3" borderId="0" xfId="0" applyNumberFormat="1" applyFont="1" applyFill="1" applyAlignment="1">
      <alignment horizontal="center" vertical="center"/>
    </xf>
    <xf numFmtId="165" fontId="16" fillId="0" borderId="0" xfId="0" applyNumberFormat="1" applyFont="1" applyAlignment="1">
      <alignment horizontal="right" vertical="center" wrapText="1"/>
    </xf>
    <xf numFmtId="4" fontId="12" fillId="5" borderId="6" xfId="0" applyNumberFormat="1" applyFont="1" applyFill="1" applyBorder="1" applyAlignment="1">
      <alignment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165" fontId="15" fillId="6" borderId="17" xfId="0" applyNumberFormat="1" applyFont="1" applyFill="1" applyBorder="1" applyAlignment="1">
      <alignment horizontal="right" vertical="center"/>
    </xf>
    <xf numFmtId="165" fontId="15" fillId="6" borderId="17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3" fontId="15" fillId="0" borderId="0" xfId="0" applyNumberFormat="1" applyFont="1" applyAlignment="1">
      <alignment horizontal="right" vertical="center"/>
    </xf>
    <xf numFmtId="3" fontId="15" fillId="3" borderId="0" xfId="0" applyNumberFormat="1" applyFont="1" applyFill="1" applyAlignment="1">
      <alignment horizontal="right" vertical="center"/>
    </xf>
    <xf numFmtId="164" fontId="15" fillId="3" borderId="16" xfId="0" applyNumberFormat="1" applyFont="1" applyFill="1" applyBorder="1" applyAlignment="1">
      <alignment horizontal="center" vertical="center"/>
    </xf>
    <xf numFmtId="164" fontId="15" fillId="3" borderId="6" xfId="0" applyNumberFormat="1" applyFont="1" applyFill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/>
    </xf>
    <xf numFmtId="9" fontId="15" fillId="5" borderId="6" xfId="0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2" fillId="3" borderId="0" xfId="0" applyFont="1" applyFill="1" applyAlignment="1">
      <alignment horizontal="left" vertical="center" wrapText="1"/>
    </xf>
    <xf numFmtId="0" fontId="12" fillId="3" borderId="23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29" xfId="0" applyFont="1" applyFill="1" applyBorder="1" applyAlignment="1">
      <alignment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5" fontId="12" fillId="3" borderId="0" xfId="0" applyNumberFormat="1" applyFont="1" applyFill="1" applyAlignment="1">
      <alignment vertical="center"/>
    </xf>
    <xf numFmtId="0" fontId="12" fillId="8" borderId="34" xfId="0" applyFont="1" applyFill="1" applyBorder="1" applyAlignment="1">
      <alignment horizontal="left" vertical="center" wrapText="1"/>
    </xf>
    <xf numFmtId="0" fontId="12" fillId="8" borderId="35" xfId="0" applyFont="1" applyFill="1" applyBorder="1" applyAlignment="1">
      <alignment vertical="center"/>
    </xf>
    <xf numFmtId="0" fontId="12" fillId="8" borderId="36" xfId="0" applyFont="1" applyFill="1" applyBorder="1" applyAlignment="1">
      <alignment vertical="center"/>
    </xf>
    <xf numFmtId="0" fontId="12" fillId="8" borderId="37" xfId="0" applyFont="1" applyFill="1" applyBorder="1" applyAlignment="1">
      <alignment vertical="center"/>
    </xf>
    <xf numFmtId="0" fontId="12" fillId="8" borderId="37" xfId="0" applyFont="1" applyFill="1" applyBorder="1" applyAlignment="1">
      <alignment horizontal="center" vertical="center"/>
    </xf>
    <xf numFmtId="0" fontId="12" fillId="8" borderId="35" xfId="0" applyFont="1" applyFill="1" applyBorder="1" applyAlignment="1">
      <alignment horizontal="center" vertical="center"/>
    </xf>
    <xf numFmtId="0" fontId="12" fillId="8" borderId="36" xfId="0" applyFont="1" applyFill="1" applyBorder="1" applyAlignment="1">
      <alignment horizontal="center" vertical="center"/>
    </xf>
    <xf numFmtId="0" fontId="13" fillId="8" borderId="36" xfId="0" applyFont="1" applyFill="1" applyBorder="1" applyAlignment="1">
      <alignment horizontal="center" vertical="center"/>
    </xf>
    <xf numFmtId="0" fontId="12" fillId="8" borderId="36" xfId="0" applyFont="1" applyFill="1" applyBorder="1" applyAlignment="1">
      <alignment horizontal="right" vertical="center"/>
    </xf>
    <xf numFmtId="0" fontId="12" fillId="8" borderId="38" xfId="0" applyFont="1" applyFill="1" applyBorder="1" applyAlignment="1">
      <alignment horizontal="center" vertical="center"/>
    </xf>
    <xf numFmtId="0" fontId="12" fillId="8" borderId="39" xfId="0" applyFont="1" applyFill="1" applyBorder="1" applyAlignment="1">
      <alignment vertical="center"/>
    </xf>
    <xf numFmtId="0" fontId="15" fillId="8" borderId="40" xfId="0" applyFont="1" applyFill="1" applyBorder="1" applyAlignment="1">
      <alignment horizontal="left" vertical="center" wrapText="1"/>
    </xf>
    <xf numFmtId="0" fontId="12" fillId="9" borderId="16" xfId="0" applyFont="1" applyFill="1" applyBorder="1" applyAlignment="1">
      <alignment horizontal="left" vertical="center"/>
    </xf>
    <xf numFmtId="0" fontId="12" fillId="9" borderId="6" xfId="0" applyFont="1" applyFill="1" applyBorder="1" applyAlignment="1">
      <alignment vertical="center"/>
    </xf>
    <xf numFmtId="0" fontId="12" fillId="9" borderId="17" xfId="0" applyFont="1" applyFill="1" applyBorder="1" applyAlignment="1">
      <alignment vertical="center"/>
    </xf>
    <xf numFmtId="0" fontId="12" fillId="9" borderId="17" xfId="0" applyFont="1" applyFill="1" applyBorder="1" applyAlignment="1">
      <alignment horizontal="center" vertical="center"/>
    </xf>
    <xf numFmtId="0" fontId="12" fillId="9" borderId="1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right" vertical="center"/>
    </xf>
    <xf numFmtId="0" fontId="12" fillId="9" borderId="14" xfId="0" applyFont="1" applyFill="1" applyBorder="1" applyAlignment="1">
      <alignment vertical="center"/>
    </xf>
    <xf numFmtId="0" fontId="12" fillId="9" borderId="16" xfId="0" applyFont="1" applyFill="1" applyBorder="1" applyAlignment="1">
      <alignment vertical="center"/>
    </xf>
    <xf numFmtId="9" fontId="12" fillId="0" borderId="41" xfId="0" applyNumberFormat="1" applyFont="1" applyBorder="1" applyAlignment="1">
      <alignment horizontal="left" vertical="center"/>
    </xf>
    <xf numFmtId="0" fontId="15" fillId="9" borderId="40" xfId="0" applyFont="1" applyFill="1" applyBorder="1" applyAlignment="1">
      <alignment horizontal="right" vertical="center" wrapText="1"/>
    </xf>
    <xf numFmtId="0" fontId="15" fillId="9" borderId="16" xfId="0" applyFont="1" applyFill="1" applyBorder="1" applyAlignment="1">
      <alignment vertical="center"/>
    </xf>
    <xf numFmtId="0" fontId="20" fillId="0" borderId="0" xfId="0" applyFont="1" applyAlignment="1">
      <alignment horizontal="right"/>
    </xf>
    <xf numFmtId="9" fontId="15" fillId="6" borderId="13" xfId="0" applyNumberFormat="1" applyFont="1" applyFill="1" applyBorder="1" applyAlignment="1">
      <alignment horizontal="right" vertical="center"/>
    </xf>
    <xf numFmtId="166" fontId="15" fillId="10" borderId="0" xfId="0" applyNumberFormat="1" applyFont="1" applyFill="1" applyAlignment="1">
      <alignment horizontal="right" vertical="center"/>
    </xf>
    <xf numFmtId="9" fontId="15" fillId="0" borderId="41" xfId="0" applyNumberFormat="1" applyFont="1" applyBorder="1" applyAlignment="1">
      <alignment horizontal="right" vertical="center"/>
    </xf>
    <xf numFmtId="0" fontId="15" fillId="11" borderId="42" xfId="0" applyFont="1" applyFill="1" applyBorder="1" applyAlignment="1">
      <alignment horizontal="right" vertical="center" wrapText="1"/>
    </xf>
    <xf numFmtId="0" fontId="12" fillId="9" borderId="43" xfId="0" applyFont="1" applyFill="1" applyBorder="1" applyAlignment="1">
      <alignment vertical="center"/>
    </xf>
    <xf numFmtId="0" fontId="12" fillId="9" borderId="44" xfId="0" applyFont="1" applyFill="1" applyBorder="1" applyAlignment="1">
      <alignment vertical="center"/>
    </xf>
    <xf numFmtId="0" fontId="12" fillId="9" borderId="45" xfId="0" applyFont="1" applyFill="1" applyBorder="1" applyAlignment="1">
      <alignment vertical="center"/>
    </xf>
    <xf numFmtId="0" fontId="12" fillId="9" borderId="45" xfId="0" applyFont="1" applyFill="1" applyBorder="1" applyAlignment="1">
      <alignment horizontal="center" vertical="center"/>
    </xf>
    <xf numFmtId="0" fontId="12" fillId="9" borderId="43" xfId="0" applyFont="1" applyFill="1" applyBorder="1" applyAlignment="1">
      <alignment horizontal="center" vertical="center"/>
    </xf>
    <xf numFmtId="0" fontId="12" fillId="9" borderId="44" xfId="0" applyFont="1" applyFill="1" applyBorder="1" applyAlignment="1">
      <alignment horizontal="center" vertical="center"/>
    </xf>
    <xf numFmtId="0" fontId="13" fillId="9" borderId="44" xfId="0" applyFont="1" applyFill="1" applyBorder="1" applyAlignment="1">
      <alignment horizontal="center" vertical="center"/>
    </xf>
    <xf numFmtId="0" fontId="12" fillId="9" borderId="44" xfId="0" applyFont="1" applyFill="1" applyBorder="1" applyAlignment="1">
      <alignment horizontal="right" vertical="center"/>
    </xf>
    <xf numFmtId="9" fontId="12" fillId="6" borderId="46" xfId="0" applyNumberFormat="1" applyFont="1" applyFill="1" applyBorder="1" applyAlignment="1">
      <alignment horizontal="center" vertical="center"/>
    </xf>
    <xf numFmtId="0" fontId="15" fillId="10" borderId="0" xfId="0" applyFont="1" applyFill="1" applyAlignment="1">
      <alignment horizontal="right" vertical="center"/>
    </xf>
    <xf numFmtId="0" fontId="12" fillId="9" borderId="47" xfId="0" applyFont="1" applyFill="1" applyBorder="1" applyAlignment="1">
      <alignment vertical="center"/>
    </xf>
    <xf numFmtId="9" fontId="15" fillId="0" borderId="48" xfId="0" applyNumberFormat="1" applyFont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5" fillId="12" borderId="49" xfId="0" applyFont="1" applyFill="1" applyBorder="1" applyAlignment="1">
      <alignment horizontal="right" vertical="center" wrapText="1"/>
    </xf>
    <xf numFmtId="0" fontId="12" fillId="12" borderId="50" xfId="0" applyFont="1" applyFill="1" applyBorder="1" applyAlignment="1">
      <alignment horizontal="left" vertical="center"/>
    </xf>
    <xf numFmtId="0" fontId="12" fillId="12" borderId="51" xfId="0" applyFont="1" applyFill="1" applyBorder="1" applyAlignment="1">
      <alignment horizontal="left" vertical="center"/>
    </xf>
    <xf numFmtId="0" fontId="12" fillId="12" borderId="52" xfId="0" applyFont="1" applyFill="1" applyBorder="1" applyAlignment="1">
      <alignment horizontal="left" vertical="center"/>
    </xf>
    <xf numFmtId="166" fontId="12" fillId="12" borderId="23" xfId="0" applyNumberFormat="1" applyFont="1" applyFill="1" applyBorder="1" applyAlignment="1">
      <alignment horizontal="left" vertical="center"/>
    </xf>
    <xf numFmtId="166" fontId="12" fillId="12" borderId="0" xfId="0" applyNumberFormat="1" applyFont="1" applyFill="1" applyAlignment="1">
      <alignment horizontal="left" vertical="center"/>
    </xf>
    <xf numFmtId="9" fontId="12" fillId="12" borderId="41" xfId="0" applyNumberFormat="1" applyFont="1" applyFill="1" applyBorder="1" applyAlignment="1">
      <alignment horizontal="center" vertical="center"/>
    </xf>
    <xf numFmtId="166" fontId="12" fillId="12" borderId="50" xfId="0" applyNumberFormat="1" applyFont="1" applyFill="1" applyBorder="1" applyAlignment="1">
      <alignment horizontal="center" vertical="center"/>
    </xf>
    <xf numFmtId="166" fontId="12" fillId="12" borderId="0" xfId="0" applyNumberFormat="1" applyFont="1" applyFill="1" applyAlignment="1">
      <alignment horizontal="center" vertical="center"/>
    </xf>
    <xf numFmtId="166" fontId="13" fillId="12" borderId="0" xfId="0" applyNumberFormat="1" applyFont="1" applyFill="1" applyAlignment="1">
      <alignment horizontal="center" vertical="center"/>
    </xf>
    <xf numFmtId="166" fontId="12" fillId="12" borderId="0" xfId="0" applyNumberFormat="1" applyFont="1" applyFill="1" applyAlignment="1">
      <alignment horizontal="right" vertical="center"/>
    </xf>
    <xf numFmtId="9" fontId="15" fillId="12" borderId="0" xfId="0" applyNumberFormat="1" applyFont="1" applyFill="1" applyAlignment="1">
      <alignment horizontal="center" vertical="center"/>
    </xf>
    <xf numFmtId="167" fontId="12" fillId="12" borderId="0" xfId="0" applyNumberFormat="1" applyFont="1" applyFill="1" applyAlignment="1">
      <alignment horizontal="left" vertical="center"/>
    </xf>
    <xf numFmtId="167" fontId="12" fillId="12" borderId="0" xfId="0" applyNumberFormat="1" applyFont="1" applyFill="1" applyAlignment="1">
      <alignment horizontal="center" vertical="center"/>
    </xf>
    <xf numFmtId="166" fontId="15" fillId="12" borderId="0" xfId="0" applyNumberFormat="1" applyFont="1" applyFill="1" applyAlignment="1">
      <alignment horizontal="right" vertical="center"/>
    </xf>
    <xf numFmtId="1" fontId="12" fillId="12" borderId="0" xfId="0" applyNumberFormat="1" applyFont="1" applyFill="1" applyAlignment="1">
      <alignment horizontal="left" vertical="center"/>
    </xf>
    <xf numFmtId="9" fontId="12" fillId="12" borderId="41" xfId="0" applyNumberFormat="1" applyFont="1" applyFill="1" applyBorder="1" applyAlignment="1">
      <alignment horizontal="left" vertical="center"/>
    </xf>
    <xf numFmtId="4" fontId="12" fillId="5" borderId="6" xfId="0" applyNumberFormat="1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8" borderId="49" xfId="0" applyFont="1" applyFill="1" applyBorder="1" applyAlignment="1">
      <alignment horizontal="left" vertical="center" wrapText="1"/>
    </xf>
    <xf numFmtId="0" fontId="12" fillId="13" borderId="50" xfId="0" applyFont="1" applyFill="1" applyBorder="1" applyAlignment="1">
      <alignment horizontal="left" vertical="center"/>
    </xf>
    <xf numFmtId="0" fontId="12" fillId="13" borderId="51" xfId="0" applyFont="1" applyFill="1" applyBorder="1" applyAlignment="1">
      <alignment horizontal="left" vertical="center"/>
    </xf>
    <xf numFmtId="0" fontId="12" fillId="13" borderId="52" xfId="0" applyFont="1" applyFill="1" applyBorder="1" applyAlignment="1">
      <alignment horizontal="left" vertical="center"/>
    </xf>
    <xf numFmtId="166" fontId="12" fillId="0" borderId="23" xfId="0" applyNumberFormat="1" applyFont="1" applyBorder="1" applyAlignment="1">
      <alignment horizontal="left" vertical="center"/>
    </xf>
    <xf numFmtId="166" fontId="12" fillId="0" borderId="0" xfId="0" applyNumberFormat="1" applyFont="1" applyAlignment="1">
      <alignment horizontal="left" vertical="center"/>
    </xf>
    <xf numFmtId="9" fontId="12" fillId="0" borderId="41" xfId="0" applyNumberFormat="1" applyFont="1" applyBorder="1" applyAlignment="1">
      <alignment horizontal="center" vertical="center"/>
    </xf>
    <xf numFmtId="166" fontId="12" fillId="13" borderId="50" xfId="0" applyNumberFormat="1" applyFont="1" applyFill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right" vertical="center"/>
    </xf>
    <xf numFmtId="9" fontId="15" fillId="14" borderId="0" xfId="0" applyNumberFormat="1" applyFont="1" applyFill="1" applyAlignment="1">
      <alignment horizontal="center" vertical="center"/>
    </xf>
    <xf numFmtId="167" fontId="12" fillId="0" borderId="0" xfId="0" applyNumberFormat="1" applyFont="1" applyAlignment="1">
      <alignment horizontal="left" vertical="center"/>
    </xf>
    <xf numFmtId="167" fontId="12" fillId="0" borderId="0" xfId="0" applyNumberFormat="1" applyFont="1" applyAlignment="1">
      <alignment horizontal="center" vertical="center"/>
    </xf>
    <xf numFmtId="166" fontId="12" fillId="10" borderId="0" xfId="0" applyNumberFormat="1" applyFont="1" applyFill="1" applyAlignment="1">
      <alignment horizontal="right" vertical="center"/>
    </xf>
    <xf numFmtId="9" fontId="15" fillId="10" borderId="0" xfId="0" applyNumberFormat="1" applyFont="1" applyFill="1" applyAlignment="1">
      <alignment horizontal="center" vertical="center"/>
    </xf>
    <xf numFmtId="1" fontId="12" fillId="0" borderId="0" xfId="0" applyNumberFormat="1" applyFont="1" applyAlignment="1">
      <alignment horizontal="left" vertical="center"/>
    </xf>
    <xf numFmtId="0" fontId="15" fillId="8" borderId="40" xfId="0" applyFont="1" applyFill="1" applyBorder="1" applyAlignment="1">
      <alignment horizontal="right" vertical="center" wrapText="1"/>
    </xf>
    <xf numFmtId="166" fontId="15" fillId="10" borderId="0" xfId="0" applyNumberFormat="1" applyFont="1" applyFill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9" fillId="13" borderId="50" xfId="0" applyFont="1" applyFill="1" applyBorder="1" applyAlignment="1">
      <alignment horizontal="left" vertical="center"/>
    </xf>
    <xf numFmtId="1" fontId="15" fillId="0" borderId="0" xfId="0" applyNumberFormat="1" applyFont="1" applyAlignment="1">
      <alignment horizontal="right" vertical="center"/>
    </xf>
    <xf numFmtId="0" fontId="15" fillId="8" borderId="34" xfId="0" applyFont="1" applyFill="1" applyBorder="1" applyAlignment="1">
      <alignment horizontal="left" vertical="center" wrapText="1"/>
    </xf>
    <xf numFmtId="0" fontId="12" fillId="13" borderId="35" xfId="0" applyFont="1" applyFill="1" applyBorder="1" applyAlignment="1">
      <alignment horizontal="left" vertical="center"/>
    </xf>
    <xf numFmtId="0" fontId="12" fillId="13" borderId="36" xfId="0" applyFont="1" applyFill="1" applyBorder="1" applyAlignment="1">
      <alignment horizontal="left" vertical="center"/>
    </xf>
    <xf numFmtId="0" fontId="12" fillId="13" borderId="37" xfId="0" applyFont="1" applyFill="1" applyBorder="1" applyAlignment="1">
      <alignment horizontal="left" vertical="center"/>
    </xf>
    <xf numFmtId="166" fontId="12" fillId="0" borderId="53" xfId="0" applyNumberFormat="1" applyFont="1" applyBorder="1" applyAlignment="1">
      <alignment horizontal="left" vertical="center"/>
    </xf>
    <xf numFmtId="166" fontId="12" fillId="0" borderId="25" xfId="0" applyNumberFormat="1" applyFont="1" applyBorder="1" applyAlignment="1">
      <alignment horizontal="left" vertical="center"/>
    </xf>
    <xf numFmtId="9" fontId="12" fillId="0" borderId="54" xfId="0" applyNumberFormat="1" applyFont="1" applyBorder="1" applyAlignment="1">
      <alignment horizontal="center" vertical="center"/>
    </xf>
    <xf numFmtId="166" fontId="12" fillId="13" borderId="35" xfId="0" applyNumberFormat="1" applyFont="1" applyFill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66" fontId="13" fillId="0" borderId="25" xfId="0" applyNumberFormat="1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right" vertical="center"/>
    </xf>
    <xf numFmtId="166" fontId="12" fillId="3" borderId="0" xfId="0" applyNumberFormat="1" applyFont="1" applyFill="1" applyAlignment="1">
      <alignment horizontal="center" vertical="center"/>
    </xf>
    <xf numFmtId="1" fontId="12" fillId="0" borderId="25" xfId="0" applyNumberFormat="1" applyFont="1" applyBorder="1" applyAlignment="1">
      <alignment horizontal="left" vertical="center"/>
    </xf>
    <xf numFmtId="9" fontId="12" fillId="0" borderId="54" xfId="0" applyNumberFormat="1" applyFont="1" applyBorder="1" applyAlignment="1">
      <alignment horizontal="left" vertical="center"/>
    </xf>
    <xf numFmtId="0" fontId="21" fillId="8" borderId="40" xfId="0" applyFont="1" applyFill="1" applyBorder="1" applyAlignment="1">
      <alignment horizontal="right" vertical="center" wrapText="1"/>
    </xf>
    <xf numFmtId="0" fontId="12" fillId="13" borderId="16" xfId="0" applyFont="1" applyFill="1" applyBorder="1" applyAlignment="1">
      <alignment horizontal="right" vertical="center"/>
    </xf>
    <xf numFmtId="0" fontId="12" fillId="13" borderId="6" xfId="0" applyFont="1" applyFill="1" applyBorder="1" applyAlignment="1">
      <alignment horizontal="right" vertical="center"/>
    </xf>
    <xf numFmtId="0" fontId="12" fillId="13" borderId="17" xfId="0" applyFont="1" applyFill="1" applyBorder="1" applyAlignment="1">
      <alignment horizontal="right" vertical="center"/>
    </xf>
    <xf numFmtId="166" fontId="15" fillId="0" borderId="23" xfId="0" applyNumberFormat="1" applyFont="1" applyBorder="1" applyAlignment="1">
      <alignment horizontal="right" vertical="center"/>
    </xf>
    <xf numFmtId="166" fontId="15" fillId="0" borderId="0" xfId="0" applyNumberFormat="1" applyFont="1" applyAlignment="1">
      <alignment horizontal="right" vertical="center"/>
    </xf>
    <xf numFmtId="9" fontId="15" fillId="0" borderId="41" xfId="0" applyNumberFormat="1" applyFont="1" applyBorder="1" applyAlignment="1">
      <alignment horizontal="center" vertical="center"/>
    </xf>
    <xf numFmtId="166" fontId="15" fillId="13" borderId="16" xfId="0" applyNumberFormat="1" applyFont="1" applyFill="1" applyBorder="1" applyAlignment="1">
      <alignment horizontal="center" vertical="center"/>
    </xf>
    <xf numFmtId="166" fontId="15" fillId="13" borderId="6" xfId="0" applyNumberFormat="1" applyFont="1" applyFill="1" applyBorder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167" fontId="15" fillId="0" borderId="0" xfId="0" applyNumberFormat="1" applyFont="1" applyAlignment="1">
      <alignment horizontal="right" vertical="center"/>
    </xf>
    <xf numFmtId="167" fontId="15" fillId="3" borderId="0" xfId="0" applyNumberFormat="1" applyFont="1" applyFill="1" applyAlignment="1">
      <alignment horizontal="right" vertical="center"/>
    </xf>
    <xf numFmtId="167" fontId="15" fillId="0" borderId="0" xfId="0" applyNumberFormat="1" applyFont="1" applyAlignment="1">
      <alignment horizontal="center" vertical="center"/>
    </xf>
    <xf numFmtId="9" fontId="15" fillId="15" borderId="0" xfId="0" applyNumberFormat="1" applyFont="1" applyFill="1" applyAlignment="1">
      <alignment horizontal="center" vertical="center"/>
    </xf>
    <xf numFmtId="166" fontId="22" fillId="10" borderId="0" xfId="0" applyNumberFormat="1" applyFont="1" applyFill="1" applyAlignment="1">
      <alignment horizontal="center" vertical="center"/>
    </xf>
    <xf numFmtId="1" fontId="15" fillId="5" borderId="23" xfId="0" applyNumberFormat="1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right" vertical="center"/>
    </xf>
    <xf numFmtId="9" fontId="15" fillId="0" borderId="0" xfId="0" applyNumberFormat="1" applyFont="1" applyAlignment="1">
      <alignment horizontal="right" vertical="center"/>
    </xf>
    <xf numFmtId="0" fontId="15" fillId="12" borderId="55" xfId="0" applyFont="1" applyFill="1" applyBorder="1" applyAlignment="1">
      <alignment horizontal="right" vertical="center" wrapText="1"/>
    </xf>
    <xf numFmtId="0" fontId="12" fillId="3" borderId="23" xfId="0" applyFont="1" applyFill="1" applyBorder="1" applyAlignment="1">
      <alignment horizontal="right" vertical="center"/>
    </xf>
    <xf numFmtId="0" fontId="12" fillId="3" borderId="0" xfId="0" applyFont="1" applyFill="1" applyAlignment="1">
      <alignment horizontal="right" vertical="center"/>
    </xf>
    <xf numFmtId="9" fontId="12" fillId="3" borderId="41" xfId="0" applyNumberFormat="1" applyFont="1" applyFill="1" applyBorder="1" applyAlignment="1">
      <alignment horizontal="center" vertical="center"/>
    </xf>
    <xf numFmtId="166" fontId="12" fillId="3" borderId="19" xfId="0" applyNumberFormat="1" applyFont="1" applyFill="1" applyBorder="1" applyAlignment="1">
      <alignment horizontal="center" vertical="center"/>
    </xf>
    <xf numFmtId="166" fontId="13" fillId="3" borderId="0" xfId="0" applyNumberFormat="1" applyFont="1" applyFill="1" applyAlignment="1">
      <alignment horizontal="center" vertical="center"/>
    </xf>
    <xf numFmtId="166" fontId="12" fillId="3" borderId="0" xfId="0" applyNumberFormat="1" applyFont="1" applyFill="1" applyAlignment="1">
      <alignment horizontal="right" vertical="center"/>
    </xf>
    <xf numFmtId="9" fontId="12" fillId="3" borderId="0" xfId="0" applyNumberFormat="1" applyFont="1" applyFill="1" applyAlignment="1">
      <alignment horizontal="center" vertical="center"/>
    </xf>
    <xf numFmtId="167" fontId="7" fillId="3" borderId="0" xfId="0" applyNumberFormat="1" applyFont="1" applyFill="1"/>
    <xf numFmtId="167" fontId="15" fillId="3" borderId="0" xfId="0" applyNumberFormat="1" applyFont="1" applyFill="1" applyAlignment="1">
      <alignment horizontal="center" vertical="center"/>
    </xf>
    <xf numFmtId="9" fontId="15" fillId="3" borderId="0" xfId="0" applyNumberFormat="1" applyFont="1" applyFill="1" applyAlignment="1">
      <alignment horizontal="center" vertical="center"/>
    </xf>
    <xf numFmtId="1" fontId="15" fillId="3" borderId="0" xfId="0" applyNumberFormat="1" applyFont="1" applyFill="1" applyAlignment="1">
      <alignment horizontal="right" vertical="center"/>
    </xf>
    <xf numFmtId="166" fontId="15" fillId="3" borderId="23" xfId="0" applyNumberFormat="1" applyFont="1" applyFill="1" applyBorder="1" applyAlignment="1">
      <alignment horizontal="right" vertical="center"/>
    </xf>
    <xf numFmtId="0" fontId="15" fillId="3" borderId="0" xfId="0" applyFont="1" applyFill="1" applyAlignment="1">
      <alignment horizontal="right" vertical="center"/>
    </xf>
    <xf numFmtId="9" fontId="12" fillId="5" borderId="6" xfId="0" applyNumberFormat="1" applyFont="1" applyFill="1" applyBorder="1" applyAlignment="1">
      <alignment horizontal="left" vertical="center"/>
    </xf>
    <xf numFmtId="0" fontId="12" fillId="13" borderId="43" xfId="0" applyFont="1" applyFill="1" applyBorder="1" applyAlignment="1">
      <alignment horizontal="right" vertical="center"/>
    </xf>
    <xf numFmtId="0" fontId="7" fillId="13" borderId="44" xfId="0" applyFont="1" applyFill="1" applyBorder="1"/>
    <xf numFmtId="9" fontId="12" fillId="13" borderId="45" xfId="0" applyNumberFormat="1" applyFont="1" applyFill="1" applyBorder="1" applyAlignment="1">
      <alignment horizontal="left" vertical="center"/>
    </xf>
    <xf numFmtId="0" fontId="12" fillId="13" borderId="44" xfId="0" applyFont="1" applyFill="1" applyBorder="1" applyAlignment="1">
      <alignment horizontal="right" vertical="center"/>
    </xf>
    <xf numFmtId="9" fontId="12" fillId="16" borderId="45" xfId="0" applyNumberFormat="1" applyFont="1" applyFill="1" applyBorder="1" applyAlignment="1">
      <alignment horizontal="center" vertical="center"/>
    </xf>
    <xf numFmtId="166" fontId="12" fillId="13" borderId="43" xfId="0" applyNumberFormat="1" applyFont="1" applyFill="1" applyBorder="1" applyAlignment="1">
      <alignment horizontal="center" vertical="center"/>
    </xf>
    <xf numFmtId="166" fontId="12" fillId="13" borderId="44" xfId="0" applyNumberFormat="1" applyFont="1" applyFill="1" applyBorder="1" applyAlignment="1">
      <alignment horizontal="center" vertical="center"/>
    </xf>
    <xf numFmtId="166" fontId="13" fillId="13" borderId="44" xfId="0" applyNumberFormat="1" applyFont="1" applyFill="1" applyBorder="1" applyAlignment="1">
      <alignment horizontal="center" vertical="center"/>
    </xf>
    <xf numFmtId="166" fontId="12" fillId="13" borderId="44" xfId="0" applyNumberFormat="1" applyFont="1" applyFill="1" applyBorder="1" applyAlignment="1">
      <alignment horizontal="right" vertical="center"/>
    </xf>
    <xf numFmtId="9" fontId="12" fillId="16" borderId="46" xfId="0" applyNumberFormat="1" applyFont="1" applyFill="1" applyBorder="1" applyAlignment="1">
      <alignment horizontal="center" vertical="center"/>
    </xf>
    <xf numFmtId="166" fontId="15" fillId="3" borderId="0" xfId="0" applyNumberFormat="1" applyFont="1" applyFill="1" applyAlignment="1">
      <alignment horizontal="right" vertical="center"/>
    </xf>
    <xf numFmtId="1" fontId="15" fillId="0" borderId="32" xfId="0" applyNumberFormat="1" applyFont="1" applyBorder="1" applyAlignment="1">
      <alignment horizontal="right" vertical="center"/>
    </xf>
    <xf numFmtId="1" fontId="15" fillId="0" borderId="56" xfId="0" applyNumberFormat="1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9" fontId="12" fillId="0" borderId="48" xfId="0" applyNumberFormat="1" applyFont="1" applyBorder="1" applyAlignment="1">
      <alignment horizontal="right" vertical="center"/>
    </xf>
    <xf numFmtId="0" fontId="12" fillId="0" borderId="25" xfId="0" applyFont="1" applyBorder="1" applyAlignment="1">
      <alignment horizontal="left" vertical="center"/>
    </xf>
    <xf numFmtId="166" fontId="12" fillId="0" borderId="53" xfId="0" applyNumberFormat="1" applyFont="1" applyBorder="1" applyAlignment="1">
      <alignment horizontal="center" vertical="center"/>
    </xf>
    <xf numFmtId="9" fontId="12" fillId="0" borderId="25" xfId="0" applyNumberFormat="1" applyFont="1" applyBorder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2" fontId="12" fillId="0" borderId="53" xfId="0" applyNumberFormat="1" applyFont="1" applyBorder="1" applyAlignment="1">
      <alignment horizontal="left" vertical="center"/>
    </xf>
    <xf numFmtId="168" fontId="12" fillId="0" borderId="54" xfId="0" applyNumberFormat="1" applyFont="1" applyBorder="1" applyAlignment="1">
      <alignment horizontal="left" vertical="center"/>
    </xf>
    <xf numFmtId="1" fontId="12" fillId="5" borderId="6" xfId="0" applyNumberFormat="1" applyFont="1" applyFill="1" applyBorder="1" applyAlignment="1">
      <alignment horizontal="left" vertical="center"/>
    </xf>
    <xf numFmtId="9" fontId="12" fillId="0" borderId="41" xfId="0" applyNumberFormat="1" applyFont="1" applyBorder="1" applyAlignment="1">
      <alignment horizontal="right" vertical="center"/>
    </xf>
    <xf numFmtId="9" fontId="15" fillId="0" borderId="54" xfId="0" applyNumberFormat="1" applyFont="1" applyBorder="1" applyAlignment="1">
      <alignment horizontal="center" vertical="center"/>
    </xf>
    <xf numFmtId="166" fontId="22" fillId="13" borderId="6" xfId="0" applyNumberFormat="1" applyFont="1" applyFill="1" applyBorder="1" applyAlignment="1">
      <alignment horizontal="center" vertical="center"/>
    </xf>
    <xf numFmtId="166" fontId="12" fillId="13" borderId="6" xfId="0" applyNumberFormat="1" applyFont="1" applyFill="1" applyBorder="1" applyAlignment="1">
      <alignment horizontal="right" vertical="center"/>
    </xf>
    <xf numFmtId="167" fontId="12" fillId="13" borderId="0" xfId="0" applyNumberFormat="1" applyFont="1" applyFill="1" applyAlignment="1">
      <alignment horizontal="center" vertical="center"/>
    </xf>
    <xf numFmtId="167" fontId="15" fillId="13" borderId="0" xfId="0" applyNumberFormat="1" applyFont="1" applyFill="1" applyAlignment="1">
      <alignment horizontal="center" vertical="center"/>
    </xf>
    <xf numFmtId="9" fontId="15" fillId="13" borderId="0" xfId="0" applyNumberFormat="1" applyFont="1" applyFill="1" applyAlignment="1">
      <alignment horizontal="center" vertical="center"/>
    </xf>
    <xf numFmtId="168" fontId="15" fillId="6" borderId="17" xfId="0" applyNumberFormat="1" applyFont="1" applyFill="1" applyBorder="1" applyAlignment="1">
      <alignment horizontal="right" vertical="center"/>
    </xf>
    <xf numFmtId="9" fontId="12" fillId="3" borderId="17" xfId="0" applyNumberFormat="1" applyFont="1" applyFill="1" applyBorder="1" applyAlignment="1">
      <alignment horizontal="right" vertical="center"/>
    </xf>
    <xf numFmtId="167" fontId="21" fillId="0" borderId="0" xfId="0" applyNumberFormat="1" applyFont="1" applyAlignment="1">
      <alignment horizontal="right" vertical="center"/>
    </xf>
    <xf numFmtId="168" fontId="15" fillId="0" borderId="41" xfId="0" applyNumberFormat="1" applyFont="1" applyBorder="1" applyAlignment="1">
      <alignment horizontal="right" vertical="center"/>
    </xf>
    <xf numFmtId="0" fontId="15" fillId="13" borderId="0" xfId="0" applyFont="1" applyFill="1" applyAlignment="1">
      <alignment horizontal="center" vertical="center"/>
    </xf>
    <xf numFmtId="166" fontId="15" fillId="5" borderId="0" xfId="0" applyNumberFormat="1" applyFont="1" applyFill="1" applyAlignment="1">
      <alignment horizontal="center" vertical="center"/>
    </xf>
    <xf numFmtId="0" fontId="15" fillId="13" borderId="16" xfId="0" applyFont="1" applyFill="1" applyBorder="1" applyAlignment="1">
      <alignment horizontal="right" vertical="center"/>
    </xf>
    <xf numFmtId="0" fontId="15" fillId="13" borderId="6" xfId="0" applyFont="1" applyFill="1" applyBorder="1" applyAlignment="1">
      <alignment horizontal="right" vertical="center"/>
    </xf>
    <xf numFmtId="0" fontId="15" fillId="13" borderId="17" xfId="0" applyFont="1" applyFill="1" applyBorder="1" applyAlignment="1">
      <alignment horizontal="right" vertical="center"/>
    </xf>
    <xf numFmtId="0" fontId="15" fillId="15" borderId="23" xfId="0" applyFont="1" applyFill="1" applyBorder="1" applyAlignment="1">
      <alignment horizontal="right" vertical="center"/>
    </xf>
    <xf numFmtId="0" fontId="15" fillId="15" borderId="0" xfId="0" applyFont="1" applyFill="1" applyAlignment="1">
      <alignment horizontal="right" vertical="center"/>
    </xf>
    <xf numFmtId="9" fontId="15" fillId="15" borderId="54" xfId="0" applyNumberFormat="1" applyFont="1" applyFill="1" applyBorder="1" applyAlignment="1">
      <alignment horizontal="center" vertical="center"/>
    </xf>
    <xf numFmtId="166" fontId="15" fillId="0" borderId="23" xfId="0" applyNumberFormat="1" applyFont="1" applyBorder="1" applyAlignment="1">
      <alignment horizontal="center" vertical="center"/>
    </xf>
    <xf numFmtId="167" fontId="15" fillId="5" borderId="0" xfId="0" applyNumberFormat="1" applyFont="1" applyFill="1" applyAlignment="1">
      <alignment horizontal="center" vertical="center"/>
    </xf>
    <xf numFmtId="0" fontId="15" fillId="13" borderId="19" xfId="0" applyFont="1" applyFill="1" applyBorder="1" applyAlignment="1">
      <alignment horizontal="right" vertical="center"/>
    </xf>
    <xf numFmtId="0" fontId="15" fillId="13" borderId="1" xfId="0" applyFont="1" applyFill="1" applyBorder="1" applyAlignment="1">
      <alignment horizontal="right" vertical="center"/>
    </xf>
    <xf numFmtId="0" fontId="15" fillId="13" borderId="57" xfId="0" applyFont="1" applyFill="1" applyBorder="1" applyAlignment="1">
      <alignment horizontal="right" vertical="center"/>
    </xf>
    <xf numFmtId="9" fontId="15" fillId="15" borderId="41" xfId="0" applyNumberFormat="1" applyFont="1" applyFill="1" applyBorder="1" applyAlignment="1">
      <alignment horizontal="center" vertical="center"/>
    </xf>
    <xf numFmtId="0" fontId="15" fillId="13" borderId="43" xfId="0" applyFont="1" applyFill="1" applyBorder="1" applyAlignment="1">
      <alignment horizontal="right" vertical="center"/>
    </xf>
    <xf numFmtId="0" fontId="15" fillId="13" borderId="44" xfId="0" applyFont="1" applyFill="1" applyBorder="1" applyAlignment="1">
      <alignment horizontal="right" vertical="center"/>
    </xf>
    <xf numFmtId="0" fontId="15" fillId="13" borderId="45" xfId="0" applyFont="1" applyFill="1" applyBorder="1" applyAlignment="1">
      <alignment horizontal="right" vertical="center"/>
    </xf>
    <xf numFmtId="9" fontId="15" fillId="15" borderId="48" xfId="0" applyNumberFormat="1" applyFont="1" applyFill="1" applyBorder="1" applyAlignment="1">
      <alignment horizontal="center" vertical="center"/>
    </xf>
    <xf numFmtId="166" fontId="15" fillId="13" borderId="43" xfId="0" applyNumberFormat="1" applyFont="1" applyFill="1" applyBorder="1" applyAlignment="1">
      <alignment horizontal="center" vertical="center"/>
    </xf>
    <xf numFmtId="166" fontId="15" fillId="3" borderId="44" xfId="0" applyNumberFormat="1" applyFont="1" applyFill="1" applyBorder="1" applyAlignment="1">
      <alignment horizontal="center" vertical="center"/>
    </xf>
    <xf numFmtId="166" fontId="22" fillId="0" borderId="32" xfId="0" applyNumberFormat="1" applyFont="1" applyBorder="1" applyAlignment="1">
      <alignment horizontal="center" vertical="center"/>
    </xf>
    <xf numFmtId="166" fontId="15" fillId="0" borderId="32" xfId="0" applyNumberFormat="1" applyFont="1" applyBorder="1" applyAlignment="1">
      <alignment horizontal="center" vertical="center"/>
    </xf>
    <xf numFmtId="166" fontId="12" fillId="0" borderId="32" xfId="0" applyNumberFormat="1" applyFont="1" applyBorder="1" applyAlignment="1">
      <alignment horizontal="right" vertical="center"/>
    </xf>
    <xf numFmtId="9" fontId="15" fillId="0" borderId="32" xfId="0" applyNumberFormat="1" applyFont="1" applyBorder="1" applyAlignment="1">
      <alignment horizontal="center" vertical="center"/>
    </xf>
    <xf numFmtId="9" fontId="15" fillId="15" borderId="0" xfId="0" applyNumberFormat="1" applyFont="1" applyFill="1" applyAlignment="1">
      <alignment horizontal="right" vertical="center"/>
    </xf>
    <xf numFmtId="3" fontId="12" fillId="15" borderId="0" xfId="0" applyNumberFormat="1" applyFont="1" applyFill="1" applyAlignment="1">
      <alignment horizontal="center" vertical="center"/>
    </xf>
    <xf numFmtId="166" fontId="15" fillId="0" borderId="56" xfId="0" applyNumberFormat="1" applyFont="1" applyBorder="1" applyAlignment="1">
      <alignment horizontal="right" vertical="center"/>
    </xf>
    <xf numFmtId="9" fontId="15" fillId="3" borderId="6" xfId="0" applyNumberFormat="1" applyFont="1" applyFill="1" applyBorder="1" applyAlignment="1">
      <alignment horizontal="right" vertical="center"/>
    </xf>
    <xf numFmtId="0" fontId="17" fillId="3" borderId="0" xfId="0" applyFont="1" applyFill="1"/>
    <xf numFmtId="169" fontId="5" fillId="0" borderId="23" xfId="0" applyNumberFormat="1" applyFont="1" applyBorder="1" applyAlignment="1">
      <alignment horizontal="left" vertical="center" wrapText="1"/>
    </xf>
    <xf numFmtId="169" fontId="12" fillId="0" borderId="0" xfId="0" applyNumberFormat="1" applyFont="1" applyAlignment="1">
      <alignment horizontal="left" vertical="center"/>
    </xf>
    <xf numFmtId="6" fontId="12" fillId="0" borderId="23" xfId="0" applyNumberFormat="1" applyFont="1" applyBorder="1" applyAlignment="1">
      <alignment horizontal="left" vertical="center"/>
    </xf>
    <xf numFmtId="6" fontId="12" fillId="0" borderId="0" xfId="0" applyNumberFormat="1" applyFont="1" applyAlignment="1">
      <alignment horizontal="left" vertical="center"/>
    </xf>
    <xf numFmtId="6" fontId="12" fillId="0" borderId="0" xfId="0" applyNumberFormat="1" applyFont="1" applyAlignment="1">
      <alignment horizontal="center" vertical="center"/>
    </xf>
    <xf numFmtId="6" fontId="13" fillId="0" borderId="0" xfId="0" applyNumberFormat="1" applyFont="1" applyAlignment="1">
      <alignment horizontal="center" vertical="center"/>
    </xf>
    <xf numFmtId="4" fontId="12" fillId="5" borderId="0" xfId="0" applyNumberFormat="1" applyFont="1" applyFill="1" applyAlignment="1">
      <alignment horizontal="center" vertical="center"/>
    </xf>
    <xf numFmtId="1" fontId="12" fillId="0" borderId="32" xfId="0" applyNumberFormat="1" applyFont="1" applyBorder="1" applyAlignment="1">
      <alignment horizontal="right" vertical="center"/>
    </xf>
    <xf numFmtId="0" fontId="12" fillId="0" borderId="32" xfId="0" applyFont="1" applyBorder="1" applyAlignment="1">
      <alignment horizontal="right" vertical="center"/>
    </xf>
    <xf numFmtId="168" fontId="12" fillId="0" borderId="0" xfId="0" applyNumberFormat="1" applyFont="1" applyAlignment="1">
      <alignment horizontal="left" vertical="center"/>
    </xf>
    <xf numFmtId="4" fontId="12" fillId="0" borderId="0" xfId="0" applyNumberFormat="1" applyFont="1" applyAlignment="1">
      <alignment horizontal="center" vertical="center"/>
    </xf>
    <xf numFmtId="170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70" fontId="12" fillId="0" borderId="0" xfId="0" applyNumberFormat="1" applyFont="1" applyAlignment="1">
      <alignment horizontal="left" vertical="center"/>
    </xf>
    <xf numFmtId="4" fontId="12" fillId="3" borderId="6" xfId="0" applyNumberFormat="1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2" fillId="8" borderId="34" xfId="0" applyFont="1" applyFill="1" applyBorder="1" applyAlignment="1">
      <alignment horizontal="right" vertical="center" wrapText="1"/>
    </xf>
    <xf numFmtId="169" fontId="5" fillId="0" borderId="53" xfId="0" applyNumberFormat="1" applyFont="1" applyBorder="1" applyAlignment="1">
      <alignment horizontal="left" vertical="center" wrapText="1"/>
    </xf>
    <xf numFmtId="169" fontId="12" fillId="0" borderId="25" xfId="0" applyNumberFormat="1" applyFont="1" applyBorder="1" applyAlignment="1">
      <alignment horizontal="left" vertical="center"/>
    </xf>
    <xf numFmtId="6" fontId="12" fillId="0" borderId="53" xfId="0" applyNumberFormat="1" applyFont="1" applyBorder="1" applyAlignment="1">
      <alignment horizontal="left" vertical="center"/>
    </xf>
    <xf numFmtId="6" fontId="12" fillId="0" borderId="25" xfId="0" applyNumberFormat="1" applyFont="1" applyBorder="1" applyAlignment="1">
      <alignment horizontal="left" vertical="center"/>
    </xf>
    <xf numFmtId="6" fontId="12" fillId="0" borderId="24" xfId="0" applyNumberFormat="1" applyFont="1" applyBorder="1" applyAlignment="1">
      <alignment horizontal="center" vertical="center"/>
    </xf>
    <xf numFmtId="6" fontId="13" fillId="0" borderId="25" xfId="0" applyNumberFormat="1" applyFont="1" applyBorder="1" applyAlignment="1">
      <alignment horizontal="center" vertical="center"/>
    </xf>
    <xf numFmtId="6" fontId="12" fillId="5" borderId="25" xfId="0" applyNumberFormat="1" applyFont="1" applyFill="1" applyBorder="1" applyAlignment="1">
      <alignment horizontal="center" vertical="center"/>
    </xf>
    <xf numFmtId="6" fontId="12" fillId="0" borderId="25" xfId="0" applyNumberFormat="1" applyFont="1" applyBorder="1" applyAlignment="1">
      <alignment horizontal="right" vertical="center"/>
    </xf>
    <xf numFmtId="3" fontId="12" fillId="0" borderId="25" xfId="0" applyNumberFormat="1" applyFont="1" applyBorder="1" applyAlignment="1">
      <alignment horizontal="left" vertical="center"/>
    </xf>
    <xf numFmtId="6" fontId="12" fillId="0" borderId="25" xfId="0" applyNumberFormat="1" applyFont="1" applyBorder="1" applyAlignment="1">
      <alignment horizontal="center" vertical="center"/>
    </xf>
    <xf numFmtId="170" fontId="12" fillId="0" borderId="25" xfId="0" applyNumberFormat="1" applyFont="1" applyBorder="1" applyAlignment="1">
      <alignment horizontal="center" vertical="center"/>
    </xf>
    <xf numFmtId="170" fontId="12" fillId="0" borderId="25" xfId="0" applyNumberFormat="1" applyFont="1" applyBorder="1" applyAlignment="1">
      <alignment horizontal="left" vertical="center"/>
    </xf>
    <xf numFmtId="169" fontId="23" fillId="0" borderId="23" xfId="0" applyNumberFormat="1" applyFont="1" applyBorder="1" applyAlignment="1">
      <alignment horizontal="right" vertical="center" wrapText="1"/>
    </xf>
    <xf numFmtId="169" fontId="15" fillId="0" borderId="0" xfId="0" applyNumberFormat="1" applyFont="1" applyAlignment="1">
      <alignment horizontal="right" vertical="center"/>
    </xf>
    <xf numFmtId="9" fontId="15" fillId="6" borderId="13" xfId="0" applyNumberFormat="1" applyFont="1" applyFill="1" applyBorder="1" applyAlignment="1">
      <alignment horizontal="center" vertical="center"/>
    </xf>
    <xf numFmtId="3" fontId="15" fillId="0" borderId="27" xfId="0" applyNumberFormat="1" applyFont="1" applyBorder="1" applyAlignment="1">
      <alignment horizontal="right" vertical="center"/>
    </xf>
    <xf numFmtId="4" fontId="15" fillId="0" borderId="27" xfId="0" applyNumberFormat="1" applyFont="1" applyBorder="1" applyAlignment="1">
      <alignment horizontal="right" vertical="center"/>
    </xf>
    <xf numFmtId="4" fontId="15" fillId="0" borderId="0" xfId="0" applyNumberFormat="1" applyFont="1" applyAlignment="1">
      <alignment horizontal="right" vertical="center"/>
    </xf>
    <xf numFmtId="170" fontId="15" fillId="5" borderId="0" xfId="0" applyNumberFormat="1" applyFont="1" applyFill="1" applyAlignment="1">
      <alignment horizontal="right" vertical="center"/>
    </xf>
    <xf numFmtId="6" fontId="15" fillId="0" borderId="0" xfId="0" applyNumberFormat="1" applyFont="1" applyAlignment="1">
      <alignment horizontal="right" vertical="center"/>
    </xf>
    <xf numFmtId="170" fontId="15" fillId="0" borderId="0" xfId="0" applyNumberFormat="1" applyFont="1" applyAlignment="1">
      <alignment horizontal="right" vertical="center"/>
    </xf>
    <xf numFmtId="3" fontId="15" fillId="5" borderId="0" xfId="0" applyNumberFormat="1" applyFont="1" applyFill="1" applyAlignment="1">
      <alignment horizontal="right" vertical="center"/>
    </xf>
    <xf numFmtId="6" fontId="15" fillId="0" borderId="0" xfId="0" applyNumberFormat="1" applyFont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0" fontId="15" fillId="3" borderId="6" xfId="0" applyNumberFormat="1" applyFont="1" applyFill="1" applyBorder="1" applyAlignment="1">
      <alignment horizontal="right" vertical="center"/>
    </xf>
    <xf numFmtId="4" fontId="15" fillId="3" borderId="0" xfId="0" applyNumberFormat="1" applyFont="1" applyFill="1" applyAlignment="1">
      <alignment horizontal="right" vertical="center"/>
    </xf>
    <xf numFmtId="4" fontId="17" fillId="3" borderId="0" xfId="0" applyNumberFormat="1" applyFont="1" applyFill="1"/>
    <xf numFmtId="6" fontId="15" fillId="3" borderId="0" xfId="0" applyNumberFormat="1" applyFont="1" applyFill="1" applyAlignment="1">
      <alignment horizontal="center" vertical="center"/>
    </xf>
    <xf numFmtId="9" fontId="12" fillId="0" borderId="0" xfId="0" applyNumberFormat="1" applyFont="1" applyAlignment="1">
      <alignment horizontal="right" vertical="center"/>
    </xf>
    <xf numFmtId="9" fontId="15" fillId="0" borderId="28" xfId="0" applyNumberFormat="1" applyFont="1" applyBorder="1" applyAlignment="1">
      <alignment horizontal="right" vertical="center"/>
    </xf>
    <xf numFmtId="0" fontId="6" fillId="3" borderId="0" xfId="0" applyFont="1" applyFill="1"/>
    <xf numFmtId="169" fontId="15" fillId="13" borderId="6" xfId="0" applyNumberFormat="1" applyFont="1" applyFill="1" applyBorder="1" applyAlignment="1">
      <alignment horizontal="right" vertical="center"/>
    </xf>
    <xf numFmtId="169" fontId="15" fillId="13" borderId="17" xfId="0" applyNumberFormat="1" applyFont="1" applyFill="1" applyBorder="1" applyAlignment="1">
      <alignment horizontal="right" vertical="center"/>
    </xf>
    <xf numFmtId="169" fontId="15" fillId="13" borderId="44" xfId="0" applyNumberFormat="1" applyFont="1" applyFill="1" applyBorder="1" applyAlignment="1">
      <alignment horizontal="right" vertical="center"/>
    </xf>
    <xf numFmtId="169" fontId="15" fillId="13" borderId="45" xfId="0" applyNumberFormat="1" applyFont="1" applyFill="1" applyBorder="1" applyAlignment="1">
      <alignment horizontal="right" vertical="center"/>
    </xf>
    <xf numFmtId="166" fontId="6" fillId="0" borderId="56" xfId="0" applyNumberFormat="1" applyFont="1" applyBorder="1"/>
    <xf numFmtId="170" fontId="6" fillId="0" borderId="32" xfId="0" applyNumberFormat="1" applyFont="1" applyBorder="1"/>
    <xf numFmtId="170" fontId="6" fillId="0" borderId="32" xfId="0" applyNumberFormat="1" applyFont="1" applyBorder="1" applyAlignment="1">
      <alignment horizontal="center"/>
    </xf>
    <xf numFmtId="166" fontId="24" fillId="0" borderId="32" xfId="0" applyNumberFormat="1" applyFont="1" applyBorder="1" applyAlignment="1">
      <alignment horizontal="right"/>
    </xf>
    <xf numFmtId="166" fontId="24" fillId="0" borderId="59" xfId="0" applyNumberFormat="1" applyFont="1" applyBorder="1" applyAlignment="1">
      <alignment horizontal="right"/>
    </xf>
    <xf numFmtId="166" fontId="15" fillId="0" borderId="32" xfId="0" applyNumberFormat="1" applyFont="1" applyBorder="1" applyAlignment="1">
      <alignment horizontal="right" vertical="center"/>
    </xf>
    <xf numFmtId="167" fontId="15" fillId="3" borderId="32" xfId="0" applyNumberFormat="1" applyFont="1" applyFill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  <xf numFmtId="4" fontId="15" fillId="0" borderId="32" xfId="0" applyNumberFormat="1" applyFont="1" applyBorder="1" applyAlignment="1">
      <alignment horizontal="center" vertical="center"/>
    </xf>
    <xf numFmtId="9" fontId="12" fillId="0" borderId="32" xfId="0" applyNumberFormat="1" applyFont="1" applyBorder="1" applyAlignment="1">
      <alignment horizontal="center" vertical="center"/>
    </xf>
    <xf numFmtId="9" fontId="15" fillId="3" borderId="33" xfId="0" applyNumberFormat="1" applyFont="1" applyFill="1" applyBorder="1" applyAlignment="1">
      <alignment horizontal="right" vertical="center"/>
    </xf>
    <xf numFmtId="1" fontId="15" fillId="5" borderId="32" xfId="0" applyNumberFormat="1" applyFont="1" applyFill="1" applyBorder="1" applyAlignment="1">
      <alignment horizontal="right" vertical="center"/>
    </xf>
    <xf numFmtId="3" fontId="12" fillId="3" borderId="6" xfId="0" applyNumberFormat="1" applyFont="1" applyFill="1" applyBorder="1" applyAlignment="1">
      <alignment horizontal="right" vertical="center"/>
    </xf>
    <xf numFmtId="0" fontId="14" fillId="3" borderId="0" xfId="0" applyFont="1" applyFill="1"/>
    <xf numFmtId="170" fontId="6" fillId="3" borderId="0" xfId="0" applyNumberFormat="1" applyFont="1" applyFill="1" applyAlignment="1">
      <alignment horizontal="left"/>
    </xf>
    <xf numFmtId="0" fontId="12" fillId="0" borderId="53" xfId="0" applyFont="1" applyBorder="1" applyAlignment="1">
      <alignment horizontal="left" vertical="center"/>
    </xf>
    <xf numFmtId="0" fontId="12" fillId="0" borderId="53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right" vertical="center"/>
    </xf>
    <xf numFmtId="3" fontId="12" fillId="0" borderId="0" xfId="0" applyNumberFormat="1" applyFont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" fontId="15" fillId="0" borderId="25" xfId="0" applyNumberFormat="1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9" fontId="15" fillId="0" borderId="41" xfId="0" applyNumberFormat="1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15" fillId="0" borderId="27" xfId="0" applyNumberFormat="1" applyFont="1" applyBorder="1" applyAlignment="1">
      <alignment horizontal="left" vertical="center"/>
    </xf>
    <xf numFmtId="9" fontId="15" fillId="0" borderId="0" xfId="0" applyNumberFormat="1" applyFont="1" applyAlignment="1">
      <alignment horizontal="left" vertical="center"/>
    </xf>
    <xf numFmtId="0" fontId="15" fillId="0" borderId="23" xfId="0" applyFont="1" applyBorder="1" applyAlignment="1">
      <alignment horizontal="right" vertical="center"/>
    </xf>
    <xf numFmtId="0" fontId="15" fillId="8" borderId="27" xfId="0" applyFont="1" applyFill="1" applyBorder="1" applyAlignment="1">
      <alignment horizontal="right" vertical="center" wrapText="1"/>
    </xf>
    <xf numFmtId="9" fontId="15" fillId="0" borderId="62" xfId="0" applyNumberFormat="1" applyFont="1" applyBorder="1" applyAlignment="1">
      <alignment horizontal="left" vertical="center"/>
    </xf>
    <xf numFmtId="0" fontId="15" fillId="0" borderId="63" xfId="0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12" fillId="0" borderId="61" xfId="0" applyFont="1" applyBorder="1" applyAlignment="1">
      <alignment horizontal="right" vertical="center"/>
    </xf>
    <xf numFmtId="9" fontId="15" fillId="0" borderId="61" xfId="0" applyNumberFormat="1" applyFont="1" applyBorder="1" applyAlignment="1">
      <alignment horizontal="left" vertical="center"/>
    </xf>
    <xf numFmtId="9" fontId="15" fillId="0" borderId="28" xfId="0" applyNumberFormat="1" applyFont="1" applyBorder="1" applyAlignment="1">
      <alignment horizontal="left" vertical="center"/>
    </xf>
    <xf numFmtId="9" fontId="12" fillId="0" borderId="25" xfId="0" applyNumberFormat="1" applyFont="1" applyBorder="1" applyAlignment="1">
      <alignment horizontal="right" vertical="center"/>
    </xf>
    <xf numFmtId="4" fontId="12" fillId="0" borderId="25" xfId="0" applyNumberFormat="1" applyFont="1" applyBorder="1" applyAlignment="1">
      <alignment horizontal="right" vertical="center"/>
    </xf>
    <xf numFmtId="3" fontId="12" fillId="0" borderId="25" xfId="0" applyNumberFormat="1" applyFont="1" applyBorder="1" applyAlignment="1">
      <alignment horizontal="center" vertical="center"/>
    </xf>
    <xf numFmtId="0" fontId="12" fillId="0" borderId="53" xfId="0" applyFont="1" applyBorder="1" applyAlignment="1">
      <alignment horizontal="right" vertical="center"/>
    </xf>
    <xf numFmtId="0" fontId="15" fillId="0" borderId="25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3" fontId="12" fillId="0" borderId="24" xfId="0" applyNumberFormat="1" applyFont="1" applyBorder="1" applyAlignment="1">
      <alignment horizontal="left" vertical="center"/>
    </xf>
    <xf numFmtId="9" fontId="12" fillId="0" borderId="26" xfId="0" applyNumberFormat="1" applyFont="1" applyBorder="1" applyAlignment="1">
      <alignment horizontal="left" vertical="center"/>
    </xf>
    <xf numFmtId="9" fontId="15" fillId="5" borderId="15" xfId="0" applyNumberFormat="1" applyFont="1" applyFill="1" applyBorder="1" applyAlignment="1">
      <alignment horizontal="right" vertical="center"/>
    </xf>
    <xf numFmtId="0" fontId="15" fillId="8" borderId="31" xfId="0" applyFont="1" applyFill="1" applyBorder="1" applyAlignment="1">
      <alignment horizontal="right" vertical="center" wrapText="1"/>
    </xf>
    <xf numFmtId="0" fontId="15" fillId="0" borderId="31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9" fontId="15" fillId="0" borderId="33" xfId="0" applyNumberFormat="1" applyFont="1" applyBorder="1" applyAlignment="1">
      <alignment horizontal="left" vertical="center"/>
    </xf>
    <xf numFmtId="0" fontId="15" fillId="0" borderId="3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9" fontId="12" fillId="0" borderId="33" xfId="0" applyNumberFormat="1" applyFont="1" applyBorder="1" applyAlignment="1">
      <alignment horizontal="center" vertical="center"/>
    </xf>
    <xf numFmtId="9" fontId="15" fillId="0" borderId="32" xfId="0" applyNumberFormat="1" applyFont="1" applyBorder="1" applyAlignment="1">
      <alignment horizontal="left" vertical="center"/>
    </xf>
    <xf numFmtId="4" fontId="15" fillId="0" borderId="0" xfId="0" applyNumberFormat="1" applyFont="1" applyAlignment="1">
      <alignment horizontal="left" vertical="center"/>
    </xf>
    <xf numFmtId="4" fontId="15" fillId="0" borderId="0" xfId="0" applyNumberFormat="1" applyFont="1" applyAlignment="1">
      <alignment horizontal="center" vertical="center"/>
    </xf>
    <xf numFmtId="0" fontId="15" fillId="0" borderId="33" xfId="0" applyFont="1" applyBorder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9" fontId="15" fillId="13" borderId="0" xfId="0" applyNumberFormat="1" applyFont="1" applyFill="1" applyAlignment="1">
      <alignment horizontal="left" vertical="center"/>
    </xf>
    <xf numFmtId="0" fontId="22" fillId="13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right" vertical="center"/>
    </xf>
    <xf numFmtId="0" fontId="17" fillId="5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5" fillId="5" borderId="0" xfId="0" applyFont="1" applyFill="1" applyAlignment="1">
      <alignment horizontal="center" vertical="center"/>
    </xf>
    <xf numFmtId="9" fontId="15" fillId="15" borderId="0" xfId="0" applyNumberFormat="1" applyFont="1" applyFill="1" applyAlignment="1">
      <alignment horizontal="left" vertical="center"/>
    </xf>
    <xf numFmtId="167" fontId="15" fillId="0" borderId="27" xfId="0" applyNumberFormat="1" applyFont="1" applyBorder="1" applyAlignment="1">
      <alignment horizontal="right" vertical="center"/>
    </xf>
    <xf numFmtId="0" fontId="15" fillId="13" borderId="32" xfId="0" applyFont="1" applyFill="1" applyBorder="1" applyAlignment="1">
      <alignment horizontal="center" vertical="center"/>
    </xf>
    <xf numFmtId="0" fontId="22" fillId="13" borderId="32" xfId="0" applyFont="1" applyFill="1" applyBorder="1" applyAlignment="1">
      <alignment horizontal="center" vertical="center"/>
    </xf>
    <xf numFmtId="0" fontId="15" fillId="19" borderId="49" xfId="0" applyFont="1" applyFill="1" applyBorder="1" applyAlignment="1">
      <alignment horizontal="left" vertical="center" wrapText="1"/>
    </xf>
    <xf numFmtId="9" fontId="15" fillId="3" borderId="0" xfId="0" applyNumberFormat="1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9" fontId="15" fillId="3" borderId="41" xfId="0" applyNumberFormat="1" applyFont="1" applyFill="1" applyBorder="1" applyAlignment="1">
      <alignment horizontal="right" vertical="center"/>
    </xf>
    <xf numFmtId="9" fontId="15" fillId="3" borderId="0" xfId="0" applyNumberFormat="1" applyFont="1" applyFill="1" applyAlignment="1">
      <alignment horizontal="right" vertical="center"/>
    </xf>
    <xf numFmtId="0" fontId="15" fillId="11" borderId="64" xfId="0" applyFont="1" applyFill="1" applyBorder="1" applyAlignment="1">
      <alignment horizontal="left" vertical="center" wrapText="1"/>
    </xf>
    <xf numFmtId="0" fontId="15" fillId="13" borderId="50" xfId="0" applyFont="1" applyFill="1" applyBorder="1" applyAlignment="1">
      <alignment horizontal="left" vertical="center"/>
    </xf>
    <xf numFmtId="0" fontId="15" fillId="13" borderId="51" xfId="0" applyFont="1" applyFill="1" applyBorder="1" applyAlignment="1">
      <alignment horizontal="left" vertical="center"/>
    </xf>
    <xf numFmtId="9" fontId="15" fillId="13" borderId="52" xfId="0" applyNumberFormat="1" applyFont="1" applyFill="1" applyBorder="1" applyAlignment="1">
      <alignment horizontal="left" vertical="center"/>
    </xf>
    <xf numFmtId="0" fontId="15" fillId="13" borderId="52" xfId="0" applyFont="1" applyFill="1" applyBorder="1" applyAlignment="1">
      <alignment horizontal="center" vertical="center"/>
    </xf>
    <xf numFmtId="0" fontId="15" fillId="13" borderId="50" xfId="0" applyFont="1" applyFill="1" applyBorder="1" applyAlignment="1">
      <alignment horizontal="center" vertical="center"/>
    </xf>
    <xf numFmtId="0" fontId="15" fillId="13" borderId="51" xfId="0" applyFont="1" applyFill="1" applyBorder="1" applyAlignment="1">
      <alignment horizontal="center" vertical="center"/>
    </xf>
    <xf numFmtId="0" fontId="22" fillId="13" borderId="51" xfId="0" applyFont="1" applyFill="1" applyBorder="1" applyAlignment="1">
      <alignment horizontal="center" vertical="center"/>
    </xf>
    <xf numFmtId="0" fontId="12" fillId="13" borderId="51" xfId="0" applyFont="1" applyFill="1" applyBorder="1" applyAlignment="1">
      <alignment horizontal="right" vertical="center"/>
    </xf>
    <xf numFmtId="9" fontId="15" fillId="13" borderId="52" xfId="0" applyNumberFormat="1" applyFont="1" applyFill="1" applyBorder="1" applyAlignment="1">
      <alignment horizontal="center" vertical="center"/>
    </xf>
    <xf numFmtId="9" fontId="12" fillId="5" borderId="0" xfId="0" applyNumberFormat="1" applyFont="1" applyFill="1" applyAlignment="1">
      <alignment horizontal="center" vertical="center"/>
    </xf>
    <xf numFmtId="0" fontId="17" fillId="5" borderId="56" xfId="0" applyFont="1" applyFill="1" applyBorder="1"/>
    <xf numFmtId="0" fontId="15" fillId="5" borderId="65" xfId="0" applyFont="1" applyFill="1" applyBorder="1" applyAlignment="1">
      <alignment horizontal="center" vertical="center"/>
    </xf>
    <xf numFmtId="0" fontId="22" fillId="5" borderId="65" xfId="0" applyFont="1" applyFill="1" applyBorder="1" applyAlignment="1">
      <alignment horizontal="center" vertical="center"/>
    </xf>
    <xf numFmtId="0" fontId="12" fillId="3" borderId="65" xfId="0" applyFont="1" applyFill="1" applyBorder="1" applyAlignment="1">
      <alignment horizontal="right" vertical="center"/>
    </xf>
    <xf numFmtId="9" fontId="12" fillId="13" borderId="66" xfId="0" applyNumberFormat="1" applyFont="1" applyFill="1" applyBorder="1" applyAlignment="1">
      <alignment horizontal="right" vertical="center"/>
    </xf>
    <xf numFmtId="0" fontId="15" fillId="11" borderId="67" xfId="0" applyFont="1" applyFill="1" applyBorder="1" applyAlignment="1">
      <alignment horizontal="left" vertical="center" wrapText="1"/>
    </xf>
    <xf numFmtId="0" fontId="15" fillId="13" borderId="68" xfId="0" applyFont="1" applyFill="1" applyBorder="1" applyAlignment="1">
      <alignment horizontal="left" vertical="center"/>
    </xf>
    <xf numFmtId="0" fontId="15" fillId="13" borderId="69" xfId="0" applyFont="1" applyFill="1" applyBorder="1" applyAlignment="1">
      <alignment horizontal="left" vertical="center"/>
    </xf>
    <xf numFmtId="9" fontId="15" fillId="13" borderId="70" xfId="0" applyNumberFormat="1" applyFont="1" applyFill="1" applyBorder="1" applyAlignment="1">
      <alignment horizontal="left" vertical="center"/>
    </xf>
    <xf numFmtId="0" fontId="15" fillId="13" borderId="70" xfId="0" applyFont="1" applyFill="1" applyBorder="1" applyAlignment="1">
      <alignment horizontal="center" vertical="center"/>
    </xf>
    <xf numFmtId="0" fontId="15" fillId="13" borderId="68" xfId="0" applyFont="1" applyFill="1" applyBorder="1" applyAlignment="1">
      <alignment horizontal="center" vertical="center"/>
    </xf>
    <xf numFmtId="0" fontId="15" fillId="13" borderId="69" xfId="0" applyFont="1" applyFill="1" applyBorder="1" applyAlignment="1">
      <alignment horizontal="center" vertical="center"/>
    </xf>
    <xf numFmtId="0" fontId="22" fillId="13" borderId="69" xfId="0" applyFont="1" applyFill="1" applyBorder="1" applyAlignment="1">
      <alignment horizontal="center" vertical="center"/>
    </xf>
    <xf numFmtId="0" fontId="12" fillId="13" borderId="69" xfId="0" applyFont="1" applyFill="1" applyBorder="1" applyAlignment="1">
      <alignment horizontal="right" vertical="center"/>
    </xf>
    <xf numFmtId="9" fontId="15" fillId="13" borderId="70" xfId="0" applyNumberFormat="1" applyFont="1" applyFill="1" applyBorder="1" applyAlignment="1">
      <alignment horizontal="center" vertical="center"/>
    </xf>
    <xf numFmtId="0" fontId="7" fillId="13" borderId="61" xfId="0" applyFont="1" applyFill="1" applyBorder="1"/>
    <xf numFmtId="0" fontId="12" fillId="5" borderId="61" xfId="0" applyFont="1" applyFill="1" applyBorder="1" applyAlignment="1">
      <alignment horizontal="center" vertical="center"/>
    </xf>
    <xf numFmtId="0" fontId="15" fillId="5" borderId="61" xfId="0" applyFont="1" applyFill="1" applyBorder="1" applyAlignment="1">
      <alignment horizontal="center" vertical="center"/>
    </xf>
    <xf numFmtId="9" fontId="15" fillId="13" borderId="61" xfId="0" applyNumberFormat="1" applyFont="1" applyFill="1" applyBorder="1" applyAlignment="1">
      <alignment horizontal="center" vertical="center"/>
    </xf>
    <xf numFmtId="9" fontId="15" fillId="13" borderId="68" xfId="0" applyNumberFormat="1" applyFont="1" applyFill="1" applyBorder="1" applyAlignment="1">
      <alignment horizontal="center" vertical="center"/>
    </xf>
    <xf numFmtId="9" fontId="12" fillId="3" borderId="69" xfId="0" applyNumberFormat="1" applyFont="1" applyFill="1" applyBorder="1" applyAlignment="1">
      <alignment horizontal="right" vertical="center"/>
    </xf>
    <xf numFmtId="9" fontId="12" fillId="13" borderId="69" xfId="0" applyNumberFormat="1" applyFont="1" applyFill="1" applyBorder="1" applyAlignment="1">
      <alignment horizontal="right" vertical="center"/>
    </xf>
    <xf numFmtId="9" fontId="15" fillId="3" borderId="62" xfId="0" applyNumberFormat="1" applyFont="1" applyFill="1" applyBorder="1" applyAlignment="1">
      <alignment horizontal="right" vertical="center"/>
    </xf>
    <xf numFmtId="9" fontId="15" fillId="15" borderId="61" xfId="0" applyNumberFormat="1" applyFont="1" applyFill="1" applyBorder="1" applyAlignment="1">
      <alignment horizontal="left" vertical="center"/>
    </xf>
    <xf numFmtId="9" fontId="15" fillId="0" borderId="71" xfId="0" applyNumberFormat="1" applyFont="1" applyBorder="1" applyAlignment="1">
      <alignment horizontal="left" vertical="center"/>
    </xf>
    <xf numFmtId="0" fontId="15" fillId="11" borderId="72" xfId="0" applyFont="1" applyFill="1" applyBorder="1" applyAlignment="1">
      <alignment horizontal="left" vertical="center" wrapText="1"/>
    </xf>
    <xf numFmtId="0" fontId="15" fillId="13" borderId="30" xfId="0" applyFont="1" applyFill="1" applyBorder="1" applyAlignment="1">
      <alignment horizontal="left" vertical="center"/>
    </xf>
    <xf numFmtId="0" fontId="15" fillId="13" borderId="7" xfId="0" applyFont="1" applyFill="1" applyBorder="1" applyAlignment="1">
      <alignment horizontal="left" vertical="center"/>
    </xf>
    <xf numFmtId="9" fontId="15" fillId="13" borderId="29" xfId="0" applyNumberFormat="1" applyFont="1" applyFill="1" applyBorder="1" applyAlignment="1">
      <alignment horizontal="left" vertical="center"/>
    </xf>
    <xf numFmtId="0" fontId="15" fillId="13" borderId="29" xfId="0" applyFont="1" applyFill="1" applyBorder="1" applyAlignment="1">
      <alignment horizontal="center" vertical="center"/>
    </xf>
    <xf numFmtId="0" fontId="15" fillId="13" borderId="30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center" vertical="center"/>
    </xf>
    <xf numFmtId="0" fontId="22" fillId="13" borderId="7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right" vertical="center"/>
    </xf>
    <xf numFmtId="9" fontId="15" fillId="13" borderId="29" xfId="0" applyNumberFormat="1" applyFont="1" applyFill="1" applyBorder="1" applyAlignment="1">
      <alignment horizontal="center" vertical="center"/>
    </xf>
    <xf numFmtId="0" fontId="15" fillId="5" borderId="73" xfId="0" applyFont="1" applyFill="1" applyBorder="1" applyAlignment="1">
      <alignment vertical="center"/>
    </xf>
    <xf numFmtId="9" fontId="15" fillId="5" borderId="32" xfId="0" applyNumberFormat="1" applyFont="1" applyFill="1" applyBorder="1" applyAlignment="1">
      <alignment horizontal="center" vertical="center"/>
    </xf>
    <xf numFmtId="0" fontId="12" fillId="15" borderId="0" xfId="0" applyFont="1" applyFill="1" applyAlignment="1">
      <alignment vertical="center"/>
    </xf>
    <xf numFmtId="0" fontId="15" fillId="5" borderId="23" xfId="0" applyFont="1" applyFill="1" applyBorder="1" applyAlignment="1">
      <alignment vertical="center"/>
    </xf>
    <xf numFmtId="0" fontId="15" fillId="5" borderId="0" xfId="0" applyFont="1" applyFill="1" applyAlignment="1">
      <alignment vertical="center"/>
    </xf>
    <xf numFmtId="9" fontId="15" fillId="0" borderId="33" xfId="0" applyNumberFormat="1" applyFont="1" applyBorder="1" applyAlignment="1">
      <alignment horizontal="center" vertical="center"/>
    </xf>
    <xf numFmtId="0" fontId="15" fillId="11" borderId="40" xfId="0" applyFont="1" applyFill="1" applyBorder="1" applyAlignment="1">
      <alignment horizontal="left" vertical="center" wrapText="1"/>
    </xf>
    <xf numFmtId="0" fontId="15" fillId="13" borderId="16" xfId="0" applyFont="1" applyFill="1" applyBorder="1" applyAlignment="1">
      <alignment horizontal="left" vertical="center"/>
    </xf>
    <xf numFmtId="0" fontId="15" fillId="13" borderId="6" xfId="0" applyFont="1" applyFill="1" applyBorder="1" applyAlignment="1">
      <alignment horizontal="left" vertical="center"/>
    </xf>
    <xf numFmtId="9" fontId="15" fillId="13" borderId="17" xfId="0" applyNumberFormat="1" applyFont="1" applyFill="1" applyBorder="1" applyAlignment="1">
      <alignment horizontal="left" vertical="center"/>
    </xf>
    <xf numFmtId="0" fontId="15" fillId="13" borderId="17" xfId="0" applyFont="1" applyFill="1" applyBorder="1" applyAlignment="1">
      <alignment horizontal="center" vertical="center"/>
    </xf>
    <xf numFmtId="0" fontId="15" fillId="13" borderId="16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22" fillId="13" borderId="6" xfId="0" applyFont="1" applyFill="1" applyBorder="1" applyAlignment="1">
      <alignment horizontal="center" vertical="center"/>
    </xf>
    <xf numFmtId="9" fontId="15" fillId="13" borderId="17" xfId="0" applyNumberFormat="1" applyFont="1" applyFill="1" applyBorder="1" applyAlignment="1">
      <alignment horizontal="center" vertical="center"/>
    </xf>
    <xf numFmtId="0" fontId="24" fillId="18" borderId="74" xfId="0" applyFont="1" applyFill="1" applyBorder="1" applyAlignment="1">
      <alignment horizontal="right"/>
    </xf>
    <xf numFmtId="0" fontId="24" fillId="18" borderId="75" xfId="0" applyFont="1" applyFill="1" applyBorder="1" applyAlignment="1">
      <alignment horizontal="right"/>
    </xf>
    <xf numFmtId="0" fontId="15" fillId="7" borderId="73" xfId="0" applyFont="1" applyFill="1" applyBorder="1" applyAlignment="1">
      <alignment vertical="center"/>
    </xf>
    <xf numFmtId="0" fontId="12" fillId="20" borderId="34" xfId="0" applyFont="1" applyFill="1" applyBorder="1" applyAlignment="1">
      <alignment horizontal="left" vertical="center" wrapText="1"/>
    </xf>
    <xf numFmtId="0" fontId="12" fillId="20" borderId="35" xfId="0" applyFont="1" applyFill="1" applyBorder="1" applyAlignment="1">
      <alignment vertical="center"/>
    </xf>
    <xf numFmtId="0" fontId="12" fillId="20" borderId="36" xfId="0" applyFont="1" applyFill="1" applyBorder="1" applyAlignment="1">
      <alignment vertical="center"/>
    </xf>
    <xf numFmtId="0" fontId="12" fillId="20" borderId="37" xfId="0" applyFont="1" applyFill="1" applyBorder="1" applyAlignment="1">
      <alignment vertical="center"/>
    </xf>
    <xf numFmtId="0" fontId="12" fillId="20" borderId="37" xfId="0" applyFont="1" applyFill="1" applyBorder="1" applyAlignment="1">
      <alignment horizontal="center" vertical="center"/>
    </xf>
    <xf numFmtId="0" fontId="12" fillId="20" borderId="35" xfId="0" applyFont="1" applyFill="1" applyBorder="1" applyAlignment="1">
      <alignment horizontal="center" vertical="center"/>
    </xf>
    <xf numFmtId="0" fontId="12" fillId="20" borderId="36" xfId="0" applyFont="1" applyFill="1" applyBorder="1" applyAlignment="1">
      <alignment horizontal="center" vertical="center"/>
    </xf>
    <xf numFmtId="0" fontId="13" fillId="20" borderId="36" xfId="0" applyFont="1" applyFill="1" applyBorder="1" applyAlignment="1">
      <alignment horizontal="center" vertical="center"/>
    </xf>
    <xf numFmtId="0" fontId="12" fillId="20" borderId="36" xfId="0" applyFont="1" applyFill="1" applyBorder="1" applyAlignment="1">
      <alignment horizontal="right" vertical="center"/>
    </xf>
    <xf numFmtId="0" fontId="12" fillId="20" borderId="39" xfId="0" applyFont="1" applyFill="1" applyBorder="1" applyAlignment="1">
      <alignment vertical="center"/>
    </xf>
    <xf numFmtId="0" fontId="12" fillId="20" borderId="7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center" vertical="center"/>
    </xf>
    <xf numFmtId="0" fontId="15" fillId="20" borderId="40" xfId="0" applyFont="1" applyFill="1" applyBorder="1" applyAlignment="1">
      <alignment horizontal="left" vertical="center" wrapText="1"/>
    </xf>
    <xf numFmtId="0" fontId="12" fillId="13" borderId="16" xfId="0" applyFont="1" applyFill="1" applyBorder="1" applyAlignment="1">
      <alignment horizontal="left" vertical="center"/>
    </xf>
    <xf numFmtId="0" fontId="12" fillId="13" borderId="6" xfId="0" applyFont="1" applyFill="1" applyBorder="1" applyAlignment="1">
      <alignment horizontal="left" vertical="center"/>
    </xf>
    <xf numFmtId="0" fontId="12" fillId="13" borderId="17" xfId="0" applyFont="1" applyFill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left" vertical="center"/>
    </xf>
    <xf numFmtId="9" fontId="12" fillId="3" borderId="41" xfId="0" applyNumberFormat="1" applyFont="1" applyFill="1" applyBorder="1" applyAlignment="1">
      <alignment horizontal="left" vertical="center"/>
    </xf>
    <xf numFmtId="3" fontId="12" fillId="0" borderId="23" xfId="0" applyNumberFormat="1" applyFont="1" applyBorder="1" applyAlignment="1">
      <alignment horizontal="left" vertical="center"/>
    </xf>
    <xf numFmtId="0" fontId="12" fillId="20" borderId="40" xfId="0" applyFont="1" applyFill="1" applyBorder="1" applyAlignment="1">
      <alignment horizontal="right" vertical="center" wrapText="1"/>
    </xf>
    <xf numFmtId="3" fontId="15" fillId="0" borderId="23" xfId="0" applyNumberFormat="1" applyFont="1" applyBorder="1" applyAlignment="1">
      <alignment horizontal="right" vertical="center"/>
    </xf>
    <xf numFmtId="9" fontId="15" fillId="17" borderId="41" xfId="0" applyNumberFormat="1" applyFont="1" applyFill="1" applyBorder="1" applyAlignment="1">
      <alignment horizontal="left" vertical="center"/>
    </xf>
    <xf numFmtId="0" fontId="12" fillId="21" borderId="42" xfId="0" applyFont="1" applyFill="1" applyBorder="1" applyAlignment="1">
      <alignment horizontal="right" vertical="center" wrapText="1"/>
    </xf>
    <xf numFmtId="0" fontId="12" fillId="13" borderId="45" xfId="0" applyFont="1" applyFill="1" applyBorder="1" applyAlignment="1">
      <alignment horizontal="right" vertical="center"/>
    </xf>
    <xf numFmtId="9" fontId="15" fillId="0" borderId="48" xfId="0" applyNumberFormat="1" applyFont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44" xfId="0" applyFont="1" applyFill="1" applyBorder="1" applyAlignment="1">
      <alignment horizontal="center" vertical="center"/>
    </xf>
    <xf numFmtId="0" fontId="22" fillId="3" borderId="44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right" vertical="center"/>
    </xf>
    <xf numFmtId="0" fontId="12" fillId="0" borderId="41" xfId="0" applyFont="1" applyBorder="1" applyAlignment="1">
      <alignment horizontal="center" vertical="center"/>
    </xf>
    <xf numFmtId="3" fontId="15" fillId="0" borderId="56" xfId="0" applyNumberFormat="1" applyFont="1" applyBorder="1" applyAlignment="1">
      <alignment horizontal="right" vertical="center"/>
    </xf>
    <xf numFmtId="0" fontId="15" fillId="21" borderId="49" xfId="0" applyFont="1" applyFill="1" applyBorder="1" applyAlignment="1">
      <alignment horizontal="right" vertical="center" wrapText="1"/>
    </xf>
    <xf numFmtId="1" fontId="12" fillId="0" borderId="0" xfId="0" applyNumberFormat="1" applyFont="1" applyAlignment="1">
      <alignment horizontal="center" vertical="center"/>
    </xf>
    <xf numFmtId="0" fontId="12" fillId="13" borderId="51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left" vertical="center"/>
    </xf>
    <xf numFmtId="0" fontId="15" fillId="13" borderId="0" xfId="0" applyFont="1" applyFill="1" applyAlignment="1">
      <alignment horizontal="right" vertical="center"/>
    </xf>
    <xf numFmtId="1" fontId="12" fillId="0" borderId="23" xfId="0" applyNumberFormat="1" applyFont="1" applyBorder="1" applyAlignment="1">
      <alignment horizontal="left" vertical="center"/>
    </xf>
    <xf numFmtId="9" fontId="15" fillId="5" borderId="6" xfId="0" applyNumberFormat="1" applyFont="1" applyFill="1" applyBorder="1" applyAlignment="1">
      <alignment horizontal="left" vertical="center"/>
    </xf>
    <xf numFmtId="0" fontId="15" fillId="20" borderId="34" xfId="0" applyFont="1" applyFill="1" applyBorder="1" applyAlignment="1">
      <alignment horizontal="left" vertical="center" wrapText="1"/>
    </xf>
    <xf numFmtId="1" fontId="12" fillId="0" borderId="25" xfId="0" applyNumberFormat="1" applyFont="1" applyBorder="1" applyAlignment="1">
      <alignment horizontal="right" vertical="center"/>
    </xf>
    <xf numFmtId="1" fontId="12" fillId="0" borderId="25" xfId="0" applyNumberFormat="1" applyFont="1" applyBorder="1" applyAlignment="1">
      <alignment horizontal="center" vertical="center"/>
    </xf>
    <xf numFmtId="0" fontId="12" fillId="13" borderId="36" xfId="0" applyFont="1" applyFill="1" applyBorder="1" applyAlignment="1">
      <alignment horizontal="center" vertical="center"/>
    </xf>
    <xf numFmtId="0" fontId="12" fillId="10" borderId="25" xfId="0" applyFont="1" applyFill="1" applyBorder="1" applyAlignment="1">
      <alignment horizontal="left" vertical="center"/>
    </xf>
    <xf numFmtId="0" fontId="15" fillId="13" borderId="15" xfId="0" applyFont="1" applyFill="1" applyBorder="1" applyAlignment="1">
      <alignment horizontal="right" vertical="center"/>
    </xf>
    <xf numFmtId="1" fontId="12" fillId="0" borderId="53" xfId="0" applyNumberFormat="1" applyFont="1" applyBorder="1" applyAlignment="1">
      <alignment horizontal="left" vertical="center"/>
    </xf>
    <xf numFmtId="9" fontId="15" fillId="13" borderId="0" xfId="0" applyNumberFormat="1" applyFont="1" applyFill="1" applyAlignment="1">
      <alignment horizontal="right" vertical="center"/>
    </xf>
    <xf numFmtId="4" fontId="15" fillId="13" borderId="0" xfId="0" applyNumberFormat="1" applyFont="1" applyFill="1" applyAlignment="1">
      <alignment horizontal="right" vertical="center"/>
    </xf>
    <xf numFmtId="1" fontId="12" fillId="15" borderId="0" xfId="0" applyNumberFormat="1" applyFont="1" applyFill="1" applyAlignment="1">
      <alignment horizontal="center" vertical="center"/>
    </xf>
    <xf numFmtId="9" fontId="15" fillId="10" borderId="41" xfId="0" applyNumberFormat="1" applyFont="1" applyFill="1" applyBorder="1" applyAlignment="1">
      <alignment horizontal="center" vertical="center"/>
    </xf>
    <xf numFmtId="1" fontId="15" fillId="0" borderId="23" xfId="0" applyNumberFormat="1" applyFont="1" applyBorder="1" applyAlignment="1">
      <alignment horizontal="right" vertical="center"/>
    </xf>
    <xf numFmtId="9" fontId="15" fillId="0" borderId="54" xfId="0" applyNumberFormat="1" applyFont="1" applyBorder="1" applyAlignment="1">
      <alignment horizontal="right" vertical="center"/>
    </xf>
    <xf numFmtId="0" fontId="26" fillId="0" borderId="0" xfId="0" applyFont="1" applyAlignment="1">
      <alignment horizontal="right"/>
    </xf>
    <xf numFmtId="9" fontId="12" fillId="0" borderId="53" xfId="0" applyNumberFormat="1" applyFont="1" applyBorder="1" applyAlignment="1">
      <alignment horizontal="left" vertical="center"/>
    </xf>
    <xf numFmtId="0" fontId="15" fillId="13" borderId="45" xfId="0" applyFont="1" applyFill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9" fontId="15" fillId="0" borderId="32" xfId="0" applyNumberFormat="1" applyFont="1" applyBorder="1" applyAlignment="1">
      <alignment horizontal="right" vertical="center"/>
    </xf>
    <xf numFmtId="0" fontId="15" fillId="10" borderId="32" xfId="0" applyFont="1" applyFill="1" applyBorder="1" applyAlignment="1">
      <alignment horizontal="right" vertical="center"/>
    </xf>
    <xf numFmtId="9" fontId="15" fillId="16" borderId="78" xfId="0" applyNumberFormat="1" applyFont="1" applyFill="1" applyBorder="1" applyAlignment="1">
      <alignment horizontal="center" vertical="center"/>
    </xf>
    <xf numFmtId="0" fontId="12" fillId="13" borderId="35" xfId="0" applyFont="1" applyFill="1" applyBorder="1" applyAlignment="1">
      <alignment horizontal="center" vertical="center"/>
    </xf>
    <xf numFmtId="0" fontId="13" fillId="13" borderId="36" xfId="0" applyFont="1" applyFill="1" applyBorder="1" applyAlignment="1">
      <alignment horizontal="center" vertical="center"/>
    </xf>
    <xf numFmtId="9" fontId="12" fillId="0" borderId="25" xfId="0" applyNumberFormat="1" applyFont="1" applyBorder="1" applyAlignment="1">
      <alignment horizontal="left" vertical="center"/>
    </xf>
    <xf numFmtId="9" fontId="12" fillId="5" borderId="15" xfId="0" applyNumberFormat="1" applyFont="1" applyFill="1" applyBorder="1" applyAlignment="1">
      <alignment horizontal="left" vertical="center"/>
    </xf>
    <xf numFmtId="3" fontId="15" fillId="0" borderId="0" xfId="0" applyNumberFormat="1" applyFont="1" applyAlignment="1">
      <alignment horizontal="center" vertical="center"/>
    </xf>
    <xf numFmtId="0" fontId="15" fillId="0" borderId="27" xfId="0" applyFont="1" applyBorder="1" applyAlignment="1">
      <alignment horizontal="right" vertical="center"/>
    </xf>
    <xf numFmtId="0" fontId="12" fillId="20" borderId="42" xfId="0" applyFont="1" applyFill="1" applyBorder="1" applyAlignment="1">
      <alignment horizontal="right" vertical="center" wrapText="1"/>
    </xf>
    <xf numFmtId="0" fontId="15" fillId="13" borderId="43" xfId="0" applyFont="1" applyFill="1" applyBorder="1" applyAlignment="1">
      <alignment horizontal="center" vertical="center"/>
    </xf>
    <xf numFmtId="0" fontId="15" fillId="13" borderId="44" xfId="0" applyFont="1" applyFill="1" applyBorder="1" applyAlignment="1">
      <alignment horizontal="center" vertical="center"/>
    </xf>
    <xf numFmtId="0" fontId="22" fillId="13" borderId="44" xfId="0" applyFont="1" applyFill="1" applyBorder="1" applyAlignment="1">
      <alignment horizontal="center" vertical="center"/>
    </xf>
    <xf numFmtId="3" fontId="15" fillId="0" borderId="32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right" vertical="center"/>
    </xf>
    <xf numFmtId="9" fontId="15" fillId="0" borderId="33" xfId="0" applyNumberFormat="1" applyFont="1" applyBorder="1" applyAlignment="1">
      <alignment horizontal="right" vertical="center"/>
    </xf>
    <xf numFmtId="0" fontId="15" fillId="20" borderId="49" xfId="0" applyFont="1" applyFill="1" applyBorder="1" applyAlignment="1">
      <alignment horizontal="right" vertical="center" wrapText="1"/>
    </xf>
    <xf numFmtId="0" fontId="12" fillId="13" borderId="23" xfId="0" applyFont="1" applyFill="1" applyBorder="1" applyAlignment="1">
      <alignment horizontal="right" vertical="center"/>
    </xf>
    <xf numFmtId="0" fontId="12" fillId="13" borderId="41" xfId="0" applyFont="1" applyFill="1" applyBorder="1" applyAlignment="1">
      <alignment horizontal="right" vertical="center"/>
    </xf>
    <xf numFmtId="0" fontId="15" fillId="13" borderId="23" xfId="0" applyFont="1" applyFill="1" applyBorder="1" applyAlignment="1">
      <alignment horizontal="right" vertical="center"/>
    </xf>
    <xf numFmtId="0" fontId="15" fillId="13" borderId="41" xfId="0" applyFont="1" applyFill="1" applyBorder="1" applyAlignment="1">
      <alignment horizontal="center" vertical="center"/>
    </xf>
    <xf numFmtId="0" fontId="15" fillId="13" borderId="23" xfId="0" applyFont="1" applyFill="1" applyBorder="1" applyAlignment="1">
      <alignment horizontal="center" vertical="center"/>
    </xf>
    <xf numFmtId="0" fontId="15" fillId="11" borderId="49" xfId="0" applyFont="1" applyFill="1" applyBorder="1" applyAlignment="1">
      <alignment horizontal="right" vertical="center" wrapText="1"/>
    </xf>
    <xf numFmtId="9" fontId="15" fillId="15" borderId="23" xfId="0" applyNumberFormat="1" applyFont="1" applyFill="1" applyBorder="1" applyAlignment="1">
      <alignment horizontal="left" vertical="center"/>
    </xf>
    <xf numFmtId="9" fontId="15" fillId="15" borderId="41" xfId="0" applyNumberFormat="1" applyFont="1" applyFill="1" applyBorder="1" applyAlignment="1">
      <alignment horizontal="left" vertical="center"/>
    </xf>
    <xf numFmtId="9" fontId="15" fillId="15" borderId="23" xfId="0" applyNumberFormat="1" applyFont="1" applyFill="1" applyBorder="1" applyAlignment="1">
      <alignment horizontal="center" vertical="center"/>
    </xf>
    <xf numFmtId="9" fontId="22" fillId="15" borderId="0" xfId="0" applyNumberFormat="1" applyFont="1" applyFill="1" applyAlignment="1">
      <alignment horizontal="center" vertical="center"/>
    </xf>
    <xf numFmtId="9" fontId="12" fillId="15" borderId="0" xfId="0" applyNumberFormat="1" applyFont="1" applyFill="1" applyAlignment="1">
      <alignment horizontal="right" vertical="center"/>
    </xf>
    <xf numFmtId="9" fontId="15" fillId="0" borderId="23" xfId="0" applyNumberFormat="1" applyFont="1" applyBorder="1" applyAlignment="1">
      <alignment horizontal="left" vertical="center"/>
    </xf>
    <xf numFmtId="0" fontId="15" fillId="20" borderId="49" xfId="0" applyFont="1" applyFill="1" applyBorder="1" applyAlignment="1">
      <alignment horizontal="left" vertical="center" wrapText="1"/>
    </xf>
    <xf numFmtId="9" fontId="15" fillId="0" borderId="53" xfId="0" applyNumberFormat="1" applyFont="1" applyBorder="1" applyAlignment="1">
      <alignment horizontal="left" vertical="center"/>
    </xf>
    <xf numFmtId="9" fontId="15" fillId="0" borderId="25" xfId="0" applyNumberFormat="1" applyFont="1" applyBorder="1" applyAlignment="1">
      <alignment horizontal="left" vertical="center"/>
    </xf>
    <xf numFmtId="9" fontId="15" fillId="0" borderId="53" xfId="0" applyNumberFormat="1" applyFont="1" applyBorder="1" applyAlignment="1">
      <alignment horizontal="center" vertical="center"/>
    </xf>
    <xf numFmtId="9" fontId="15" fillId="0" borderId="25" xfId="0" applyNumberFormat="1" applyFont="1" applyBorder="1" applyAlignment="1">
      <alignment horizontal="center" vertical="center"/>
    </xf>
    <xf numFmtId="9" fontId="22" fillId="0" borderId="25" xfId="0" applyNumberFormat="1" applyFont="1" applyBorder="1" applyAlignment="1">
      <alignment horizontal="center" vertical="center"/>
    </xf>
    <xf numFmtId="9" fontId="15" fillId="3" borderId="54" xfId="0" applyNumberFormat="1" applyFont="1" applyFill="1" applyBorder="1" applyAlignment="1">
      <alignment horizontal="left" vertical="center"/>
    </xf>
    <xf numFmtId="9" fontId="15" fillId="10" borderId="25" xfId="0" applyNumberFormat="1" applyFont="1" applyFill="1" applyBorder="1" applyAlignment="1">
      <alignment horizontal="left" vertical="center"/>
    </xf>
    <xf numFmtId="9" fontId="15" fillId="0" borderId="24" xfId="0" applyNumberFormat="1" applyFont="1" applyBorder="1" applyAlignment="1">
      <alignment horizontal="left" vertical="center"/>
    </xf>
    <xf numFmtId="9" fontId="15" fillId="0" borderId="26" xfId="0" applyNumberFormat="1" applyFont="1" applyBorder="1" applyAlignment="1">
      <alignment horizontal="left" vertical="center"/>
    </xf>
    <xf numFmtId="0" fontId="15" fillId="22" borderId="49" xfId="0" applyFont="1" applyFill="1" applyBorder="1" applyAlignment="1">
      <alignment horizontal="right" vertical="center" wrapText="1"/>
    </xf>
    <xf numFmtId="9" fontId="15" fillId="13" borderId="23" xfId="0" applyNumberFormat="1" applyFont="1" applyFill="1" applyBorder="1" applyAlignment="1">
      <alignment horizontal="center" vertical="center"/>
    </xf>
    <xf numFmtId="9" fontId="22" fillId="13" borderId="0" xfId="0" applyNumberFormat="1" applyFont="1" applyFill="1" applyAlignment="1">
      <alignment horizontal="center" vertical="center"/>
    </xf>
    <xf numFmtId="1" fontId="15" fillId="0" borderId="0" xfId="0" applyNumberFormat="1" applyFont="1" applyAlignment="1">
      <alignment horizontal="left" vertical="center"/>
    </xf>
    <xf numFmtId="9" fontId="15" fillId="5" borderId="0" xfId="0" applyNumberFormat="1" applyFont="1" applyFill="1" applyAlignment="1">
      <alignment horizontal="center" vertical="center"/>
    </xf>
    <xf numFmtId="0" fontId="12" fillId="22" borderId="49" xfId="0" applyFont="1" applyFill="1" applyBorder="1" applyAlignment="1">
      <alignment horizontal="right" vertical="center" wrapText="1"/>
    </xf>
    <xf numFmtId="9" fontId="15" fillId="13" borderId="23" xfId="0" applyNumberFormat="1" applyFont="1" applyFill="1" applyBorder="1" applyAlignment="1">
      <alignment horizontal="left" vertical="center"/>
    </xf>
    <xf numFmtId="9" fontId="15" fillId="13" borderId="41" xfId="0" applyNumberFormat="1" applyFont="1" applyFill="1" applyBorder="1" applyAlignment="1">
      <alignment horizontal="left" vertical="center"/>
    </xf>
    <xf numFmtId="9" fontId="15" fillId="13" borderId="41" xfId="0" applyNumberFormat="1" applyFont="1" applyFill="1" applyBorder="1" applyAlignment="1">
      <alignment horizontal="center" vertical="center"/>
    </xf>
    <xf numFmtId="9" fontId="12" fillId="13" borderId="0" xfId="0" applyNumberFormat="1" applyFont="1" applyFill="1" applyAlignment="1">
      <alignment horizontal="right" vertical="center"/>
    </xf>
    <xf numFmtId="3" fontId="15" fillId="11" borderId="42" xfId="0" applyNumberFormat="1" applyFont="1" applyFill="1" applyBorder="1" applyAlignment="1">
      <alignment horizontal="right" vertical="center" wrapText="1"/>
    </xf>
    <xf numFmtId="3" fontId="15" fillId="13" borderId="43" xfId="0" applyNumberFormat="1" applyFont="1" applyFill="1" applyBorder="1" applyAlignment="1">
      <alignment horizontal="left" vertical="center"/>
    </xf>
    <xf numFmtId="3" fontId="15" fillId="13" borderId="44" xfId="0" applyNumberFormat="1" applyFont="1" applyFill="1" applyBorder="1" applyAlignment="1">
      <alignment horizontal="left" vertical="center"/>
    </xf>
    <xf numFmtId="3" fontId="15" fillId="13" borderId="45" xfId="0" applyNumberFormat="1" applyFont="1" applyFill="1" applyBorder="1" applyAlignment="1">
      <alignment horizontal="left" vertical="center"/>
    </xf>
    <xf numFmtId="3" fontId="15" fillId="13" borderId="45" xfId="0" applyNumberFormat="1" applyFont="1" applyFill="1" applyBorder="1" applyAlignment="1">
      <alignment horizontal="center" vertical="center"/>
    </xf>
    <xf numFmtId="3" fontId="15" fillId="3" borderId="43" xfId="0" applyNumberFormat="1" applyFont="1" applyFill="1" applyBorder="1" applyAlignment="1">
      <alignment horizontal="center" vertical="center"/>
    </xf>
    <xf numFmtId="3" fontId="15" fillId="3" borderId="44" xfId="0" applyNumberFormat="1" applyFont="1" applyFill="1" applyBorder="1" applyAlignment="1">
      <alignment horizontal="center" vertical="center"/>
    </xf>
    <xf numFmtId="3" fontId="22" fillId="3" borderId="44" xfId="0" applyNumberFormat="1" applyFont="1" applyFill="1" applyBorder="1" applyAlignment="1">
      <alignment horizontal="center" vertical="center"/>
    </xf>
    <xf numFmtId="3" fontId="12" fillId="3" borderId="44" xfId="0" applyNumberFormat="1" applyFont="1" applyFill="1" applyBorder="1" applyAlignment="1">
      <alignment horizontal="right" vertical="center"/>
    </xf>
    <xf numFmtId="9" fontId="15" fillId="13" borderId="45" xfId="0" applyNumberFormat="1" applyFont="1" applyFill="1" applyBorder="1" applyAlignment="1">
      <alignment horizontal="center" vertical="center"/>
    </xf>
    <xf numFmtId="3" fontId="15" fillId="0" borderId="32" xfId="0" applyNumberFormat="1" applyFont="1" applyBorder="1" applyAlignment="1">
      <alignment horizontal="left" vertical="center"/>
    </xf>
    <xf numFmtId="3" fontId="15" fillId="5" borderId="0" xfId="0" applyNumberFormat="1" applyFont="1" applyFill="1" applyAlignment="1">
      <alignment horizontal="center" vertical="center"/>
    </xf>
    <xf numFmtId="3" fontId="15" fillId="3" borderId="56" xfId="0" applyNumberFormat="1" applyFont="1" applyFill="1" applyBorder="1" applyAlignment="1">
      <alignment horizontal="center" vertical="center"/>
    </xf>
    <xf numFmtId="3" fontId="15" fillId="3" borderId="32" xfId="0" applyNumberFormat="1" applyFont="1" applyFill="1" applyBorder="1" applyAlignment="1">
      <alignment horizontal="center" vertical="center"/>
    </xf>
    <xf numFmtId="3" fontId="22" fillId="3" borderId="32" xfId="0" applyNumberFormat="1" applyFont="1" applyFill="1" applyBorder="1" applyAlignment="1">
      <alignment horizontal="center" vertical="center"/>
    </xf>
    <xf numFmtId="3" fontId="12" fillId="3" borderId="32" xfId="0" applyNumberFormat="1" applyFont="1" applyFill="1" applyBorder="1" applyAlignment="1">
      <alignment horizontal="right" vertical="center"/>
    </xf>
    <xf numFmtId="3" fontId="15" fillId="15" borderId="32" xfId="0" applyNumberFormat="1" applyFont="1" applyFill="1" applyBorder="1" applyAlignment="1">
      <alignment horizontal="right" vertical="center"/>
    </xf>
    <xf numFmtId="9" fontId="15" fillId="13" borderId="48" xfId="0" applyNumberFormat="1" applyFont="1" applyFill="1" applyBorder="1" applyAlignment="1">
      <alignment horizontal="center" vertical="center"/>
    </xf>
    <xf numFmtId="3" fontId="15" fillId="0" borderId="31" xfId="0" applyNumberFormat="1" applyFont="1" applyBorder="1" applyAlignment="1">
      <alignment horizontal="left" vertical="center"/>
    </xf>
    <xf numFmtId="3" fontId="15" fillId="5" borderId="15" xfId="0" applyNumberFormat="1" applyFont="1" applyFill="1" applyBorder="1" applyAlignment="1">
      <alignment horizontal="right" vertical="center"/>
    </xf>
    <xf numFmtId="3" fontId="15" fillId="5" borderId="6" xfId="0" applyNumberFormat="1" applyFont="1" applyFill="1" applyBorder="1" applyAlignment="1">
      <alignment horizontal="right" vertical="center"/>
    </xf>
    <xf numFmtId="0" fontId="15" fillId="7" borderId="67" xfId="0" applyFont="1" applyFill="1" applyBorder="1" applyAlignment="1">
      <alignment horizontal="left" vertical="center" wrapText="1"/>
    </xf>
    <xf numFmtId="9" fontId="15" fillId="13" borderId="68" xfId="0" applyNumberFormat="1" applyFont="1" applyFill="1" applyBorder="1" applyAlignment="1">
      <alignment horizontal="left" vertical="center"/>
    </xf>
    <xf numFmtId="9" fontId="15" fillId="13" borderId="69" xfId="0" applyNumberFormat="1" applyFont="1" applyFill="1" applyBorder="1" applyAlignment="1">
      <alignment horizontal="left" vertical="center"/>
    </xf>
    <xf numFmtId="9" fontId="15" fillId="13" borderId="69" xfId="0" applyNumberFormat="1" applyFont="1" applyFill="1" applyBorder="1" applyAlignment="1">
      <alignment horizontal="center" vertical="center"/>
    </xf>
    <xf numFmtId="9" fontId="22" fillId="13" borderId="69" xfId="0" applyNumberFormat="1" applyFont="1" applyFill="1" applyBorder="1" applyAlignment="1">
      <alignment horizontal="center" vertical="center"/>
    </xf>
    <xf numFmtId="0" fontId="15" fillId="3" borderId="69" xfId="0" applyFont="1" applyFill="1" applyBorder="1" applyAlignment="1">
      <alignment horizontal="center" vertical="center"/>
    </xf>
    <xf numFmtId="1" fontId="15" fillId="3" borderId="61" xfId="0" applyNumberFormat="1" applyFont="1" applyFill="1" applyBorder="1" applyAlignment="1">
      <alignment horizontal="left" vertical="center"/>
    </xf>
    <xf numFmtId="3" fontId="12" fillId="3" borderId="65" xfId="0" applyNumberFormat="1" applyFont="1" applyFill="1" applyBorder="1" applyAlignment="1">
      <alignment horizontal="center" vertical="center"/>
    </xf>
    <xf numFmtId="1" fontId="15" fillId="3" borderId="69" xfId="0" applyNumberFormat="1" applyFont="1" applyFill="1" applyBorder="1" applyAlignment="1">
      <alignment horizontal="center" vertical="center"/>
    </xf>
    <xf numFmtId="9" fontId="15" fillId="3" borderId="79" xfId="0" applyNumberFormat="1" applyFont="1" applyFill="1" applyBorder="1" applyAlignment="1">
      <alignment horizontal="center" vertical="center"/>
    </xf>
    <xf numFmtId="9" fontId="15" fillId="13" borderId="80" xfId="0" applyNumberFormat="1" applyFont="1" applyFill="1" applyBorder="1" applyAlignment="1">
      <alignment horizontal="center" vertical="center"/>
    </xf>
    <xf numFmtId="9" fontId="15" fillId="13" borderId="65" xfId="0" applyNumberFormat="1" applyFont="1" applyFill="1" applyBorder="1" applyAlignment="1">
      <alignment horizontal="center" vertical="center"/>
    </xf>
    <xf numFmtId="9" fontId="22" fillId="13" borderId="65" xfId="0" applyNumberFormat="1" applyFont="1" applyFill="1" applyBorder="1" applyAlignment="1">
      <alignment horizontal="center" vertical="center"/>
    </xf>
    <xf numFmtId="0" fontId="15" fillId="3" borderId="65" xfId="0" applyFont="1" applyFill="1" applyBorder="1" applyAlignment="1">
      <alignment horizontal="center" vertical="center"/>
    </xf>
    <xf numFmtId="9" fontId="12" fillId="13" borderId="65" xfId="0" applyNumberFormat="1" applyFont="1" applyFill="1" applyBorder="1" applyAlignment="1">
      <alignment horizontal="right" vertical="center"/>
    </xf>
    <xf numFmtId="1" fontId="15" fillId="0" borderId="61" xfId="0" applyNumberFormat="1" applyFont="1" applyBorder="1" applyAlignment="1">
      <alignment horizontal="left" vertical="center"/>
    </xf>
    <xf numFmtId="1" fontId="15" fillId="0" borderId="56" xfId="0" applyNumberFormat="1" applyFont="1" applyBorder="1" applyAlignment="1">
      <alignment horizontal="left" vertical="center"/>
    </xf>
    <xf numFmtId="1" fontId="15" fillId="0" borderId="32" xfId="0" applyNumberFormat="1" applyFont="1" applyBorder="1" applyAlignment="1">
      <alignment horizontal="left" vertical="center"/>
    </xf>
    <xf numFmtId="9" fontId="15" fillId="0" borderId="48" xfId="0" applyNumberFormat="1" applyFont="1" applyBorder="1" applyAlignment="1">
      <alignment horizontal="left" vertical="center"/>
    </xf>
    <xf numFmtId="9" fontId="15" fillId="13" borderId="76" xfId="0" applyNumberFormat="1" applyFont="1" applyFill="1" applyBorder="1" applyAlignment="1">
      <alignment horizontal="left" vertical="center"/>
    </xf>
    <xf numFmtId="9" fontId="15" fillId="13" borderId="77" xfId="0" applyNumberFormat="1" applyFont="1" applyFill="1" applyBorder="1" applyAlignment="1">
      <alignment horizontal="left" vertical="center"/>
    </xf>
    <xf numFmtId="9" fontId="15" fillId="13" borderId="78" xfId="0" applyNumberFormat="1" applyFont="1" applyFill="1" applyBorder="1" applyAlignment="1">
      <alignment horizontal="left" vertical="center"/>
    </xf>
    <xf numFmtId="9" fontId="15" fillId="13" borderId="78" xfId="0" applyNumberFormat="1" applyFont="1" applyFill="1" applyBorder="1" applyAlignment="1">
      <alignment horizontal="center" vertical="center"/>
    </xf>
    <xf numFmtId="9" fontId="15" fillId="13" borderId="76" xfId="0" applyNumberFormat="1" applyFont="1" applyFill="1" applyBorder="1" applyAlignment="1">
      <alignment horizontal="center" vertical="center"/>
    </xf>
    <xf numFmtId="9" fontId="15" fillId="13" borderId="77" xfId="0" applyNumberFormat="1" applyFont="1" applyFill="1" applyBorder="1" applyAlignment="1">
      <alignment horizontal="center" vertical="center"/>
    </xf>
    <xf numFmtId="9" fontId="22" fillId="13" borderId="77" xfId="0" applyNumberFormat="1" applyFont="1" applyFill="1" applyBorder="1" applyAlignment="1">
      <alignment horizontal="center" vertical="center"/>
    </xf>
    <xf numFmtId="0" fontId="15" fillId="13" borderId="77" xfId="0" applyFont="1" applyFill="1" applyBorder="1" applyAlignment="1">
      <alignment horizontal="center" vertical="center"/>
    </xf>
    <xf numFmtId="9" fontId="12" fillId="13" borderId="77" xfId="0" applyNumberFormat="1" applyFont="1" applyFill="1" applyBorder="1" applyAlignment="1">
      <alignment horizontal="right" vertical="center"/>
    </xf>
    <xf numFmtId="1" fontId="15" fillId="3" borderId="25" xfId="0" applyNumberFormat="1" applyFont="1" applyFill="1" applyBorder="1" applyAlignment="1">
      <alignment horizontal="left" vertical="center"/>
    </xf>
    <xf numFmtId="1" fontId="15" fillId="3" borderId="77" xfId="0" applyNumberFormat="1" applyFont="1" applyFill="1" applyBorder="1" applyAlignment="1">
      <alignment horizontal="center" vertical="center"/>
    </xf>
    <xf numFmtId="3" fontId="15" fillId="3" borderId="76" xfId="0" applyNumberFormat="1" applyFont="1" applyFill="1" applyBorder="1" applyAlignment="1">
      <alignment horizontal="center" vertical="center"/>
    </xf>
    <xf numFmtId="3" fontId="15" fillId="13" borderId="77" xfId="0" applyNumberFormat="1" applyFont="1" applyFill="1" applyBorder="1" applyAlignment="1">
      <alignment horizontal="center" vertical="center"/>
    </xf>
    <xf numFmtId="3" fontId="22" fillId="13" borderId="77" xfId="0" applyNumberFormat="1" applyFont="1" applyFill="1" applyBorder="1" applyAlignment="1">
      <alignment horizontal="center" vertical="center"/>
    </xf>
    <xf numFmtId="3" fontId="12" fillId="3" borderId="77" xfId="0" applyNumberFormat="1" applyFont="1" applyFill="1" applyBorder="1" applyAlignment="1">
      <alignment horizontal="right" vertical="center"/>
    </xf>
    <xf numFmtId="3" fontId="15" fillId="0" borderId="56" xfId="0" applyNumberFormat="1" applyFont="1" applyBorder="1" applyAlignment="1">
      <alignment horizontal="left" vertical="center"/>
    </xf>
    <xf numFmtId="0" fontId="12" fillId="4" borderId="34" xfId="0" applyFont="1" applyFill="1" applyBorder="1" applyAlignment="1">
      <alignment horizontal="left" vertical="center" wrapText="1"/>
    </xf>
    <xf numFmtId="0" fontId="12" fillId="4" borderId="35" xfId="0" applyFont="1" applyFill="1" applyBorder="1" applyAlignment="1">
      <alignment vertical="center"/>
    </xf>
    <xf numFmtId="0" fontId="12" fillId="4" borderId="36" xfId="0" applyFont="1" applyFill="1" applyBorder="1" applyAlignment="1">
      <alignment vertical="center"/>
    </xf>
    <xf numFmtId="0" fontId="12" fillId="4" borderId="37" xfId="0" applyFont="1" applyFill="1" applyBorder="1" applyAlignment="1">
      <alignment vertical="center"/>
    </xf>
    <xf numFmtId="0" fontId="12" fillId="4" borderId="37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3" fillId="4" borderId="36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right" vertical="center"/>
    </xf>
    <xf numFmtId="0" fontId="12" fillId="4" borderId="39" xfId="0" applyFont="1" applyFill="1" applyBorder="1" applyAlignment="1">
      <alignment vertical="center"/>
    </xf>
    <xf numFmtId="0" fontId="12" fillId="4" borderId="38" xfId="0" applyFont="1" applyFill="1" applyBorder="1" applyAlignment="1">
      <alignment horizontal="center" vertical="center"/>
    </xf>
    <xf numFmtId="0" fontId="15" fillId="4" borderId="40" xfId="0" applyFont="1" applyFill="1" applyBorder="1" applyAlignment="1">
      <alignment vertical="center" wrapText="1"/>
    </xf>
    <xf numFmtId="9" fontId="15" fillId="0" borderId="23" xfId="0" applyNumberFormat="1" applyFont="1" applyBorder="1" applyAlignment="1">
      <alignment vertical="center"/>
    </xf>
    <xf numFmtId="9" fontId="15" fillId="0" borderId="0" xfId="0" applyNumberFormat="1" applyFont="1" applyAlignment="1">
      <alignment vertical="center"/>
    </xf>
    <xf numFmtId="9" fontId="15" fillId="0" borderId="23" xfId="0" applyNumberFormat="1" applyFont="1" applyBorder="1" applyAlignment="1">
      <alignment horizontal="center" vertical="center"/>
    </xf>
    <xf numFmtId="9" fontId="15" fillId="13" borderId="6" xfId="0" applyNumberFormat="1" applyFont="1" applyFill="1" applyBorder="1" applyAlignment="1">
      <alignment horizontal="center" vertical="center"/>
    </xf>
    <xf numFmtId="9" fontId="22" fillId="13" borderId="6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168" fontId="15" fillId="0" borderId="23" xfId="0" applyNumberFormat="1" applyFont="1" applyBorder="1" applyAlignment="1">
      <alignment vertical="center"/>
    </xf>
    <xf numFmtId="0" fontId="15" fillId="5" borderId="6" xfId="0" applyFont="1" applyFill="1" applyBorder="1" applyAlignment="1">
      <alignment vertical="center"/>
    </xf>
    <xf numFmtId="3" fontId="12" fillId="0" borderId="0" xfId="0" applyNumberFormat="1" applyFont="1" applyAlignment="1">
      <alignment horizontal="right" vertical="center"/>
    </xf>
    <xf numFmtId="1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vertical="center"/>
    </xf>
    <xf numFmtId="1" fontId="15" fillId="0" borderId="23" xfId="0" applyNumberFormat="1" applyFont="1" applyBorder="1" applyAlignment="1">
      <alignment vertical="center"/>
    </xf>
    <xf numFmtId="0" fontId="15" fillId="4" borderId="42" xfId="0" applyFont="1" applyFill="1" applyBorder="1" applyAlignment="1">
      <alignment vertical="center" wrapText="1"/>
    </xf>
    <xf numFmtId="0" fontId="15" fillId="0" borderId="56" xfId="0" applyFont="1" applyBorder="1" applyAlignment="1">
      <alignment horizontal="right" vertical="center"/>
    </xf>
    <xf numFmtId="1" fontId="15" fillId="0" borderId="32" xfId="0" applyNumberFormat="1" applyFont="1" applyBorder="1" applyAlignment="1">
      <alignment horizontal="center" vertical="center"/>
    </xf>
    <xf numFmtId="0" fontId="15" fillId="13" borderId="19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vertical="center"/>
    </xf>
    <xf numFmtId="1" fontId="15" fillId="0" borderId="56" xfId="0" applyNumberFormat="1" applyFont="1" applyBorder="1" applyAlignment="1">
      <alignment vertical="center"/>
    </xf>
    <xf numFmtId="3" fontId="12" fillId="0" borderId="25" xfId="0" applyNumberFormat="1" applyFont="1" applyBorder="1" applyAlignment="1">
      <alignment horizontal="right" vertical="center"/>
    </xf>
    <xf numFmtId="9" fontId="12" fillId="3" borderId="54" xfId="0" applyNumberFormat="1" applyFont="1" applyFill="1" applyBorder="1" applyAlignment="1">
      <alignment horizontal="left" vertical="center"/>
    </xf>
    <xf numFmtId="0" fontId="12" fillId="4" borderId="42" xfId="0" applyFont="1" applyFill="1" applyBorder="1" applyAlignment="1">
      <alignment horizontal="right" vertical="center" wrapText="1"/>
    </xf>
    <xf numFmtId="0" fontId="15" fillId="3" borderId="16" xfId="0" applyFont="1" applyFill="1" applyBorder="1" applyAlignment="1">
      <alignment horizontal="right" vertical="center"/>
    </xf>
    <xf numFmtId="4" fontId="12" fillId="13" borderId="44" xfId="0" applyNumberFormat="1" applyFont="1" applyFill="1" applyBorder="1" applyAlignment="1">
      <alignment horizontal="center" vertical="center"/>
    </xf>
    <xf numFmtId="0" fontId="15" fillId="13" borderId="56" xfId="0" applyFont="1" applyFill="1" applyBorder="1" applyAlignment="1">
      <alignment horizontal="center" vertical="center"/>
    </xf>
    <xf numFmtId="3" fontId="12" fillId="0" borderId="32" xfId="0" applyNumberFormat="1" applyFont="1" applyBorder="1" applyAlignment="1">
      <alignment horizontal="right" vertical="center"/>
    </xf>
    <xf numFmtId="9" fontId="15" fillId="3" borderId="48" xfId="0" applyNumberFormat="1" applyFont="1" applyFill="1" applyBorder="1" applyAlignment="1">
      <alignment horizontal="right" vertical="center"/>
    </xf>
    <xf numFmtId="0" fontId="15" fillId="4" borderId="34" xfId="0" applyFont="1" applyFill="1" applyBorder="1" applyAlignment="1">
      <alignment vertical="center" wrapText="1"/>
    </xf>
    <xf numFmtId="0" fontId="15" fillId="0" borderId="53" xfId="0" applyFont="1" applyBorder="1" applyAlignment="1">
      <alignment horizontal="right" vertical="center"/>
    </xf>
    <xf numFmtId="0" fontId="15" fillId="0" borderId="25" xfId="0" applyFont="1" applyBorder="1" applyAlignment="1">
      <alignment horizontal="right" vertical="center"/>
    </xf>
    <xf numFmtId="0" fontId="15" fillId="13" borderId="35" xfId="0" applyFont="1" applyFill="1" applyBorder="1" applyAlignment="1">
      <alignment horizontal="center" vertical="center"/>
    </xf>
    <xf numFmtId="0" fontId="15" fillId="13" borderId="36" xfId="0" applyFont="1" applyFill="1" applyBorder="1" applyAlignment="1">
      <alignment horizontal="center" vertical="center"/>
    </xf>
    <xf numFmtId="0" fontId="22" fillId="13" borderId="36" xfId="0" applyFont="1" applyFill="1" applyBorder="1" applyAlignment="1">
      <alignment horizontal="center" vertical="center"/>
    </xf>
    <xf numFmtId="0" fontId="12" fillId="13" borderId="36" xfId="0" applyFont="1" applyFill="1" applyBorder="1" applyAlignment="1">
      <alignment horizontal="right" vertical="center"/>
    </xf>
    <xf numFmtId="9" fontId="15" fillId="13" borderId="25" xfId="0" applyNumberFormat="1" applyFont="1" applyFill="1" applyBorder="1" applyAlignment="1">
      <alignment horizontal="right" vertical="center"/>
    </xf>
    <xf numFmtId="0" fontId="15" fillId="13" borderId="25" xfId="0" applyFont="1" applyFill="1" applyBorder="1" applyAlignment="1">
      <alignment horizontal="right" vertical="center"/>
    </xf>
    <xf numFmtId="4" fontId="12" fillId="13" borderId="36" xfId="0" applyNumberFormat="1" applyFont="1" applyFill="1" applyBorder="1" applyAlignment="1">
      <alignment horizontal="center" vertical="center"/>
    </xf>
    <xf numFmtId="0" fontId="12" fillId="13" borderId="7" xfId="0" applyFont="1" applyFill="1" applyBorder="1" applyAlignment="1">
      <alignment horizontal="right" vertical="center"/>
    </xf>
    <xf numFmtId="0" fontId="15" fillId="10" borderId="25" xfId="0" applyFont="1" applyFill="1" applyBorder="1" applyAlignment="1">
      <alignment horizontal="right" vertical="center"/>
    </xf>
    <xf numFmtId="0" fontId="15" fillId="3" borderId="32" xfId="0" applyFont="1" applyFill="1" applyBorder="1" applyAlignment="1">
      <alignment horizontal="center" vertical="center"/>
    </xf>
    <xf numFmtId="0" fontId="15" fillId="13" borderId="35" xfId="0" applyFont="1" applyFill="1" applyBorder="1" applyAlignment="1">
      <alignment horizontal="right" vertical="center"/>
    </xf>
    <xf numFmtId="0" fontId="15" fillId="13" borderId="36" xfId="0" applyFont="1" applyFill="1" applyBorder="1" applyAlignment="1">
      <alignment horizontal="right" vertical="center"/>
    </xf>
    <xf numFmtId="0" fontId="15" fillId="13" borderId="37" xfId="0" applyFont="1" applyFill="1" applyBorder="1" applyAlignment="1">
      <alignment horizontal="right" vertical="center"/>
    </xf>
    <xf numFmtId="0" fontId="12" fillId="13" borderId="35" xfId="0" applyFont="1" applyFill="1" applyBorder="1" applyAlignment="1">
      <alignment horizontal="right" vertical="center"/>
    </xf>
    <xf numFmtId="0" fontId="15" fillId="13" borderId="37" xfId="0" applyFont="1" applyFill="1" applyBorder="1" applyAlignment="1">
      <alignment horizontal="center" vertical="center"/>
    </xf>
    <xf numFmtId="168" fontId="15" fillId="13" borderId="36" xfId="0" applyNumberFormat="1" applyFont="1" applyFill="1" applyBorder="1" applyAlignment="1">
      <alignment horizontal="center" vertical="center"/>
    </xf>
    <xf numFmtId="168" fontId="22" fillId="13" borderId="36" xfId="0" applyNumberFormat="1" applyFont="1" applyFill="1" applyBorder="1" applyAlignment="1">
      <alignment horizontal="center" vertical="center"/>
    </xf>
    <xf numFmtId="3" fontId="15" fillId="0" borderId="25" xfId="0" applyNumberFormat="1" applyFont="1" applyBorder="1" applyAlignment="1">
      <alignment horizontal="right" vertical="center"/>
    </xf>
    <xf numFmtId="0" fontId="12" fillId="4" borderId="40" xfId="0" applyFont="1" applyFill="1" applyBorder="1" applyAlignment="1">
      <alignment horizontal="right" vertical="center" wrapText="1"/>
    </xf>
    <xf numFmtId="168" fontId="15" fillId="13" borderId="6" xfId="0" applyNumberFormat="1" applyFont="1" applyFill="1" applyBorder="1" applyAlignment="1">
      <alignment horizontal="center" vertical="center"/>
    </xf>
    <xf numFmtId="168" fontId="22" fillId="13" borderId="6" xfId="0" applyNumberFormat="1" applyFont="1" applyFill="1" applyBorder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right" vertical="center"/>
    </xf>
    <xf numFmtId="9" fontId="15" fillId="3" borderId="28" xfId="0" applyNumberFormat="1" applyFont="1" applyFill="1" applyBorder="1" applyAlignment="1">
      <alignment horizontal="right" vertical="center"/>
    </xf>
    <xf numFmtId="9" fontId="15" fillId="0" borderId="23" xfId="0" applyNumberFormat="1" applyFont="1" applyBorder="1" applyAlignment="1">
      <alignment horizontal="right" vertical="center"/>
    </xf>
    <xf numFmtId="9" fontId="15" fillId="13" borderId="47" xfId="0" applyNumberFormat="1" applyFont="1" applyFill="1" applyBorder="1" applyAlignment="1">
      <alignment horizontal="right" vertical="center"/>
    </xf>
    <xf numFmtId="0" fontId="15" fillId="13" borderId="47" xfId="0" applyFont="1" applyFill="1" applyBorder="1" applyAlignment="1">
      <alignment horizontal="right" vertical="center"/>
    </xf>
    <xf numFmtId="9" fontId="12" fillId="13" borderId="44" xfId="0" applyNumberFormat="1" applyFont="1" applyFill="1" applyBorder="1" applyAlignment="1">
      <alignment horizontal="center" vertical="center"/>
    </xf>
    <xf numFmtId="0" fontId="15" fillId="13" borderId="46" xfId="0" applyFont="1" applyFill="1" applyBorder="1" applyAlignment="1">
      <alignment horizontal="center" vertical="center"/>
    </xf>
    <xf numFmtId="9" fontId="15" fillId="0" borderId="56" xfId="0" applyNumberFormat="1" applyFont="1" applyBorder="1" applyAlignment="1">
      <alignment horizontal="right" vertical="center"/>
    </xf>
    <xf numFmtId="168" fontId="15" fillId="0" borderId="32" xfId="0" applyNumberFormat="1" applyFont="1" applyBorder="1" applyAlignment="1">
      <alignment horizontal="right" vertical="center"/>
    </xf>
    <xf numFmtId="0" fontId="12" fillId="13" borderId="37" xfId="0" applyFont="1" applyFill="1" applyBorder="1" applyAlignment="1">
      <alignment horizontal="center" vertical="center"/>
    </xf>
    <xf numFmtId="3" fontId="12" fillId="0" borderId="53" xfId="0" applyNumberFormat="1" applyFont="1" applyBorder="1" applyAlignment="1">
      <alignment horizontal="left" vertical="center"/>
    </xf>
    <xf numFmtId="0" fontId="15" fillId="15" borderId="6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2" fillId="4" borderId="55" xfId="0" applyFont="1" applyFill="1" applyBorder="1" applyAlignment="1">
      <alignment horizontal="right" vertical="center" wrapText="1"/>
    </xf>
    <xf numFmtId="0" fontId="15" fillId="13" borderId="57" xfId="0" applyFont="1" applyFill="1" applyBorder="1" applyAlignment="1">
      <alignment horizontal="center" vertical="center"/>
    </xf>
    <xf numFmtId="0" fontId="12" fillId="21" borderId="0" xfId="0" applyFont="1" applyFill="1" applyAlignment="1">
      <alignment horizontal="right" vertical="center"/>
    </xf>
    <xf numFmtId="0" fontId="15" fillId="21" borderId="0" xfId="0" applyFont="1" applyFill="1" applyAlignment="1">
      <alignment horizontal="center" vertical="center"/>
    </xf>
    <xf numFmtId="0" fontId="15" fillId="4" borderId="55" xfId="0" applyFont="1" applyFill="1" applyBorder="1" applyAlignment="1">
      <alignment horizontal="left" vertical="center" wrapText="1"/>
    </xf>
    <xf numFmtId="0" fontId="15" fillId="16" borderId="50" xfId="0" applyFont="1" applyFill="1" applyBorder="1" applyAlignment="1">
      <alignment horizontal="right" vertical="center"/>
    </xf>
    <xf numFmtId="0" fontId="15" fillId="16" borderId="51" xfId="0" applyFont="1" applyFill="1" applyBorder="1" applyAlignment="1">
      <alignment horizontal="right" vertical="center"/>
    </xf>
    <xf numFmtId="0" fontId="15" fillId="16" borderId="52" xfId="0" applyFont="1" applyFill="1" applyBorder="1" applyAlignment="1">
      <alignment horizontal="right" vertical="center"/>
    </xf>
    <xf numFmtId="0" fontId="15" fillId="16" borderId="52" xfId="0" applyFont="1" applyFill="1" applyBorder="1" applyAlignment="1">
      <alignment horizontal="center" vertical="center"/>
    </xf>
    <xf numFmtId="0" fontId="15" fillId="16" borderId="50" xfId="0" applyFont="1" applyFill="1" applyBorder="1" applyAlignment="1">
      <alignment horizontal="center" vertical="center"/>
    </xf>
    <xf numFmtId="0" fontId="15" fillId="16" borderId="51" xfId="0" applyFont="1" applyFill="1" applyBorder="1" applyAlignment="1">
      <alignment horizontal="center" vertical="center"/>
    </xf>
    <xf numFmtId="0" fontId="22" fillId="16" borderId="51" xfId="0" applyFont="1" applyFill="1" applyBorder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3" fontId="15" fillId="16" borderId="0" xfId="0" applyNumberFormat="1" applyFont="1" applyFill="1" applyAlignment="1">
      <alignment horizontal="center" vertical="center"/>
    </xf>
    <xf numFmtId="0" fontId="15" fillId="16" borderId="41" xfId="0" applyFont="1" applyFill="1" applyBorder="1" applyAlignment="1">
      <alignment horizontal="center" vertical="center"/>
    </xf>
    <xf numFmtId="0" fontId="15" fillId="16" borderId="0" xfId="0" applyFont="1" applyFill="1" applyAlignment="1">
      <alignment horizontal="right" vertical="center"/>
    </xf>
    <xf numFmtId="0" fontId="15" fillId="3" borderId="50" xfId="0" applyFont="1" applyFill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/>
    </xf>
    <xf numFmtId="0" fontId="22" fillId="3" borderId="51" xfId="0" applyFont="1" applyFill="1" applyBorder="1" applyAlignment="1">
      <alignment horizontal="center" vertical="center"/>
    </xf>
    <xf numFmtId="3" fontId="15" fillId="3" borderId="0" xfId="0" applyNumberFormat="1" applyFont="1" applyFill="1" applyAlignment="1">
      <alignment horizontal="center" vertical="center"/>
    </xf>
    <xf numFmtId="3" fontId="15" fillId="10" borderId="0" xfId="0" applyNumberFormat="1" applyFont="1" applyFill="1" applyAlignment="1">
      <alignment horizontal="right" vertical="center"/>
    </xf>
    <xf numFmtId="0" fontId="15" fillId="5" borderId="15" xfId="0" applyFont="1" applyFill="1" applyBorder="1" applyAlignment="1">
      <alignment horizontal="right" vertical="center"/>
    </xf>
    <xf numFmtId="0" fontId="15" fillId="19" borderId="50" xfId="0" applyFont="1" applyFill="1" applyBorder="1" applyAlignment="1">
      <alignment horizontal="left" vertical="center"/>
    </xf>
    <xf numFmtId="0" fontId="15" fillId="19" borderId="51" xfId="0" applyFont="1" applyFill="1" applyBorder="1" applyAlignment="1">
      <alignment horizontal="right" vertical="center"/>
    </xf>
    <xf numFmtId="0" fontId="15" fillId="19" borderId="52" xfId="0" applyFont="1" applyFill="1" applyBorder="1" applyAlignment="1">
      <alignment horizontal="right" vertical="center"/>
    </xf>
    <xf numFmtId="0" fontId="15" fillId="19" borderId="50" xfId="0" applyFont="1" applyFill="1" applyBorder="1" applyAlignment="1">
      <alignment horizontal="right" vertical="center"/>
    </xf>
    <xf numFmtId="0" fontId="15" fillId="19" borderId="52" xfId="0" applyFont="1" applyFill="1" applyBorder="1" applyAlignment="1">
      <alignment horizontal="center" vertical="center"/>
    </xf>
    <xf numFmtId="0" fontId="15" fillId="19" borderId="50" xfId="0" applyFont="1" applyFill="1" applyBorder="1" applyAlignment="1">
      <alignment horizontal="center" vertical="center"/>
    </xf>
    <xf numFmtId="0" fontId="15" fillId="19" borderId="51" xfId="0" applyFont="1" applyFill="1" applyBorder="1" applyAlignment="1">
      <alignment horizontal="center" vertical="center"/>
    </xf>
    <xf numFmtId="0" fontId="22" fillId="19" borderId="51" xfId="0" applyFont="1" applyFill="1" applyBorder="1" applyAlignment="1">
      <alignment horizontal="center" vertical="center"/>
    </xf>
    <xf numFmtId="0" fontId="15" fillId="19" borderId="0" xfId="0" applyFont="1" applyFill="1" applyAlignment="1">
      <alignment horizontal="center" vertical="center"/>
    </xf>
    <xf numFmtId="3" fontId="15" fillId="19" borderId="0" xfId="0" applyNumberFormat="1" applyFont="1" applyFill="1" applyAlignment="1">
      <alignment horizontal="center" vertical="center"/>
    </xf>
    <xf numFmtId="0" fontId="15" fillId="19" borderId="41" xfId="0" applyFont="1" applyFill="1" applyBorder="1" applyAlignment="1">
      <alignment horizontal="center" vertical="center"/>
    </xf>
    <xf numFmtId="0" fontId="15" fillId="19" borderId="0" xfId="0" applyFont="1" applyFill="1" applyAlignment="1">
      <alignment horizontal="right" vertical="center"/>
    </xf>
    <xf numFmtId="3" fontId="15" fillId="19" borderId="0" xfId="0" applyNumberFormat="1" applyFont="1" applyFill="1" applyAlignment="1">
      <alignment horizontal="right" vertical="center"/>
    </xf>
    <xf numFmtId="3" fontId="15" fillId="19" borderId="23" xfId="0" applyNumberFormat="1" applyFont="1" applyFill="1" applyBorder="1" applyAlignment="1">
      <alignment horizontal="right" vertical="center"/>
    </xf>
    <xf numFmtId="0" fontId="12" fillId="6" borderId="34" xfId="0" applyFont="1" applyFill="1" applyBorder="1" applyAlignment="1">
      <alignment horizontal="right" vertical="center" wrapText="1"/>
    </xf>
    <xf numFmtId="0" fontId="15" fillId="6" borderId="35" xfId="0" applyFont="1" applyFill="1" applyBorder="1" applyAlignment="1">
      <alignment horizontal="right" vertical="center"/>
    </xf>
    <xf numFmtId="0" fontId="15" fillId="6" borderId="36" xfId="0" applyFont="1" applyFill="1" applyBorder="1" applyAlignment="1">
      <alignment horizontal="right" vertical="center"/>
    </xf>
    <xf numFmtId="0" fontId="15" fillId="6" borderId="37" xfId="0" applyFont="1" applyFill="1" applyBorder="1" applyAlignment="1">
      <alignment horizontal="right" vertical="center"/>
    </xf>
    <xf numFmtId="0" fontId="15" fillId="6" borderId="37" xfId="0" applyFont="1" applyFill="1" applyBorder="1" applyAlignment="1">
      <alignment horizontal="center" vertical="center"/>
    </xf>
    <xf numFmtId="0" fontId="15" fillId="6" borderId="35" xfId="0" applyFont="1" applyFill="1" applyBorder="1" applyAlignment="1">
      <alignment horizontal="center" vertical="center"/>
    </xf>
    <xf numFmtId="0" fontId="15" fillId="6" borderId="36" xfId="0" applyFont="1" applyFill="1" applyBorder="1" applyAlignment="1">
      <alignment horizontal="center" vertical="center"/>
    </xf>
    <xf numFmtId="0" fontId="22" fillId="6" borderId="36" xfId="0" applyFont="1" applyFill="1" applyBorder="1" applyAlignment="1">
      <alignment horizontal="center" vertical="center"/>
    </xf>
    <xf numFmtId="3" fontId="15" fillId="6" borderId="36" xfId="0" applyNumberFormat="1" applyFont="1" applyFill="1" applyBorder="1" applyAlignment="1">
      <alignment horizontal="center" vertical="center"/>
    </xf>
    <xf numFmtId="0" fontId="15" fillId="6" borderId="39" xfId="0" applyFont="1" applyFill="1" applyBorder="1" applyAlignment="1">
      <alignment horizontal="right" vertical="center"/>
    </xf>
    <xf numFmtId="0" fontId="15" fillId="6" borderId="81" xfId="0" applyFont="1" applyFill="1" applyBorder="1" applyAlignment="1">
      <alignment horizontal="center" vertical="center"/>
    </xf>
    <xf numFmtId="0" fontId="15" fillId="6" borderId="82" xfId="0" applyFont="1" applyFill="1" applyBorder="1" applyAlignment="1">
      <alignment horizontal="center" vertical="center"/>
    </xf>
    <xf numFmtId="0" fontId="22" fillId="6" borderId="82" xfId="0" applyFont="1" applyFill="1" applyBorder="1" applyAlignment="1">
      <alignment horizontal="center" vertical="center"/>
    </xf>
    <xf numFmtId="3" fontId="15" fillId="6" borderId="82" xfId="0" applyNumberFormat="1" applyFont="1" applyFill="1" applyBorder="1" applyAlignment="1">
      <alignment horizontal="center" vertical="center"/>
    </xf>
    <xf numFmtId="0" fontId="15" fillId="6" borderId="83" xfId="0" applyFont="1" applyFill="1" applyBorder="1" applyAlignment="1">
      <alignment horizontal="center" vertical="center"/>
    </xf>
    <xf numFmtId="3" fontId="15" fillId="6" borderId="39" xfId="0" applyNumberFormat="1" applyFont="1" applyFill="1" applyBorder="1" applyAlignment="1">
      <alignment horizontal="right" vertical="center"/>
    </xf>
    <xf numFmtId="3" fontId="15" fillId="6" borderId="76" xfId="0" applyNumberFormat="1" applyFont="1" applyFill="1" applyBorder="1" applyAlignment="1">
      <alignment horizontal="right" vertical="center"/>
    </xf>
    <xf numFmtId="0" fontId="15" fillId="6" borderId="77" xfId="0" applyFont="1" applyFill="1" applyBorder="1" applyAlignment="1">
      <alignment horizontal="right" vertical="center"/>
    </xf>
    <xf numFmtId="0" fontId="15" fillId="6" borderId="84" xfId="0" applyFont="1" applyFill="1" applyBorder="1" applyAlignment="1">
      <alignment horizontal="right" vertical="center"/>
    </xf>
    <xf numFmtId="0" fontId="15" fillId="0" borderId="27" xfId="0" applyFont="1" applyBorder="1" applyAlignment="1">
      <alignment horizontal="right" vertical="center" wrapText="1"/>
    </xf>
    <xf numFmtId="0" fontId="15" fillId="0" borderId="24" xfId="0" applyFont="1" applyBorder="1" applyAlignment="1">
      <alignment horizontal="right" vertical="center"/>
    </xf>
    <xf numFmtId="0" fontId="15" fillId="5" borderId="36" xfId="0" applyFont="1" applyFill="1" applyBorder="1" applyAlignment="1">
      <alignment horizontal="right" vertical="center"/>
    </xf>
    <xf numFmtId="9" fontId="15" fillId="3" borderId="26" xfId="0" applyNumberFormat="1" applyFont="1" applyFill="1" applyBorder="1" applyAlignment="1">
      <alignment horizontal="right" vertical="center"/>
    </xf>
    <xf numFmtId="0" fontId="15" fillId="0" borderId="31" xfId="0" applyFont="1" applyBorder="1" applyAlignment="1">
      <alignment horizontal="right" vertical="center" wrapText="1"/>
    </xf>
    <xf numFmtId="0" fontId="12" fillId="0" borderId="32" xfId="0" applyFont="1" applyBorder="1" applyAlignment="1">
      <alignment horizontal="left" vertical="center"/>
    </xf>
    <xf numFmtId="0" fontId="12" fillId="0" borderId="32" xfId="0" applyFont="1" applyBorder="1" applyAlignment="1">
      <alignment horizontal="center" vertical="center"/>
    </xf>
    <xf numFmtId="0" fontId="17" fillId="0" borderId="32" xfId="0" applyFont="1" applyBorder="1"/>
    <xf numFmtId="0" fontId="15" fillId="5" borderId="65" xfId="0" applyFont="1" applyFill="1" applyBorder="1" applyAlignment="1">
      <alignment horizontal="right" vertical="center"/>
    </xf>
    <xf numFmtId="0" fontId="15" fillId="0" borderId="0" xfId="0" applyFont="1" applyAlignment="1">
      <alignment horizontal="right" vertical="center" wrapText="1"/>
    </xf>
    <xf numFmtId="0" fontId="15" fillId="5" borderId="7" xfId="0" applyFont="1" applyFill="1" applyBorder="1" applyAlignment="1">
      <alignment horizontal="right" vertical="center"/>
    </xf>
    <xf numFmtId="0" fontId="15" fillId="0" borderId="85" xfId="0" applyFont="1" applyBorder="1" applyAlignment="1">
      <alignment horizontal="right" vertical="center"/>
    </xf>
    <xf numFmtId="0" fontId="15" fillId="0" borderId="85" xfId="0" applyFont="1" applyBorder="1" applyAlignment="1">
      <alignment horizontal="left" vertical="center"/>
    </xf>
    <xf numFmtId="0" fontId="16" fillId="0" borderId="85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6" fontId="12" fillId="0" borderId="53" xfId="0" applyNumberFormat="1" applyFont="1" applyBorder="1" applyAlignment="1">
      <alignment horizontal="center" vertical="center"/>
    </xf>
    <xf numFmtId="170" fontId="12" fillId="5" borderId="53" xfId="0" applyNumberFormat="1" applyFont="1" applyFill="1" applyBorder="1" applyAlignment="1">
      <alignment horizontal="left" vertical="center"/>
    </xf>
    <xf numFmtId="9" fontId="12" fillId="0" borderId="54" xfId="0" applyNumberFormat="1" applyFont="1" applyBorder="1" applyAlignment="1">
      <alignment horizontal="right" vertical="center"/>
    </xf>
    <xf numFmtId="170" fontId="15" fillId="5" borderId="23" xfId="0" applyNumberFormat="1" applyFont="1" applyFill="1" applyBorder="1" applyAlignment="1">
      <alignment horizontal="right" vertical="center"/>
    </xf>
    <xf numFmtId="170" fontId="15" fillId="5" borderId="32" xfId="0" applyNumberFormat="1" applyFont="1" applyFill="1" applyBorder="1" applyAlignment="1">
      <alignment horizontal="right" vertical="center"/>
    </xf>
    <xf numFmtId="170" fontId="15" fillId="0" borderId="32" xfId="0" applyNumberFormat="1" applyFont="1" applyBorder="1" applyAlignment="1">
      <alignment horizontal="right" vertical="center"/>
    </xf>
    <xf numFmtId="0" fontId="12" fillId="4" borderId="13" xfId="0" applyFont="1" applyFill="1" applyBorder="1" applyAlignment="1">
      <alignment vertical="center"/>
    </xf>
    <xf numFmtId="9" fontId="12" fillId="6" borderId="17" xfId="0" applyNumberFormat="1" applyFont="1" applyFill="1" applyBorder="1" applyAlignment="1">
      <alignment horizontal="center" vertical="center"/>
    </xf>
    <xf numFmtId="164" fontId="15" fillId="3" borderId="24" xfId="0" applyNumberFormat="1" applyFont="1" applyFill="1" applyBorder="1" applyAlignment="1">
      <alignment horizontal="center" vertical="center"/>
    </xf>
    <xf numFmtId="164" fontId="15" fillId="3" borderId="25" xfId="0" applyNumberFormat="1" applyFont="1" applyFill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5" fontId="15" fillId="3" borderId="27" xfId="0" applyNumberFormat="1" applyFont="1" applyFill="1" applyBorder="1" applyAlignment="1">
      <alignment horizontal="center" vertical="center"/>
    </xf>
    <xf numFmtId="165" fontId="12" fillId="0" borderId="25" xfId="0" applyNumberFormat="1" applyFont="1" applyBorder="1" applyAlignment="1">
      <alignment horizontal="right" vertical="center"/>
    </xf>
    <xf numFmtId="164" fontId="15" fillId="3" borderId="27" xfId="0" applyNumberFormat="1" applyFont="1" applyFill="1" applyBorder="1" applyAlignment="1">
      <alignment horizontal="center" vertical="center"/>
    </xf>
    <xf numFmtId="164" fontId="15" fillId="0" borderId="25" xfId="0" applyNumberFormat="1" applyFont="1" applyBorder="1" applyAlignment="1">
      <alignment horizontal="right" vertical="center"/>
    </xf>
    <xf numFmtId="0" fontId="12" fillId="0" borderId="31" xfId="0" applyFont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165" fontId="12" fillId="0" borderId="32" xfId="0" applyNumberFormat="1" applyFont="1" applyBorder="1" applyAlignment="1">
      <alignment horizontal="right" vertical="center"/>
    </xf>
    <xf numFmtId="9" fontId="12" fillId="6" borderId="86" xfId="0" applyNumberFormat="1" applyFont="1" applyFill="1" applyBorder="1" applyAlignment="1">
      <alignment horizontal="center" vertical="center"/>
    </xf>
    <xf numFmtId="164" fontId="12" fillId="3" borderId="23" xfId="0" applyNumberFormat="1" applyFont="1" applyFill="1" applyBorder="1" applyAlignment="1">
      <alignment vertical="center"/>
    </xf>
    <xf numFmtId="0" fontId="12" fillId="8" borderId="29" xfId="0" applyFont="1" applyFill="1" applyBorder="1" applyAlignment="1">
      <alignment vertical="center"/>
    </xf>
    <xf numFmtId="0" fontId="12" fillId="8" borderId="30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9" fillId="9" borderId="17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right" vertical="center"/>
    </xf>
    <xf numFmtId="0" fontId="12" fillId="10" borderId="17" xfId="0" applyFont="1" applyFill="1" applyBorder="1" applyAlignment="1">
      <alignment horizontal="center" vertical="center"/>
    </xf>
    <xf numFmtId="9" fontId="15" fillId="10" borderId="17" xfId="0" applyNumberFormat="1" applyFont="1" applyFill="1" applyBorder="1" applyAlignment="1">
      <alignment horizontal="right" vertical="center"/>
    </xf>
    <xf numFmtId="9" fontId="12" fillId="6" borderId="45" xfId="0" applyNumberFormat="1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vertical="center"/>
    </xf>
    <xf numFmtId="0" fontId="12" fillId="9" borderId="1" xfId="0" applyFont="1" applyFill="1" applyBorder="1" applyAlignment="1">
      <alignment horizontal="center" vertical="center"/>
    </xf>
    <xf numFmtId="0" fontId="12" fillId="10" borderId="43" xfId="0" applyFont="1" applyFill="1" applyBorder="1" applyAlignment="1">
      <alignment horizontal="center" vertical="center"/>
    </xf>
    <xf numFmtId="0" fontId="12" fillId="10" borderId="44" xfId="0" applyFont="1" applyFill="1" applyBorder="1" applyAlignment="1">
      <alignment horizontal="center" vertical="center"/>
    </xf>
    <xf numFmtId="0" fontId="13" fillId="10" borderId="44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right" vertical="center"/>
    </xf>
    <xf numFmtId="0" fontId="15" fillId="10" borderId="44" xfId="0" applyFont="1" applyFill="1" applyBorder="1" applyAlignment="1">
      <alignment horizontal="right" vertical="center"/>
    </xf>
    <xf numFmtId="9" fontId="12" fillId="10" borderId="45" xfId="0" applyNumberFormat="1" applyFont="1" applyFill="1" applyBorder="1" applyAlignment="1">
      <alignment horizontal="center" vertical="center"/>
    </xf>
    <xf numFmtId="166" fontId="12" fillId="12" borderId="87" xfId="0" applyNumberFormat="1" applyFont="1" applyFill="1" applyBorder="1" applyAlignment="1">
      <alignment horizontal="center" vertical="center"/>
    </xf>
    <xf numFmtId="166" fontId="12" fillId="12" borderId="51" xfId="0" applyNumberFormat="1" applyFont="1" applyFill="1" applyBorder="1" applyAlignment="1">
      <alignment horizontal="center" vertical="center"/>
    </xf>
    <xf numFmtId="166" fontId="12" fillId="10" borderId="87" xfId="0" applyNumberFormat="1" applyFont="1" applyFill="1" applyBorder="1" applyAlignment="1">
      <alignment horizontal="center" vertical="center"/>
    </xf>
    <xf numFmtId="166" fontId="12" fillId="10" borderId="51" xfId="0" applyNumberFormat="1" applyFont="1" applyFill="1" applyBorder="1" applyAlignment="1">
      <alignment horizontal="center" vertical="center"/>
    </xf>
    <xf numFmtId="166" fontId="15" fillId="10" borderId="51" xfId="0" applyNumberFormat="1" applyFont="1" applyFill="1" applyBorder="1" applyAlignment="1">
      <alignment horizontal="center" vertical="center"/>
    </xf>
    <xf numFmtId="167" fontId="12" fillId="0" borderId="24" xfId="0" applyNumberFormat="1" applyFont="1" applyBorder="1" applyAlignment="1">
      <alignment horizontal="left" vertical="center"/>
    </xf>
    <xf numFmtId="167" fontId="12" fillId="0" borderId="25" xfId="0" applyNumberFormat="1" applyFont="1" applyBorder="1" applyAlignment="1">
      <alignment horizontal="left" vertical="center"/>
    </xf>
    <xf numFmtId="167" fontId="12" fillId="0" borderId="25" xfId="0" applyNumberFormat="1" applyFont="1" applyBorder="1" applyAlignment="1">
      <alignment horizontal="center" vertical="center"/>
    </xf>
    <xf numFmtId="167" fontId="12" fillId="0" borderId="26" xfId="0" applyNumberFormat="1" applyFont="1" applyBorder="1" applyAlignment="1">
      <alignment horizontal="center" vertical="center"/>
    </xf>
    <xf numFmtId="166" fontId="12" fillId="3" borderId="55" xfId="0" applyNumberFormat="1" applyFont="1" applyFill="1" applyBorder="1" applyAlignment="1">
      <alignment horizontal="center" vertical="center"/>
    </xf>
    <xf numFmtId="166" fontId="15" fillId="10" borderId="36" xfId="0" applyNumberFormat="1" applyFont="1" applyFill="1" applyBorder="1" applyAlignment="1">
      <alignment horizontal="center" vertical="center"/>
    </xf>
    <xf numFmtId="166" fontId="15" fillId="10" borderId="25" xfId="0" applyNumberFormat="1" applyFont="1" applyFill="1" applyBorder="1" applyAlignment="1">
      <alignment horizontal="right" vertical="center"/>
    </xf>
    <xf numFmtId="9" fontId="15" fillId="10" borderId="26" xfId="0" applyNumberFormat="1" applyFont="1" applyFill="1" applyBorder="1" applyAlignment="1">
      <alignment horizontal="center" vertical="center"/>
    </xf>
    <xf numFmtId="167" fontId="15" fillId="0" borderId="28" xfId="0" applyNumberFormat="1" applyFont="1" applyBorder="1" applyAlignment="1">
      <alignment horizontal="center" vertical="center"/>
    </xf>
    <xf numFmtId="166" fontId="15" fillId="10" borderId="6" xfId="0" applyNumberFormat="1" applyFont="1" applyFill="1" applyBorder="1" applyAlignment="1">
      <alignment horizontal="center" vertical="center"/>
    </xf>
    <xf numFmtId="9" fontId="15" fillId="10" borderId="28" xfId="0" applyNumberFormat="1" applyFont="1" applyFill="1" applyBorder="1" applyAlignment="1">
      <alignment horizontal="center" vertical="center"/>
    </xf>
    <xf numFmtId="166" fontId="15" fillId="0" borderId="27" xfId="0" applyNumberFormat="1" applyFont="1" applyBorder="1" applyAlignment="1">
      <alignment horizontal="center" vertical="center"/>
    </xf>
    <xf numFmtId="167" fontId="7" fillId="3" borderId="27" xfId="0" applyNumberFormat="1" applyFont="1" applyFill="1" applyBorder="1"/>
    <xf numFmtId="167" fontId="12" fillId="3" borderId="28" xfId="0" applyNumberFormat="1" applyFont="1" applyFill="1" applyBorder="1" applyAlignment="1">
      <alignment horizontal="center" vertical="center"/>
    </xf>
    <xf numFmtId="166" fontId="15" fillId="3" borderId="27" xfId="0" applyNumberFormat="1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right" vertical="center"/>
    </xf>
    <xf numFmtId="167" fontId="7" fillId="0" borderId="31" xfId="0" applyNumberFormat="1" applyFont="1" applyBorder="1"/>
    <xf numFmtId="167" fontId="7" fillId="0" borderId="32" xfId="0" applyNumberFormat="1" applyFont="1" applyBorder="1"/>
    <xf numFmtId="167" fontId="15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6" fontId="15" fillId="0" borderId="31" xfId="0" applyNumberFormat="1" applyFont="1" applyBorder="1" applyAlignment="1">
      <alignment horizontal="center" vertical="center"/>
    </xf>
    <xf numFmtId="166" fontId="12" fillId="10" borderId="88" xfId="0" applyNumberFormat="1" applyFont="1" applyFill="1" applyBorder="1" applyAlignment="1">
      <alignment horizontal="center" vertical="center"/>
    </xf>
    <xf numFmtId="166" fontId="13" fillId="10" borderId="44" xfId="0" applyNumberFormat="1" applyFont="1" applyFill="1" applyBorder="1" applyAlignment="1">
      <alignment horizontal="center" vertical="center"/>
    </xf>
    <xf numFmtId="166" fontId="12" fillId="10" borderId="44" xfId="0" applyNumberFormat="1" applyFont="1" applyFill="1" applyBorder="1" applyAlignment="1">
      <alignment horizontal="center" vertical="center"/>
    </xf>
    <xf numFmtId="166" fontId="15" fillId="3" borderId="44" xfId="0" applyNumberFormat="1" applyFont="1" applyFill="1" applyBorder="1" applyAlignment="1">
      <alignment horizontal="right" vertical="center"/>
    </xf>
    <xf numFmtId="166" fontId="15" fillId="10" borderId="44" xfId="0" applyNumberFormat="1" applyFont="1" applyFill="1" applyBorder="1" applyAlignment="1">
      <alignment horizontal="right" vertical="center"/>
    </xf>
    <xf numFmtId="166" fontId="12" fillId="0" borderId="23" xfId="0" applyNumberFormat="1" applyFont="1" applyBorder="1" applyAlignment="1">
      <alignment horizontal="center" vertical="center"/>
    </xf>
    <xf numFmtId="166" fontId="12" fillId="3" borderId="36" xfId="0" applyNumberFormat="1" applyFont="1" applyFill="1" applyBorder="1" applyAlignment="1">
      <alignment horizontal="left" vertical="center"/>
    </xf>
    <xf numFmtId="166" fontId="15" fillId="10" borderId="16" xfId="0" applyNumberFormat="1" applyFont="1" applyFill="1" applyBorder="1" applyAlignment="1">
      <alignment horizontal="center" vertical="center"/>
    </xf>
    <xf numFmtId="166" fontId="22" fillId="10" borderId="6" xfId="0" applyNumberFormat="1" applyFont="1" applyFill="1" applyBorder="1" applyAlignment="1">
      <alignment horizontal="center" vertical="center"/>
    </xf>
    <xf numFmtId="166" fontId="12" fillId="10" borderId="6" xfId="0" applyNumberFormat="1" applyFont="1" applyFill="1" applyBorder="1" applyAlignment="1">
      <alignment horizontal="right" vertical="center"/>
    </xf>
    <xf numFmtId="9" fontId="15" fillId="10" borderId="17" xfId="0" applyNumberFormat="1" applyFont="1" applyFill="1" applyBorder="1" applyAlignment="1">
      <alignment horizontal="center" vertical="center"/>
    </xf>
    <xf numFmtId="166" fontId="15" fillId="10" borderId="6" xfId="0" applyNumberFormat="1" applyFont="1" applyFill="1" applyBorder="1" applyAlignment="1">
      <alignment horizontal="right" vertical="center"/>
    </xf>
    <xf numFmtId="166" fontId="15" fillId="3" borderId="6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right" vertical="center"/>
    </xf>
    <xf numFmtId="0" fontId="15" fillId="3" borderId="17" xfId="0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  <xf numFmtId="9" fontId="15" fillId="15" borderId="32" xfId="0" applyNumberFormat="1" applyFont="1" applyFill="1" applyBorder="1" applyAlignment="1">
      <alignment horizontal="right" vertical="center"/>
    </xf>
    <xf numFmtId="3" fontId="12" fillId="15" borderId="32" xfId="0" applyNumberFormat="1" applyFont="1" applyFill="1" applyBorder="1" applyAlignment="1">
      <alignment horizontal="center" vertical="center"/>
    </xf>
    <xf numFmtId="1" fontId="15" fillId="15" borderId="32" xfId="0" applyNumberFormat="1" applyFont="1" applyFill="1" applyBorder="1" applyAlignment="1">
      <alignment horizontal="center" vertical="center"/>
    </xf>
    <xf numFmtId="9" fontId="15" fillId="15" borderId="32" xfId="0" applyNumberFormat="1" applyFont="1" applyFill="1" applyBorder="1" applyAlignment="1">
      <alignment horizontal="center" vertical="center"/>
    </xf>
    <xf numFmtId="166" fontId="15" fillId="16" borderId="32" xfId="0" applyNumberFormat="1" applyFont="1" applyFill="1" applyBorder="1" applyAlignment="1">
      <alignment horizontal="right" vertical="center"/>
    </xf>
    <xf numFmtId="168" fontId="15" fillId="0" borderId="48" xfId="0" applyNumberFormat="1" applyFont="1" applyBorder="1" applyAlignment="1">
      <alignment horizontal="right" vertical="center"/>
    </xf>
    <xf numFmtId="6" fontId="12" fillId="0" borderId="23" xfId="0" applyNumberFormat="1" applyFont="1" applyBorder="1" applyAlignment="1">
      <alignment horizontal="center" vertical="center"/>
    </xf>
    <xf numFmtId="168" fontId="12" fillId="0" borderId="26" xfId="0" applyNumberFormat="1" applyFont="1" applyBorder="1" applyAlignment="1">
      <alignment horizontal="center" vertical="center"/>
    </xf>
    <xf numFmtId="168" fontId="12" fillId="0" borderId="54" xfId="0" applyNumberFormat="1" applyFont="1" applyBorder="1" applyAlignment="1">
      <alignment horizontal="right" vertical="center"/>
    </xf>
    <xf numFmtId="9" fontId="15" fillId="6" borderId="28" xfId="0" applyNumberFormat="1" applyFont="1" applyFill="1" applyBorder="1" applyAlignment="1">
      <alignment horizontal="right" vertical="center"/>
    </xf>
    <xf numFmtId="170" fontId="25" fillId="3" borderId="0" xfId="0" applyNumberFormat="1" applyFont="1" applyFill="1"/>
    <xf numFmtId="9" fontId="15" fillId="17" borderId="28" xfId="0" applyNumberFormat="1" applyFont="1" applyFill="1" applyBorder="1" applyAlignment="1">
      <alignment horizontal="right" vertical="center"/>
    </xf>
    <xf numFmtId="166" fontId="24" fillId="0" borderId="58" xfId="0" applyNumberFormat="1" applyFont="1" applyBorder="1" applyAlignment="1">
      <alignment horizontal="right"/>
    </xf>
    <xf numFmtId="2" fontId="24" fillId="0" borderId="89" xfId="0" applyNumberFormat="1" applyFont="1" applyBorder="1" applyAlignment="1">
      <alignment horizontal="right"/>
    </xf>
    <xf numFmtId="166" fontId="24" fillId="18" borderId="90" xfId="0" applyNumberFormat="1" applyFont="1" applyFill="1" applyBorder="1" applyAlignment="1">
      <alignment horizontal="right"/>
    </xf>
    <xf numFmtId="2" fontId="24" fillId="0" borderId="91" xfId="0" applyNumberFormat="1" applyFont="1" applyBorder="1" applyAlignment="1">
      <alignment horizontal="right"/>
    </xf>
    <xf numFmtId="166" fontId="25" fillId="3" borderId="0" xfId="0" applyNumberFormat="1" applyFont="1" applyFill="1"/>
    <xf numFmtId="166" fontId="24" fillId="5" borderId="92" xfId="0" applyNumberFormat="1" applyFont="1" applyFill="1" applyBorder="1" applyAlignment="1">
      <alignment horizontal="right"/>
    </xf>
    <xf numFmtId="166" fontId="15" fillId="0" borderId="61" xfId="0" applyNumberFormat="1" applyFont="1" applyBorder="1" applyAlignment="1">
      <alignment horizontal="right" vertical="center"/>
    </xf>
    <xf numFmtId="1" fontId="15" fillId="0" borderId="61" xfId="0" applyNumberFormat="1" applyFont="1" applyBorder="1" applyAlignment="1">
      <alignment horizontal="right" vertical="center"/>
    </xf>
    <xf numFmtId="166" fontId="15" fillId="5" borderId="56" xfId="0" applyNumberFormat="1" applyFont="1" applyFill="1" applyBorder="1" applyAlignment="1">
      <alignment horizontal="right" vertical="center"/>
    </xf>
    <xf numFmtId="168" fontId="12" fillId="5" borderId="6" xfId="0" applyNumberFormat="1" applyFont="1" applyFill="1" applyBorder="1" applyAlignment="1">
      <alignment horizontal="right" vertical="center"/>
    </xf>
    <xf numFmtId="9" fontId="15" fillId="3" borderId="62" xfId="0" applyNumberFormat="1" applyFont="1" applyFill="1" applyBorder="1" applyAlignment="1">
      <alignment horizontal="center" vertical="center"/>
    </xf>
    <xf numFmtId="1" fontId="15" fillId="0" borderId="23" xfId="0" applyNumberFormat="1" applyFont="1" applyBorder="1" applyAlignment="1">
      <alignment horizontal="left" vertical="center"/>
    </xf>
    <xf numFmtId="0" fontId="15" fillId="7" borderId="34" xfId="0" applyFont="1" applyFill="1" applyBorder="1" applyAlignment="1">
      <alignment horizontal="left" vertical="center" wrapText="1"/>
    </xf>
    <xf numFmtId="9" fontId="12" fillId="0" borderId="24" xfId="0" applyNumberFormat="1" applyFont="1" applyBorder="1" applyAlignment="1">
      <alignment horizontal="left" vertical="center"/>
    </xf>
    <xf numFmtId="3" fontId="15" fillId="5" borderId="6" xfId="0" applyNumberFormat="1" applyFont="1" applyFill="1" applyBorder="1" applyAlignment="1">
      <alignment horizontal="left" vertical="center"/>
    </xf>
    <xf numFmtId="1" fontId="15" fillId="0" borderId="24" xfId="0" applyNumberFormat="1" applyFont="1" applyBorder="1" applyAlignment="1">
      <alignment horizontal="left" vertical="center"/>
    </xf>
    <xf numFmtId="9" fontId="15" fillId="0" borderId="54" xfId="0" applyNumberFormat="1" applyFont="1" applyBorder="1" applyAlignment="1">
      <alignment horizontal="left" vertical="center"/>
    </xf>
    <xf numFmtId="1" fontId="17" fillId="0" borderId="0" xfId="0" applyNumberFormat="1" applyFont="1"/>
    <xf numFmtId="0" fontId="15" fillId="7" borderId="49" xfId="0" applyFont="1" applyFill="1" applyBorder="1" applyAlignment="1">
      <alignment horizontal="right" vertical="center" wrapText="1"/>
    </xf>
    <xf numFmtId="0" fontId="22" fillId="21" borderId="0" xfId="0" applyFont="1" applyFill="1" applyAlignment="1">
      <alignment horizontal="center" vertical="center"/>
    </xf>
    <xf numFmtId="9" fontId="15" fillId="0" borderId="31" xfId="0" applyNumberFormat="1" applyFont="1" applyBorder="1" applyAlignment="1">
      <alignment horizontal="left" vertical="center"/>
    </xf>
    <xf numFmtId="3" fontId="12" fillId="0" borderId="32" xfId="0" applyNumberFormat="1" applyFont="1" applyBorder="1" applyAlignment="1">
      <alignment horizontal="center" vertical="center"/>
    </xf>
    <xf numFmtId="3" fontId="15" fillId="0" borderId="23" xfId="0" applyNumberFormat="1" applyFont="1" applyBorder="1" applyAlignment="1">
      <alignment horizontal="left" vertical="center"/>
    </xf>
    <xf numFmtId="0" fontId="15" fillId="3" borderId="24" xfId="0" applyFont="1" applyFill="1" applyBorder="1" applyAlignment="1">
      <alignment horizontal="left" vertical="center" wrapText="1"/>
    </xf>
    <xf numFmtId="3" fontId="15" fillId="0" borderId="25" xfId="0" applyNumberFormat="1" applyFont="1" applyBorder="1" applyAlignment="1">
      <alignment horizontal="left" vertical="center"/>
    </xf>
    <xf numFmtId="9" fontId="12" fillId="0" borderId="48" xfId="0" applyNumberFormat="1" applyFont="1" applyBorder="1" applyAlignment="1">
      <alignment horizontal="center" vertical="center"/>
    </xf>
    <xf numFmtId="9" fontId="15" fillId="0" borderId="63" xfId="0" applyNumberFormat="1" applyFont="1" applyBorder="1" applyAlignment="1">
      <alignment horizontal="left" vertical="center"/>
    </xf>
    <xf numFmtId="0" fontId="15" fillId="3" borderId="44" xfId="0" applyFont="1" applyFill="1" applyBorder="1" applyAlignment="1">
      <alignment horizontal="right" vertical="center"/>
    </xf>
    <xf numFmtId="0" fontId="15" fillId="7" borderId="23" xfId="0" applyFont="1" applyFill="1" applyBorder="1" applyAlignment="1">
      <alignment horizontal="center" vertical="center"/>
    </xf>
    <xf numFmtId="3" fontId="15" fillId="0" borderId="31" xfId="0" applyNumberFormat="1" applyFont="1" applyBorder="1" applyAlignment="1">
      <alignment horizontal="right" vertical="center"/>
    </xf>
    <xf numFmtId="4" fontId="12" fillId="0" borderId="25" xfId="0" applyNumberFormat="1" applyFont="1" applyBorder="1" applyAlignment="1">
      <alignment horizontal="left" vertical="center"/>
    </xf>
    <xf numFmtId="4" fontId="12" fillId="0" borderId="0" xfId="0" applyNumberFormat="1" applyFont="1" applyAlignment="1">
      <alignment horizontal="right" vertical="center"/>
    </xf>
    <xf numFmtId="0" fontId="12" fillId="7" borderId="40" xfId="0" applyFont="1" applyFill="1" applyBorder="1" applyAlignment="1">
      <alignment horizontal="right" vertical="center" wrapText="1"/>
    </xf>
    <xf numFmtId="0" fontId="15" fillId="3" borderId="7" xfId="0" applyFont="1" applyFill="1" applyBorder="1" applyAlignment="1">
      <alignment horizontal="center" vertical="center"/>
    </xf>
    <xf numFmtId="4" fontId="15" fillId="0" borderId="53" xfId="0" applyNumberFormat="1" applyFont="1" applyBorder="1" applyAlignment="1">
      <alignment horizontal="right" vertical="center"/>
    </xf>
    <xf numFmtId="168" fontId="12" fillId="0" borderId="25" xfId="0" applyNumberFormat="1" applyFont="1" applyBorder="1" applyAlignment="1">
      <alignment horizontal="right" vertical="center"/>
    </xf>
    <xf numFmtId="0" fontId="15" fillId="0" borderId="36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168" fontId="15" fillId="0" borderId="36" xfId="0" applyNumberFormat="1" applyFont="1" applyBorder="1" applyAlignment="1">
      <alignment horizontal="center" vertical="center"/>
    </xf>
    <xf numFmtId="168" fontId="22" fillId="0" borderId="36" xfId="0" applyNumberFormat="1" applyFont="1" applyBorder="1" applyAlignment="1">
      <alignment horizontal="center" vertical="center"/>
    </xf>
    <xf numFmtId="168" fontId="15" fillId="0" borderId="53" xfId="0" applyNumberFormat="1" applyFont="1" applyBorder="1" applyAlignment="1">
      <alignment horizontal="right" vertical="center"/>
    </xf>
    <xf numFmtId="168" fontId="21" fillId="0" borderId="25" xfId="0" applyNumberFormat="1" applyFont="1" applyBorder="1" applyAlignment="1">
      <alignment horizontal="right" vertical="center"/>
    </xf>
    <xf numFmtId="168" fontId="15" fillId="0" borderId="25" xfId="0" applyNumberFormat="1" applyFont="1" applyBorder="1" applyAlignment="1">
      <alignment horizontal="center" vertical="center"/>
    </xf>
    <xf numFmtId="168" fontId="12" fillId="5" borderId="0" xfId="0" applyNumberFormat="1" applyFont="1" applyFill="1" applyAlignment="1">
      <alignment horizontal="right" vertical="center"/>
    </xf>
    <xf numFmtId="168" fontId="15" fillId="0" borderId="23" xfId="0" applyNumberFormat="1" applyFont="1" applyBorder="1" applyAlignment="1">
      <alignment horizontal="right" vertical="center"/>
    </xf>
    <xf numFmtId="168" fontId="15" fillId="0" borderId="0" xfId="0" applyNumberFormat="1" applyFont="1" applyAlignment="1">
      <alignment horizontal="right" vertical="center"/>
    </xf>
    <xf numFmtId="0" fontId="12" fillId="7" borderId="42" xfId="0" applyFont="1" applyFill="1" applyBorder="1" applyAlignment="1">
      <alignment horizontal="right" vertical="center" wrapText="1"/>
    </xf>
    <xf numFmtId="9" fontId="15" fillId="0" borderId="43" xfId="0" applyNumberFormat="1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9" fontId="15" fillId="0" borderId="44" xfId="0" applyNumberFormat="1" applyFont="1" applyBorder="1" applyAlignment="1">
      <alignment horizontal="center" vertical="center"/>
    </xf>
    <xf numFmtId="9" fontId="12" fillId="0" borderId="44" xfId="0" applyNumberFormat="1" applyFont="1" applyBorder="1" applyAlignment="1">
      <alignment horizontal="right" vertical="center"/>
    </xf>
    <xf numFmtId="168" fontId="12" fillId="0" borderId="44" xfId="0" applyNumberFormat="1" applyFont="1" applyBorder="1" applyAlignment="1">
      <alignment horizontal="right" vertical="center"/>
    </xf>
    <xf numFmtId="168" fontId="15" fillId="6" borderId="45" xfId="0" applyNumberFormat="1" applyFont="1" applyFill="1" applyBorder="1" applyAlignment="1">
      <alignment horizontal="center" vertical="center"/>
    </xf>
    <xf numFmtId="9" fontId="15" fillId="17" borderId="48" xfId="0" applyNumberFormat="1" applyFont="1" applyFill="1" applyBorder="1" applyAlignment="1">
      <alignment horizontal="right" vertical="center"/>
    </xf>
    <xf numFmtId="0" fontId="12" fillId="5" borderId="0" xfId="0" applyFont="1" applyFill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5" fillId="7" borderId="19" xfId="0" applyFont="1" applyFill="1" applyBorder="1" applyAlignment="1">
      <alignment horizontal="center" vertical="center"/>
    </xf>
    <xf numFmtId="0" fontId="8" fillId="23" borderId="9" xfId="0" applyFont="1" applyFill="1" applyBorder="1" applyAlignment="1">
      <alignment horizontal="center" vertical="center"/>
    </xf>
    <xf numFmtId="0" fontId="7" fillId="0" borderId="41" xfId="0" applyFont="1" applyBorder="1"/>
    <xf numFmtId="164" fontId="17" fillId="0" borderId="0" xfId="0" applyNumberFormat="1" applyFont="1"/>
    <xf numFmtId="165" fontId="15" fillId="0" borderId="41" xfId="0" applyNumberFormat="1" applyFont="1" applyBorder="1" applyAlignment="1">
      <alignment horizontal="right" vertical="center"/>
    </xf>
    <xf numFmtId="3" fontId="12" fillId="5" borderId="6" xfId="0" applyNumberFormat="1" applyFont="1" applyFill="1" applyBorder="1" applyAlignment="1">
      <alignment vertical="center"/>
    </xf>
    <xf numFmtId="0" fontId="14" fillId="14" borderId="6" xfId="0" applyFont="1" applyFill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164" fontId="15" fillId="0" borderId="41" xfId="0" applyNumberFormat="1" applyFont="1" applyBorder="1" applyAlignment="1">
      <alignment horizontal="right" vertical="center"/>
    </xf>
    <xf numFmtId="3" fontId="30" fillId="3" borderId="0" xfId="0" applyNumberFormat="1" applyFont="1" applyFill="1"/>
    <xf numFmtId="0" fontId="12" fillId="3" borderId="41" xfId="0" applyFont="1" applyFill="1" applyBorder="1" applyAlignment="1">
      <alignment vertical="center"/>
    </xf>
    <xf numFmtId="1" fontId="12" fillId="13" borderId="35" xfId="0" applyNumberFormat="1" applyFont="1" applyFill="1" applyBorder="1" applyAlignment="1">
      <alignment horizontal="center" vertical="center"/>
    </xf>
    <xf numFmtId="9" fontId="15" fillId="14" borderId="41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horizontal="left" vertical="center"/>
    </xf>
    <xf numFmtId="1" fontId="15" fillId="13" borderId="16" xfId="0" applyNumberFormat="1" applyFont="1" applyFill="1" applyBorder="1" applyAlignment="1">
      <alignment horizontal="center" vertical="center"/>
    </xf>
    <xf numFmtId="1" fontId="15" fillId="13" borderId="6" xfId="0" applyNumberFormat="1" applyFont="1" applyFill="1" applyBorder="1" applyAlignment="1">
      <alignment horizontal="center" vertical="center"/>
    </xf>
    <xf numFmtId="1" fontId="15" fillId="0" borderId="41" xfId="0" applyNumberFormat="1" applyFont="1" applyBorder="1" applyAlignment="1">
      <alignment horizontal="right" vertical="center"/>
    </xf>
    <xf numFmtId="0" fontId="12" fillId="13" borderId="43" xfId="0" applyFont="1" applyFill="1" applyBorder="1" applyAlignment="1">
      <alignment horizontal="center" vertical="center"/>
    </xf>
    <xf numFmtId="0" fontId="12" fillId="13" borderId="44" xfId="0" applyFont="1" applyFill="1" applyBorder="1" applyAlignment="1">
      <alignment horizontal="center" vertical="center"/>
    </xf>
    <xf numFmtId="0" fontId="13" fillId="13" borderId="44" xfId="0" applyFont="1" applyFill="1" applyBorder="1" applyAlignment="1">
      <alignment horizontal="center" vertical="center"/>
    </xf>
    <xf numFmtId="0" fontId="7" fillId="0" borderId="32" xfId="0" applyFont="1" applyBorder="1"/>
    <xf numFmtId="166" fontId="12" fillId="5" borderId="44" xfId="0" applyNumberFormat="1" applyFont="1" applyFill="1" applyBorder="1" applyAlignment="1">
      <alignment horizontal="center" vertical="center"/>
    </xf>
    <xf numFmtId="1" fontId="12" fillId="0" borderId="56" xfId="0" applyNumberFormat="1" applyFont="1" applyBorder="1" applyAlignment="1">
      <alignment horizontal="left" vertical="center"/>
    </xf>
    <xf numFmtId="1" fontId="12" fillId="0" borderId="32" xfId="0" applyNumberFormat="1" applyFont="1" applyBorder="1" applyAlignment="1">
      <alignment horizontal="left" vertical="center"/>
    </xf>
    <xf numFmtId="1" fontId="12" fillId="0" borderId="48" xfId="0" applyNumberFormat="1" applyFont="1" applyBorder="1" applyAlignment="1">
      <alignment horizontal="left" vertical="center"/>
    </xf>
    <xf numFmtId="1" fontId="12" fillId="0" borderId="54" xfId="0" applyNumberFormat="1" applyFont="1" applyBorder="1" applyAlignment="1">
      <alignment horizontal="left" vertical="center"/>
    </xf>
    <xf numFmtId="1" fontId="12" fillId="3" borderId="36" xfId="0" applyNumberFormat="1" applyFont="1" applyFill="1" applyBorder="1" applyAlignment="1">
      <alignment horizontal="left" vertical="center"/>
    </xf>
    <xf numFmtId="3" fontId="12" fillId="13" borderId="0" xfId="0" applyNumberFormat="1" applyFont="1" applyFill="1" applyAlignment="1">
      <alignment horizontal="center" vertical="center"/>
    </xf>
    <xf numFmtId="1" fontId="15" fillId="13" borderId="0" xfId="0" applyNumberFormat="1" applyFont="1" applyFill="1" applyAlignment="1">
      <alignment horizontal="center" vertical="center"/>
    </xf>
    <xf numFmtId="1" fontId="15" fillId="5" borderId="0" xfId="0" applyNumberFormat="1" applyFont="1" applyFill="1" applyAlignment="1">
      <alignment horizontal="center" vertical="center"/>
    </xf>
    <xf numFmtId="1" fontId="15" fillId="0" borderId="48" xfId="0" applyNumberFormat="1" applyFont="1" applyBorder="1" applyAlignment="1">
      <alignment horizontal="right" vertical="center"/>
    </xf>
    <xf numFmtId="170" fontId="12" fillId="0" borderId="23" xfId="0" applyNumberFormat="1" applyFont="1" applyBorder="1" applyAlignment="1">
      <alignment horizontal="left" vertical="center"/>
    </xf>
    <xf numFmtId="170" fontId="12" fillId="0" borderId="41" xfId="0" applyNumberFormat="1" applyFont="1" applyBorder="1" applyAlignment="1">
      <alignment horizontal="left" vertical="center"/>
    </xf>
    <xf numFmtId="168" fontId="12" fillId="5" borderId="6" xfId="0" applyNumberFormat="1" applyFont="1" applyFill="1" applyBorder="1" applyAlignment="1">
      <alignment horizontal="left" vertical="center"/>
    </xf>
    <xf numFmtId="9" fontId="12" fillId="0" borderId="26" xfId="0" applyNumberFormat="1" applyFont="1" applyBorder="1" applyAlignment="1">
      <alignment horizontal="center" vertical="center"/>
    </xf>
    <xf numFmtId="170" fontId="12" fillId="0" borderId="53" xfId="0" applyNumberFormat="1" applyFont="1" applyBorder="1" applyAlignment="1">
      <alignment horizontal="left" vertical="center"/>
    </xf>
    <xf numFmtId="170" fontId="12" fillId="0" borderId="54" xfId="0" applyNumberFormat="1" applyFont="1" applyBorder="1" applyAlignment="1">
      <alignment horizontal="left" vertical="center"/>
    </xf>
    <xf numFmtId="3" fontId="15" fillId="0" borderId="0" xfId="0" applyNumberFormat="1" applyFont="1" applyAlignment="1">
      <alignment horizontal="left" vertical="center"/>
    </xf>
    <xf numFmtId="3" fontId="31" fillId="0" borderId="0" xfId="0" applyNumberFormat="1" applyFont="1" applyAlignment="1">
      <alignment horizontal="right"/>
    </xf>
    <xf numFmtId="170" fontId="15" fillId="0" borderId="41" xfId="0" applyNumberFormat="1" applyFont="1" applyBorder="1" applyAlignment="1">
      <alignment horizontal="left" vertical="center"/>
    </xf>
    <xf numFmtId="9" fontId="12" fillId="5" borderId="6" xfId="0" applyNumberFormat="1" applyFont="1" applyFill="1" applyBorder="1" applyAlignment="1">
      <alignment horizontal="right" vertical="center"/>
    </xf>
    <xf numFmtId="0" fontId="14" fillId="0" borderId="0" xfId="0" applyFont="1"/>
    <xf numFmtId="170" fontId="6" fillId="0" borderId="0" xfId="0" applyNumberFormat="1" applyFont="1" applyAlignment="1">
      <alignment horizontal="left"/>
    </xf>
    <xf numFmtId="9" fontId="15" fillId="5" borderId="6" xfId="0" applyNumberFormat="1" applyFont="1" applyFill="1" applyBorder="1" applyAlignment="1">
      <alignment horizontal="left" vertical="top"/>
    </xf>
    <xf numFmtId="166" fontId="24" fillId="5" borderId="74" xfId="0" applyNumberFormat="1" applyFont="1" applyFill="1" applyBorder="1" applyAlignment="1">
      <alignment horizontal="right"/>
    </xf>
    <xf numFmtId="166" fontId="24" fillId="5" borderId="75" xfId="0" applyNumberFormat="1" applyFont="1" applyFill="1" applyBorder="1" applyAlignment="1">
      <alignment horizontal="right"/>
    </xf>
    <xf numFmtId="166" fontId="24" fillId="5" borderId="0" xfId="0" applyNumberFormat="1" applyFont="1" applyFill="1" applyAlignment="1">
      <alignment horizontal="right"/>
    </xf>
    <xf numFmtId="170" fontId="15" fillId="5" borderId="43" xfId="0" applyNumberFormat="1" applyFont="1" applyFill="1" applyBorder="1" applyAlignment="1">
      <alignment horizontal="right" vertical="center"/>
    </xf>
    <xf numFmtId="4" fontId="15" fillId="5" borderId="44" xfId="0" applyNumberFormat="1" applyFont="1" applyFill="1" applyBorder="1" applyAlignment="1">
      <alignment horizontal="right" vertical="center"/>
    </xf>
    <xf numFmtId="170" fontId="15" fillId="5" borderId="45" xfId="0" applyNumberFormat="1" applyFont="1" applyFill="1" applyBorder="1" applyAlignment="1">
      <alignment horizontal="left" vertical="center"/>
    </xf>
    <xf numFmtId="0" fontId="15" fillId="0" borderId="53" xfId="0" applyFont="1" applyBorder="1" applyAlignment="1">
      <alignment horizontal="left" vertical="center"/>
    </xf>
    <xf numFmtId="0" fontId="15" fillId="0" borderId="53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15" fillId="5" borderId="25" xfId="0" applyFont="1" applyFill="1" applyBorder="1" applyAlignment="1">
      <alignment horizontal="center" vertical="center"/>
    </xf>
    <xf numFmtId="0" fontId="15" fillId="0" borderId="54" xfId="0" applyFont="1" applyBorder="1" applyAlignment="1">
      <alignment horizontal="left" vertical="center"/>
    </xf>
    <xf numFmtId="1" fontId="15" fillId="0" borderId="53" xfId="0" applyNumberFormat="1" applyFont="1" applyBorder="1" applyAlignment="1">
      <alignment horizontal="left" vertical="center"/>
    </xf>
    <xf numFmtId="0" fontId="15" fillId="24" borderId="49" xfId="0" applyFont="1" applyFill="1" applyBorder="1" applyAlignment="1">
      <alignment horizontal="right" vertical="center" wrapText="1"/>
    </xf>
    <xf numFmtId="0" fontId="15" fillId="0" borderId="41" xfId="0" applyFont="1" applyBorder="1" applyAlignment="1">
      <alignment horizontal="left" vertical="center"/>
    </xf>
    <xf numFmtId="1" fontId="15" fillId="5" borderId="6" xfId="0" applyNumberFormat="1" applyFont="1" applyFill="1" applyBorder="1" applyAlignment="1">
      <alignment horizontal="right" vertical="center"/>
    </xf>
    <xf numFmtId="0" fontId="15" fillId="8" borderId="24" xfId="0" applyFont="1" applyFill="1" applyBorder="1" applyAlignment="1">
      <alignment horizontal="left" vertical="center" wrapText="1"/>
    </xf>
    <xf numFmtId="9" fontId="12" fillId="0" borderId="28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27" xfId="0" applyFont="1" applyBorder="1" applyAlignment="1">
      <alignment horizontal="center" vertical="center"/>
    </xf>
    <xf numFmtId="0" fontId="15" fillId="0" borderId="28" xfId="0" applyFont="1" applyBorder="1" applyAlignment="1">
      <alignment horizontal="left" vertical="center"/>
    </xf>
    <xf numFmtId="9" fontId="15" fillId="25" borderId="51" xfId="0" applyNumberFormat="1" applyFont="1" applyFill="1" applyBorder="1" applyAlignment="1">
      <alignment horizontal="left" vertical="center"/>
    </xf>
    <xf numFmtId="0" fontId="15" fillId="13" borderId="52" xfId="0" applyFont="1" applyFill="1" applyBorder="1" applyAlignment="1">
      <alignment horizontal="left" vertical="center"/>
    </xf>
    <xf numFmtId="9" fontId="15" fillId="13" borderId="62" xfId="0" applyNumberFormat="1" applyFont="1" applyFill="1" applyBorder="1" applyAlignment="1">
      <alignment horizontal="center" vertical="center"/>
    </xf>
    <xf numFmtId="0" fontId="15" fillId="0" borderId="62" xfId="0" applyFont="1" applyBorder="1" applyAlignment="1">
      <alignment horizontal="left" vertical="center"/>
    </xf>
    <xf numFmtId="9" fontId="15" fillId="5" borderId="33" xfId="0" applyNumberFormat="1" applyFont="1" applyFill="1" applyBorder="1" applyAlignment="1">
      <alignment horizontal="center" vertical="center"/>
    </xf>
    <xf numFmtId="0" fontId="15" fillId="15" borderId="23" xfId="0" applyFont="1" applyFill="1" applyBorder="1" applyAlignment="1">
      <alignment vertical="center"/>
    </xf>
    <xf numFmtId="0" fontId="15" fillId="15" borderId="0" xfId="0" applyFont="1" applyFill="1" applyAlignment="1">
      <alignment vertical="center"/>
    </xf>
    <xf numFmtId="0" fontId="15" fillId="15" borderId="41" xfId="0" applyFont="1" applyFill="1" applyBorder="1" applyAlignment="1">
      <alignment vertical="center"/>
    </xf>
    <xf numFmtId="0" fontId="15" fillId="3" borderId="23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2" fillId="0" borderId="41" xfId="0" applyFont="1" applyBorder="1" applyAlignment="1">
      <alignment horizontal="left" vertical="center"/>
    </xf>
    <xf numFmtId="4" fontId="12" fillId="0" borderId="23" xfId="0" applyNumberFormat="1" applyFont="1" applyBorder="1" applyAlignment="1">
      <alignment horizontal="left" vertical="center"/>
    </xf>
    <xf numFmtId="0" fontId="15" fillId="0" borderId="41" xfId="0" applyFont="1" applyBorder="1" applyAlignment="1">
      <alignment horizontal="right" vertical="center"/>
    </xf>
    <xf numFmtId="4" fontId="15" fillId="0" borderId="23" xfId="0" applyNumberFormat="1" applyFont="1" applyBorder="1" applyAlignment="1">
      <alignment horizontal="right" vertical="center"/>
    </xf>
    <xf numFmtId="9" fontId="15" fillId="17" borderId="41" xfId="0" applyNumberFormat="1" applyFont="1" applyFill="1" applyBorder="1" applyAlignment="1">
      <alignment horizontal="right" vertical="center"/>
    </xf>
    <xf numFmtId="0" fontId="15" fillId="0" borderId="48" xfId="0" applyFont="1" applyBorder="1" applyAlignment="1">
      <alignment horizontal="right" vertical="center"/>
    </xf>
    <xf numFmtId="4" fontId="15" fillId="0" borderId="56" xfId="0" applyNumberFormat="1" applyFont="1" applyBorder="1" applyAlignment="1">
      <alignment horizontal="right" vertical="center"/>
    </xf>
    <xf numFmtId="0" fontId="12" fillId="13" borderId="30" xfId="0" applyFont="1" applyFill="1" applyBorder="1" applyAlignment="1">
      <alignment horizontal="left" vertical="center"/>
    </xf>
    <xf numFmtId="0" fontId="12" fillId="13" borderId="7" xfId="0" applyFont="1" applyFill="1" applyBorder="1" applyAlignment="1">
      <alignment horizontal="left" vertical="center"/>
    </xf>
    <xf numFmtId="0" fontId="12" fillId="0" borderId="54" xfId="0" applyFont="1" applyBorder="1" applyAlignment="1">
      <alignment horizontal="left" vertical="center"/>
    </xf>
    <xf numFmtId="9" fontId="15" fillId="3" borderId="53" xfId="0" applyNumberFormat="1" applyFont="1" applyFill="1" applyBorder="1" applyAlignment="1">
      <alignment horizontal="left" vertical="center"/>
    </xf>
    <xf numFmtId="9" fontId="15" fillId="3" borderId="70" xfId="0" applyNumberFormat="1" applyFont="1" applyFill="1" applyBorder="1" applyAlignment="1">
      <alignment horizontal="center" vertical="center"/>
    </xf>
    <xf numFmtId="1" fontId="15" fillId="0" borderId="63" xfId="0" applyNumberFormat="1" applyFont="1" applyBorder="1" applyAlignment="1">
      <alignment horizontal="left" vertical="center"/>
    </xf>
    <xf numFmtId="9" fontId="15" fillId="0" borderId="41" xfId="0" applyNumberFormat="1" applyFont="1" applyBorder="1" applyAlignment="1">
      <alignment vertical="center"/>
    </xf>
    <xf numFmtId="1" fontId="15" fillId="0" borderId="41" xfId="0" applyNumberFormat="1" applyFont="1" applyBorder="1" applyAlignment="1">
      <alignment vertical="center"/>
    </xf>
    <xf numFmtId="1" fontId="15" fillId="0" borderId="48" xfId="0" applyNumberFormat="1" applyFont="1" applyBorder="1" applyAlignment="1">
      <alignment vertical="center"/>
    </xf>
    <xf numFmtId="0" fontId="15" fillId="4" borderId="34" xfId="0" applyFont="1" applyFill="1" applyBorder="1" applyAlignment="1">
      <alignment horizontal="left" vertical="center" wrapText="1"/>
    </xf>
    <xf numFmtId="9" fontId="12" fillId="13" borderId="36" xfId="0" applyNumberFormat="1" applyFont="1" applyFill="1" applyBorder="1" applyAlignment="1">
      <alignment horizontal="center" vertical="center"/>
    </xf>
    <xf numFmtId="0" fontId="15" fillId="0" borderId="54" xfId="0" applyFont="1" applyBorder="1" applyAlignment="1">
      <alignment horizontal="right" vertical="center"/>
    </xf>
    <xf numFmtId="168" fontId="15" fillId="0" borderId="25" xfId="0" applyNumberFormat="1" applyFont="1" applyBorder="1" applyAlignment="1">
      <alignment horizontal="right" vertical="center"/>
    </xf>
    <xf numFmtId="0" fontId="15" fillId="21" borderId="0" xfId="0" applyFont="1" applyFill="1" applyAlignment="1">
      <alignment horizontal="right" vertical="center"/>
    </xf>
    <xf numFmtId="3" fontId="15" fillId="6" borderId="35" xfId="0" applyNumberFormat="1" applyFont="1" applyFill="1" applyBorder="1" applyAlignment="1">
      <alignment horizontal="right" vertical="center"/>
    </xf>
    <xf numFmtId="0" fontId="34" fillId="26" borderId="93" xfId="0" applyFont="1" applyFill="1" applyBorder="1" applyAlignment="1">
      <alignment horizontal="center"/>
    </xf>
    <xf numFmtId="0" fontId="35" fillId="0" borderId="0" xfId="0" applyFont="1"/>
    <xf numFmtId="0" fontId="1" fillId="0" borderId="87" xfId="1"/>
    <xf numFmtId="0" fontId="1" fillId="26" borderId="87" xfId="1" applyFill="1"/>
    <xf numFmtId="0" fontId="34" fillId="26" borderId="93" xfId="1" applyFont="1" applyFill="1" applyBorder="1" applyAlignment="1">
      <alignment horizontal="left" vertical="center"/>
    </xf>
    <xf numFmtId="0" fontId="34" fillId="28" borderId="93" xfId="1" applyFont="1" applyFill="1" applyBorder="1" applyAlignment="1">
      <alignment horizontal="left" vertical="center"/>
    </xf>
    <xf numFmtId="0" fontId="35" fillId="0" borderId="0" xfId="0" applyFont="1" applyAlignment="1">
      <alignment horizontal="center"/>
    </xf>
    <xf numFmtId="3" fontId="35" fillId="0" borderId="0" xfId="0" applyNumberFormat="1" applyFont="1" applyAlignment="1">
      <alignment horizontal="center"/>
    </xf>
    <xf numFmtId="0" fontId="35" fillId="29" borderId="0" xfId="0" applyFont="1" applyFill="1"/>
    <xf numFmtId="14" fontId="35" fillId="0" borderId="0" xfId="0" applyNumberFormat="1" applyFont="1" applyAlignment="1">
      <alignment horizontal="center"/>
    </xf>
    <xf numFmtId="0" fontId="39" fillId="0" borderId="87" xfId="2" applyFont="1"/>
    <xf numFmtId="9" fontId="38" fillId="0" borderId="87" xfId="3" applyFont="1"/>
    <xf numFmtId="3" fontId="35" fillId="0" borderId="0" xfId="0" applyNumberFormat="1" applyFont="1" applyAlignment="1">
      <alignment horizontal="left"/>
    </xf>
    <xf numFmtId="0" fontId="35" fillId="0" borderId="0" xfId="0" applyFont="1" applyAlignment="1">
      <alignment horizontal="left"/>
    </xf>
    <xf numFmtId="0" fontId="37" fillId="26" borderId="95" xfId="1" applyFont="1" applyFill="1" applyBorder="1" applyAlignment="1">
      <alignment horizontal="left" vertical="center"/>
    </xf>
    <xf numFmtId="0" fontId="37" fillId="26" borderId="96" xfId="1" applyFont="1" applyFill="1" applyBorder="1" applyAlignment="1">
      <alignment horizontal="left" vertical="center"/>
    </xf>
    <xf numFmtId="0" fontId="37" fillId="26" borderId="97" xfId="1" applyFont="1" applyFill="1" applyBorder="1" applyAlignment="1">
      <alignment horizontal="left" vertical="center"/>
    </xf>
    <xf numFmtId="0" fontId="36" fillId="27" borderId="94" xfId="1" applyFont="1" applyFill="1" applyBorder="1" applyAlignment="1">
      <alignment horizontal="center" vertical="center" wrapText="1"/>
    </xf>
    <xf numFmtId="0" fontId="36" fillId="27" borderId="87" xfId="1" applyFont="1" applyFill="1" applyAlignment="1">
      <alignment horizontal="center" vertical="center" wrapText="1"/>
    </xf>
    <xf numFmtId="0" fontId="37" fillId="28" borderId="95" xfId="1" applyFont="1" applyFill="1" applyBorder="1" applyAlignment="1">
      <alignment horizontal="left" vertical="center"/>
    </xf>
    <xf numFmtId="0" fontId="37" fillId="28" borderId="96" xfId="1" applyFont="1" applyFill="1" applyBorder="1" applyAlignment="1">
      <alignment horizontal="left" vertical="center"/>
    </xf>
    <xf numFmtId="0" fontId="37" fillId="28" borderId="97" xfId="1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7" fillId="3" borderId="60" xfId="0" applyFont="1" applyFill="1" applyBorder="1" applyAlignment="1">
      <alignment horizontal="left" vertical="center"/>
    </xf>
    <xf numFmtId="0" fontId="3" fillId="0" borderId="61" xfId="0" applyFont="1" applyBorder="1"/>
    <xf numFmtId="0" fontId="3" fillId="0" borderId="71" xfId="0" applyFont="1" applyBorder="1"/>
    <xf numFmtId="0" fontId="12" fillId="0" borderId="0" xfId="0" applyFont="1" applyAlignment="1">
      <alignment horizontal="center" vertical="center"/>
    </xf>
    <xf numFmtId="0" fontId="15" fillId="0" borderId="60" xfId="0" applyFont="1" applyBorder="1" applyAlignment="1">
      <alignment horizontal="left" vertical="center"/>
    </xf>
    <xf numFmtId="0" fontId="27" fillId="3" borderId="60" xfId="0" applyFont="1" applyFill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2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14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2" fillId="2" borderId="2" xfId="0" applyFont="1" applyFill="1" applyBorder="1" applyAlignment="1">
      <alignment horizontal="center" vertical="center"/>
    </xf>
    <xf numFmtId="0" fontId="29" fillId="2" borderId="1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A8CB1FDF-99B2-46A6-969F-0F27687A3464}"/>
    <cellStyle name="Normal 3" xfId="2" xr:uid="{C1206C85-337B-41C2-BA14-96AB01A7D40D}"/>
    <cellStyle name="Porcentaje 2" xfId="3" xr:uid="{AF4C68F6-6463-4127-844B-A0910210694C}"/>
  </cellStyles>
  <dxfs count="4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15350</xdr:colOff>
      <xdr:row>1</xdr:row>
      <xdr:rowOff>7942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F0BB0A6-6EA6-4F76-A354-77D24132C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44260" cy="1129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236DB-F039-4729-BE5C-184CECD3444A}">
  <dimension ref="A1:M17"/>
  <sheetViews>
    <sheetView zoomScale="130" zoomScaleNormal="130" workbookViewId="0">
      <selection activeCell="F19" sqref="F19"/>
    </sheetView>
  </sheetViews>
  <sheetFormatPr baseColWidth="10" defaultColWidth="11.453125" defaultRowHeight="14.5"/>
  <cols>
    <col min="1" max="12" width="11.453125" style="1044"/>
    <col min="13" max="13" width="12.08984375" style="1044" customWidth="1"/>
    <col min="14" max="16384" width="11.453125" style="1044"/>
  </cols>
  <sheetData>
    <row r="1" spans="1:13" ht="88.5" customHeight="1">
      <c r="A1" s="1043"/>
      <c r="B1" s="1043"/>
      <c r="C1" s="1043"/>
      <c r="D1" s="1043"/>
      <c r="E1" s="1043"/>
      <c r="F1" s="1043"/>
      <c r="G1" s="1043"/>
      <c r="H1" s="1043"/>
      <c r="I1" s="1043"/>
      <c r="J1" s="1043"/>
      <c r="K1" s="1043"/>
      <c r="L1" s="1043"/>
      <c r="M1" s="1043"/>
    </row>
    <row r="2" spans="1:13" ht="15" customHeight="1">
      <c r="A2" s="1058" t="s">
        <v>316</v>
      </c>
      <c r="B2" s="1059"/>
      <c r="C2" s="1059"/>
      <c r="D2" s="1059"/>
      <c r="E2" s="1059"/>
      <c r="F2" s="1059"/>
      <c r="G2" s="1059"/>
      <c r="H2" s="1059"/>
      <c r="I2" s="1059"/>
      <c r="J2" s="1059"/>
      <c r="K2" s="1059"/>
      <c r="L2" s="1059"/>
      <c r="M2" s="1059"/>
    </row>
    <row r="3" spans="1:13" ht="15" customHeight="1">
      <c r="A3" s="1058"/>
      <c r="B3" s="1059"/>
      <c r="C3" s="1059"/>
      <c r="D3" s="1059"/>
      <c r="E3" s="1059"/>
      <c r="F3" s="1059"/>
      <c r="G3" s="1059"/>
      <c r="H3" s="1059"/>
      <c r="I3" s="1059"/>
      <c r="J3" s="1059"/>
      <c r="K3" s="1059"/>
      <c r="L3" s="1059"/>
      <c r="M3" s="1059"/>
    </row>
    <row r="4" spans="1:13" ht="15" customHeight="1">
      <c r="A4" s="1058"/>
      <c r="B4" s="1059"/>
      <c r="C4" s="1059"/>
      <c r="D4" s="1059"/>
      <c r="E4" s="1059"/>
      <c r="F4" s="1059"/>
      <c r="G4" s="1059"/>
      <c r="H4" s="1059"/>
      <c r="I4" s="1059"/>
      <c r="J4" s="1059"/>
      <c r="K4" s="1059"/>
      <c r="L4" s="1059"/>
      <c r="M4" s="1059"/>
    </row>
    <row r="5" spans="1:13">
      <c r="A5" s="1045" t="s">
        <v>224</v>
      </c>
      <c r="B5" s="1055" t="s">
        <v>317</v>
      </c>
      <c r="C5" s="1056"/>
      <c r="D5" s="1056"/>
      <c r="E5" s="1056"/>
      <c r="F5" s="1056"/>
      <c r="G5" s="1056"/>
      <c r="H5" s="1056"/>
      <c r="I5" s="1056"/>
      <c r="J5" s="1056"/>
      <c r="K5" s="1056"/>
      <c r="L5" s="1056"/>
      <c r="M5" s="1057"/>
    </row>
    <row r="6" spans="1:13">
      <c r="A6" s="1046" t="s">
        <v>225</v>
      </c>
      <c r="B6" s="1060" t="s">
        <v>318</v>
      </c>
      <c r="C6" s="1061"/>
      <c r="D6" s="1061"/>
      <c r="E6" s="1061"/>
      <c r="F6" s="1061"/>
      <c r="G6" s="1061"/>
      <c r="H6" s="1061"/>
      <c r="I6" s="1061"/>
      <c r="J6" s="1061"/>
      <c r="K6" s="1061"/>
      <c r="L6" s="1061"/>
      <c r="M6" s="1062"/>
    </row>
    <row r="7" spans="1:13">
      <c r="A7" s="1045" t="s">
        <v>226</v>
      </c>
      <c r="B7" s="1055" t="s">
        <v>319</v>
      </c>
      <c r="C7" s="1056"/>
      <c r="D7" s="1056"/>
      <c r="E7" s="1056"/>
      <c r="F7" s="1056"/>
      <c r="G7" s="1056"/>
      <c r="H7" s="1056"/>
      <c r="I7" s="1056"/>
      <c r="J7" s="1056"/>
      <c r="K7" s="1056"/>
      <c r="L7" s="1056"/>
      <c r="M7" s="1057"/>
    </row>
    <row r="8" spans="1:13">
      <c r="A8" s="1046" t="s">
        <v>170</v>
      </c>
      <c r="B8" s="1060" t="s">
        <v>320</v>
      </c>
      <c r="C8" s="1061"/>
      <c r="D8" s="1061"/>
      <c r="E8" s="1061"/>
      <c r="F8" s="1061"/>
      <c r="G8" s="1061"/>
      <c r="H8" s="1061"/>
      <c r="I8" s="1061"/>
      <c r="J8" s="1061"/>
      <c r="K8" s="1061"/>
      <c r="L8" s="1061"/>
      <c r="M8" s="1062"/>
    </row>
    <row r="9" spans="1:13">
      <c r="A9" s="1045" t="s">
        <v>171</v>
      </c>
      <c r="B9" s="1055" t="s">
        <v>321</v>
      </c>
      <c r="C9" s="1056"/>
      <c r="D9" s="1056"/>
      <c r="E9" s="1056"/>
      <c r="F9" s="1056"/>
      <c r="G9" s="1056"/>
      <c r="H9" s="1056"/>
      <c r="I9" s="1056"/>
      <c r="J9" s="1056"/>
      <c r="K9" s="1056"/>
      <c r="L9" s="1056"/>
      <c r="M9" s="1057"/>
    </row>
    <row r="10" spans="1:13">
      <c r="A10" s="1046" t="s">
        <v>227</v>
      </c>
      <c r="B10" s="1060" t="s">
        <v>322</v>
      </c>
      <c r="C10" s="1061"/>
      <c r="D10" s="1061"/>
      <c r="E10" s="1061"/>
      <c r="F10" s="1061"/>
      <c r="G10" s="1061"/>
      <c r="H10" s="1061"/>
      <c r="I10" s="1061"/>
      <c r="J10" s="1061"/>
      <c r="K10" s="1061"/>
      <c r="L10" s="1061"/>
      <c r="M10" s="1062"/>
    </row>
    <row r="11" spans="1:13">
      <c r="A11" s="1045" t="s">
        <v>228</v>
      </c>
      <c r="B11" s="1055" t="s">
        <v>323</v>
      </c>
      <c r="C11" s="1056"/>
      <c r="D11" s="1056"/>
      <c r="E11" s="1056"/>
      <c r="F11" s="1056"/>
      <c r="G11" s="1056"/>
      <c r="H11" s="1056"/>
      <c r="I11" s="1056"/>
      <c r="J11" s="1056"/>
      <c r="K11" s="1056"/>
      <c r="L11" s="1056"/>
      <c r="M11" s="1057"/>
    </row>
    <row r="12" spans="1:13">
      <c r="A12" s="1046" t="s">
        <v>279</v>
      </c>
      <c r="B12" s="1060" t="s">
        <v>324</v>
      </c>
      <c r="C12" s="1061"/>
      <c r="D12" s="1061"/>
      <c r="E12" s="1061"/>
      <c r="F12" s="1061"/>
      <c r="G12" s="1061"/>
      <c r="H12" s="1061"/>
      <c r="I12" s="1061"/>
      <c r="J12" s="1061"/>
      <c r="K12" s="1061"/>
      <c r="L12" s="1061"/>
      <c r="M12" s="1062"/>
    </row>
    <row r="13" spans="1:13">
      <c r="A13" s="1045" t="s">
        <v>172</v>
      </c>
      <c r="B13" s="1055" t="s">
        <v>325</v>
      </c>
      <c r="C13" s="1056"/>
      <c r="D13" s="1056"/>
      <c r="E13" s="1056"/>
      <c r="F13" s="1056"/>
      <c r="G13" s="1056"/>
      <c r="H13" s="1056"/>
      <c r="I13" s="1056"/>
      <c r="J13" s="1056"/>
      <c r="K13" s="1056"/>
      <c r="L13" s="1056"/>
      <c r="M13" s="1057"/>
    </row>
    <row r="14" spans="1:13">
      <c r="A14" s="1046" t="s">
        <v>229</v>
      </c>
      <c r="B14" s="1060" t="s">
        <v>326</v>
      </c>
      <c r="C14" s="1061"/>
      <c r="D14" s="1061"/>
      <c r="E14" s="1061"/>
      <c r="F14" s="1061"/>
      <c r="G14" s="1061"/>
      <c r="H14" s="1061"/>
      <c r="I14" s="1061"/>
      <c r="J14" s="1061"/>
      <c r="K14" s="1061"/>
      <c r="L14" s="1061"/>
      <c r="M14" s="1062"/>
    </row>
    <row r="15" spans="1:13">
      <c r="A15" s="1045" t="s">
        <v>230</v>
      </c>
      <c r="B15" s="1055" t="s">
        <v>327</v>
      </c>
      <c r="C15" s="1056"/>
      <c r="D15" s="1056"/>
      <c r="E15" s="1056"/>
      <c r="F15" s="1056"/>
      <c r="G15" s="1056"/>
      <c r="H15" s="1056"/>
      <c r="I15" s="1056"/>
      <c r="J15" s="1056"/>
      <c r="K15" s="1056"/>
      <c r="L15" s="1056"/>
      <c r="M15" s="1057"/>
    </row>
    <row r="16" spans="1:13">
      <c r="A16" s="1046" t="s">
        <v>280</v>
      </c>
      <c r="B16" s="1060" t="s">
        <v>328</v>
      </c>
      <c r="C16" s="1061"/>
      <c r="D16" s="1061"/>
      <c r="E16" s="1061"/>
      <c r="F16" s="1061"/>
      <c r="G16" s="1061"/>
      <c r="H16" s="1061"/>
      <c r="I16" s="1061"/>
      <c r="J16" s="1061"/>
      <c r="K16" s="1061"/>
      <c r="L16" s="1061"/>
      <c r="M16" s="1062"/>
    </row>
    <row r="17" spans="1:13">
      <c r="A17" s="1045" t="s">
        <v>282</v>
      </c>
      <c r="B17" s="1055" t="s">
        <v>329</v>
      </c>
      <c r="C17" s="1056"/>
      <c r="D17" s="1056"/>
      <c r="E17" s="1056"/>
      <c r="F17" s="1056"/>
      <c r="G17" s="1056"/>
      <c r="H17" s="1056"/>
      <c r="I17" s="1056"/>
      <c r="J17" s="1056"/>
      <c r="K17" s="1056"/>
      <c r="L17" s="1056"/>
      <c r="M17" s="1057"/>
    </row>
  </sheetData>
  <mergeCells count="14">
    <mergeCell ref="B16:M16"/>
    <mergeCell ref="B17:M17"/>
    <mergeCell ref="B10:M10"/>
    <mergeCell ref="B11:M11"/>
    <mergeCell ref="B12:M12"/>
    <mergeCell ref="B13:M13"/>
    <mergeCell ref="B14:M14"/>
    <mergeCell ref="B15:M15"/>
    <mergeCell ref="B9:M9"/>
    <mergeCell ref="A2:M4"/>
    <mergeCell ref="B5:M5"/>
    <mergeCell ref="B6:M6"/>
    <mergeCell ref="B7:M7"/>
    <mergeCell ref="B8:M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5B72-7543-4622-B60B-164ACCD843C4}">
  <dimension ref="A1:N671"/>
  <sheetViews>
    <sheetView tabSelected="1" zoomScale="91" zoomScaleNormal="130" workbookViewId="0">
      <selection activeCell="B160" sqref="B160"/>
    </sheetView>
  </sheetViews>
  <sheetFormatPr baseColWidth="10" defaultColWidth="14.453125" defaultRowHeight="12.5"/>
  <cols>
    <col min="1" max="1" width="11.6328125" style="1042" bestFit="1" customWidth="1"/>
    <col min="2" max="2" width="17.08984375" style="1042" bestFit="1" customWidth="1"/>
    <col min="3" max="3" width="15.6328125" style="1042" bestFit="1" customWidth="1"/>
    <col min="4" max="4" width="44" style="1042" customWidth="1"/>
    <col min="5" max="5" width="34.453125" style="1047" bestFit="1" customWidth="1"/>
    <col min="6" max="11" width="18" style="1047" customWidth="1"/>
    <col min="12" max="12" width="65.81640625" style="1042" customWidth="1"/>
    <col min="13" max="13" width="36.08984375" style="1042" bestFit="1" customWidth="1"/>
    <col min="14" max="16384" width="14.453125" style="1042"/>
  </cols>
  <sheetData>
    <row r="1" spans="1:14">
      <c r="A1" s="1041" t="s">
        <v>224</v>
      </c>
      <c r="B1" s="1041" t="s">
        <v>225</v>
      </c>
      <c r="C1" s="1041" t="s">
        <v>226</v>
      </c>
      <c r="D1" s="1041" t="s">
        <v>170</v>
      </c>
      <c r="E1" s="1041" t="s">
        <v>171</v>
      </c>
      <c r="F1" s="1041" t="s">
        <v>227</v>
      </c>
      <c r="G1" s="1041" t="s">
        <v>228</v>
      </c>
      <c r="H1" s="1041" t="s">
        <v>279</v>
      </c>
      <c r="I1" s="1041" t="s">
        <v>172</v>
      </c>
      <c r="J1" s="1041" t="s">
        <v>229</v>
      </c>
      <c r="K1" s="1041" t="s">
        <v>230</v>
      </c>
      <c r="L1" s="1041" t="s">
        <v>280</v>
      </c>
      <c r="M1" s="1041" t="s">
        <v>282</v>
      </c>
      <c r="N1" s="1047" t="s">
        <v>330</v>
      </c>
    </row>
    <row r="2" spans="1:14">
      <c r="A2" s="1042" t="s">
        <v>231</v>
      </c>
      <c r="B2" s="1042" t="s">
        <v>232</v>
      </c>
      <c r="C2" s="1042" t="s">
        <v>234</v>
      </c>
      <c r="D2" s="1049" t="s">
        <v>173</v>
      </c>
      <c r="E2" s="1047" t="s">
        <v>144</v>
      </c>
      <c r="F2" s="1047" t="s">
        <v>39</v>
      </c>
      <c r="G2" s="1047" t="s">
        <v>39</v>
      </c>
      <c r="H2" s="1048">
        <v>1680512448</v>
      </c>
      <c r="I2" s="1047">
        <v>2019</v>
      </c>
      <c r="J2" s="1047" t="s">
        <v>233</v>
      </c>
      <c r="K2" s="1047" t="s">
        <v>39</v>
      </c>
      <c r="L2" s="1042" t="s">
        <v>281</v>
      </c>
      <c r="M2" s="1042" t="s">
        <v>283</v>
      </c>
      <c r="N2" s="1050">
        <v>45371</v>
      </c>
    </row>
    <row r="3" spans="1:14">
      <c r="A3" s="1042" t="s">
        <v>231</v>
      </c>
      <c r="B3" s="1042" t="s">
        <v>232</v>
      </c>
      <c r="C3" s="1042" t="s">
        <v>235</v>
      </c>
      <c r="D3" s="1049" t="s">
        <v>174</v>
      </c>
      <c r="E3" s="1047" t="s">
        <v>144</v>
      </c>
      <c r="F3" s="1047" t="s">
        <v>39</v>
      </c>
      <c r="G3" s="1047" t="s">
        <v>39</v>
      </c>
      <c r="H3" s="1048">
        <v>43646599363</v>
      </c>
      <c r="I3" s="1047">
        <v>2019</v>
      </c>
      <c r="J3" s="1047" t="s">
        <v>233</v>
      </c>
      <c r="K3" s="1047" t="s">
        <v>39</v>
      </c>
      <c r="L3" s="1042" t="s">
        <v>281</v>
      </c>
      <c r="M3" s="1042" t="s">
        <v>283</v>
      </c>
      <c r="N3" s="1050">
        <v>45371</v>
      </c>
    </row>
    <row r="4" spans="1:14">
      <c r="A4" s="1042" t="s">
        <v>231</v>
      </c>
      <c r="B4" s="1042" t="s">
        <v>236</v>
      </c>
      <c r="C4" s="1042" t="s">
        <v>237</v>
      </c>
      <c r="D4" s="1049" t="s">
        <v>175</v>
      </c>
      <c r="E4" s="1047" t="s">
        <v>144</v>
      </c>
      <c r="F4" s="1047" t="s">
        <v>39</v>
      </c>
      <c r="G4" s="1047" t="s">
        <v>39</v>
      </c>
      <c r="H4" s="1047">
        <v>372</v>
      </c>
      <c r="I4" s="1047">
        <v>2019</v>
      </c>
      <c r="J4" s="1047" t="s">
        <v>233</v>
      </c>
      <c r="K4" s="1047" t="s">
        <v>39</v>
      </c>
      <c r="L4" s="1042" t="s">
        <v>281</v>
      </c>
      <c r="M4" s="1042" t="s">
        <v>284</v>
      </c>
      <c r="N4" s="1050">
        <v>45371</v>
      </c>
    </row>
    <row r="5" spans="1:14">
      <c r="A5" s="1042" t="s">
        <v>231</v>
      </c>
      <c r="B5" s="1042" t="s">
        <v>236</v>
      </c>
      <c r="C5" s="1042" t="s">
        <v>237</v>
      </c>
      <c r="D5" s="1049" t="s">
        <v>175</v>
      </c>
      <c r="E5" s="1047" t="s">
        <v>37</v>
      </c>
      <c r="F5" s="1047" t="s">
        <v>39</v>
      </c>
      <c r="G5" s="1047" t="s">
        <v>39</v>
      </c>
      <c r="H5" s="1048">
        <v>372</v>
      </c>
      <c r="I5" s="1047">
        <v>2019</v>
      </c>
      <c r="J5" s="1047" t="s">
        <v>233</v>
      </c>
      <c r="K5" s="1047" t="s">
        <v>39</v>
      </c>
      <c r="L5" s="1042" t="s">
        <v>281</v>
      </c>
      <c r="M5" s="1042" t="s">
        <v>284</v>
      </c>
      <c r="N5" s="1050">
        <v>45371</v>
      </c>
    </row>
    <row r="6" spans="1:14">
      <c r="A6" s="1042" t="s">
        <v>231</v>
      </c>
      <c r="B6" s="1042" t="s">
        <v>236</v>
      </c>
      <c r="C6" s="1042" t="s">
        <v>238</v>
      </c>
      <c r="D6" s="1049" t="s">
        <v>176</v>
      </c>
      <c r="E6" s="1047" t="s">
        <v>144</v>
      </c>
      <c r="F6" s="1047" t="s">
        <v>39</v>
      </c>
      <c r="G6" s="1047" t="s">
        <v>39</v>
      </c>
      <c r="H6" s="1047">
        <v>54</v>
      </c>
      <c r="I6" s="1047">
        <v>2019</v>
      </c>
      <c r="J6" s="1047" t="s">
        <v>233</v>
      </c>
      <c r="K6" s="1047" t="s">
        <v>39</v>
      </c>
      <c r="L6" s="1042" t="s">
        <v>281</v>
      </c>
      <c r="M6" s="1042" t="s">
        <v>285</v>
      </c>
      <c r="N6" s="1050">
        <v>45371</v>
      </c>
    </row>
    <row r="7" spans="1:14">
      <c r="A7" s="1042" t="s">
        <v>231</v>
      </c>
      <c r="B7" s="1042" t="s">
        <v>236</v>
      </c>
      <c r="C7" s="1042" t="s">
        <v>238</v>
      </c>
      <c r="D7" s="1042" t="s">
        <v>176</v>
      </c>
      <c r="E7" s="1047" t="s">
        <v>43</v>
      </c>
      <c r="F7" s="1047" t="s">
        <v>39</v>
      </c>
      <c r="G7" s="1047" t="s">
        <v>39</v>
      </c>
      <c r="H7" s="1047">
        <v>37.5</v>
      </c>
      <c r="I7" s="1047">
        <v>2019</v>
      </c>
      <c r="J7" s="1047" t="s">
        <v>233</v>
      </c>
      <c r="K7" s="1047" t="s">
        <v>39</v>
      </c>
      <c r="L7" s="1042" t="s">
        <v>281</v>
      </c>
      <c r="M7" s="1042" t="s">
        <v>285</v>
      </c>
      <c r="N7" s="1050">
        <v>45371</v>
      </c>
    </row>
    <row r="8" spans="1:14">
      <c r="A8" s="1042" t="s">
        <v>231</v>
      </c>
      <c r="B8" s="1042" t="s">
        <v>236</v>
      </c>
      <c r="C8" s="1042" t="s">
        <v>238</v>
      </c>
      <c r="D8" s="1042" t="s">
        <v>176</v>
      </c>
      <c r="E8" s="1047" t="s">
        <v>44</v>
      </c>
      <c r="F8" s="1047" t="s">
        <v>39</v>
      </c>
      <c r="G8" s="1047" t="s">
        <v>39</v>
      </c>
      <c r="H8" s="1047">
        <v>5.5</v>
      </c>
      <c r="I8" s="1047">
        <v>2019</v>
      </c>
      <c r="J8" s="1047" t="s">
        <v>233</v>
      </c>
      <c r="K8" s="1047" t="s">
        <v>39</v>
      </c>
      <c r="L8" s="1042" t="s">
        <v>281</v>
      </c>
      <c r="M8" s="1042" t="s">
        <v>285</v>
      </c>
      <c r="N8" s="1050">
        <v>45371</v>
      </c>
    </row>
    <row r="9" spans="1:14">
      <c r="A9" s="1042" t="s">
        <v>231</v>
      </c>
      <c r="B9" s="1042" t="s">
        <v>236</v>
      </c>
      <c r="C9" s="1042" t="s">
        <v>238</v>
      </c>
      <c r="D9" s="1042" t="s">
        <v>176</v>
      </c>
      <c r="E9" s="1047" t="s">
        <v>45</v>
      </c>
      <c r="F9" s="1047" t="s">
        <v>39</v>
      </c>
      <c r="G9" s="1047" t="s">
        <v>39</v>
      </c>
      <c r="H9" s="1047">
        <v>10.8</v>
      </c>
      <c r="I9" s="1047">
        <v>2019</v>
      </c>
      <c r="J9" s="1047" t="s">
        <v>233</v>
      </c>
      <c r="K9" s="1047" t="s">
        <v>39</v>
      </c>
      <c r="L9" s="1042" t="s">
        <v>281</v>
      </c>
      <c r="M9" s="1042" t="s">
        <v>285</v>
      </c>
      <c r="N9" s="1050">
        <v>45371</v>
      </c>
    </row>
    <row r="10" spans="1:14">
      <c r="A10" s="1042" t="s">
        <v>231</v>
      </c>
      <c r="B10" s="1042" t="s">
        <v>236</v>
      </c>
      <c r="C10" s="1042" t="s">
        <v>239</v>
      </c>
      <c r="D10" s="1042" t="s">
        <v>177</v>
      </c>
      <c r="E10" s="1047" t="s">
        <v>144</v>
      </c>
      <c r="F10" s="1047" t="s">
        <v>39</v>
      </c>
      <c r="G10" s="1047" t="s">
        <v>39</v>
      </c>
      <c r="H10" s="1047">
        <v>78460060</v>
      </c>
      <c r="I10" s="1047">
        <v>2019</v>
      </c>
      <c r="J10" s="1047" t="s">
        <v>233</v>
      </c>
      <c r="K10" s="1047" t="s">
        <v>39</v>
      </c>
      <c r="L10" s="1042" t="s">
        <v>281</v>
      </c>
      <c r="M10" s="1042" t="s">
        <v>283</v>
      </c>
      <c r="N10" s="1050">
        <v>45371</v>
      </c>
    </row>
    <row r="11" spans="1:14">
      <c r="A11" s="1042" t="s">
        <v>231</v>
      </c>
      <c r="B11" s="1042" t="s">
        <v>236</v>
      </c>
      <c r="C11" s="1042" t="s">
        <v>239</v>
      </c>
      <c r="D11" s="1042" t="s">
        <v>177</v>
      </c>
      <c r="E11" s="1047" t="s">
        <v>55</v>
      </c>
      <c r="F11" s="1047" t="s">
        <v>39</v>
      </c>
      <c r="G11" s="1047" t="s">
        <v>39</v>
      </c>
      <c r="H11" s="1047">
        <v>13110200</v>
      </c>
      <c r="I11" s="1047">
        <v>2019</v>
      </c>
      <c r="J11" s="1047" t="s">
        <v>233</v>
      </c>
      <c r="K11" s="1047" t="s">
        <v>39</v>
      </c>
      <c r="L11" s="1042" t="s">
        <v>281</v>
      </c>
      <c r="M11" s="1042" t="s">
        <v>283</v>
      </c>
      <c r="N11" s="1050">
        <v>45371</v>
      </c>
    </row>
    <row r="12" spans="1:14">
      <c r="A12" s="1042" t="s">
        <v>231</v>
      </c>
      <c r="B12" s="1042" t="s">
        <v>236</v>
      </c>
      <c r="C12" s="1042" t="s">
        <v>239</v>
      </c>
      <c r="D12" s="1042" t="s">
        <v>177</v>
      </c>
      <c r="E12" s="1047" t="s">
        <v>44</v>
      </c>
      <c r="F12" s="1047" t="s">
        <v>39</v>
      </c>
      <c r="G12" s="1047" t="s">
        <v>39</v>
      </c>
      <c r="H12" s="1047">
        <v>16595000</v>
      </c>
      <c r="I12" s="1047">
        <v>2019</v>
      </c>
      <c r="J12" s="1047" t="s">
        <v>233</v>
      </c>
      <c r="K12" s="1047" t="s">
        <v>39</v>
      </c>
      <c r="L12" s="1042" t="s">
        <v>281</v>
      </c>
      <c r="M12" s="1042" t="s">
        <v>283</v>
      </c>
      <c r="N12" s="1050">
        <v>45371</v>
      </c>
    </row>
    <row r="13" spans="1:14">
      <c r="A13" s="1042" t="s">
        <v>231</v>
      </c>
      <c r="B13" s="1042" t="s">
        <v>236</v>
      </c>
      <c r="C13" s="1042" t="s">
        <v>239</v>
      </c>
      <c r="D13" s="1042" t="s">
        <v>177</v>
      </c>
      <c r="E13" s="1047" t="s">
        <v>45</v>
      </c>
      <c r="F13" s="1047" t="s">
        <v>39</v>
      </c>
      <c r="G13" s="1047" t="s">
        <v>39</v>
      </c>
      <c r="H13" s="1047">
        <v>48754860</v>
      </c>
      <c r="I13" s="1047">
        <v>2019</v>
      </c>
      <c r="J13" s="1047" t="s">
        <v>233</v>
      </c>
      <c r="K13" s="1047" t="s">
        <v>39</v>
      </c>
      <c r="L13" s="1042" t="s">
        <v>281</v>
      </c>
      <c r="M13" s="1042" t="s">
        <v>283</v>
      </c>
      <c r="N13" s="1050">
        <v>45371</v>
      </c>
    </row>
    <row r="14" spans="1:14">
      <c r="A14" s="1042" t="s">
        <v>231</v>
      </c>
      <c r="B14" s="1042" t="s">
        <v>236</v>
      </c>
      <c r="C14" s="1042" t="s">
        <v>240</v>
      </c>
      <c r="D14" s="1042" t="s">
        <v>178</v>
      </c>
      <c r="E14" s="1047" t="s">
        <v>144</v>
      </c>
      <c r="F14" s="1047" t="s">
        <v>39</v>
      </c>
      <c r="G14" s="1047" t="s">
        <v>39</v>
      </c>
      <c r="H14" s="1047">
        <v>280</v>
      </c>
      <c r="I14" s="1047">
        <v>2019</v>
      </c>
      <c r="J14" s="1047" t="s">
        <v>233</v>
      </c>
      <c r="K14" s="1047" t="s">
        <v>39</v>
      </c>
      <c r="L14" s="1042" t="s">
        <v>281</v>
      </c>
      <c r="M14" s="1042" t="s">
        <v>284</v>
      </c>
      <c r="N14" s="1050">
        <v>45371</v>
      </c>
    </row>
    <row r="15" spans="1:14">
      <c r="A15" s="1042" t="s">
        <v>231</v>
      </c>
      <c r="B15" s="1042" t="s">
        <v>236</v>
      </c>
      <c r="C15" s="1042" t="s">
        <v>240</v>
      </c>
      <c r="D15" s="1042" t="s">
        <v>179</v>
      </c>
      <c r="E15" s="1047" t="s">
        <v>144</v>
      </c>
      <c r="F15" s="1047" t="s">
        <v>39</v>
      </c>
      <c r="G15" s="1047" t="s">
        <v>39</v>
      </c>
      <c r="H15" s="1047">
        <v>310</v>
      </c>
      <c r="I15" s="1047">
        <v>2019</v>
      </c>
      <c r="J15" s="1047" t="s">
        <v>233</v>
      </c>
      <c r="K15" s="1047" t="s">
        <v>39</v>
      </c>
      <c r="L15" s="1042" t="s">
        <v>281</v>
      </c>
      <c r="M15" s="1042" t="s">
        <v>284</v>
      </c>
      <c r="N15" s="1050">
        <v>45371</v>
      </c>
    </row>
    <row r="16" spans="1:14">
      <c r="A16" s="1042" t="s">
        <v>231</v>
      </c>
      <c r="B16" s="1042" t="s">
        <v>236</v>
      </c>
      <c r="C16" s="1042" t="s">
        <v>240</v>
      </c>
      <c r="D16" s="1042" t="s">
        <v>179</v>
      </c>
      <c r="E16" s="1047" t="s">
        <v>61</v>
      </c>
      <c r="F16" s="1047" t="s">
        <v>39</v>
      </c>
      <c r="G16" s="1047" t="s">
        <v>39</v>
      </c>
      <c r="H16" s="1047">
        <v>355</v>
      </c>
      <c r="I16" s="1047">
        <v>2019</v>
      </c>
      <c r="J16" s="1047" t="s">
        <v>233</v>
      </c>
      <c r="K16" s="1047" t="s">
        <v>39</v>
      </c>
      <c r="L16" s="1042" t="s">
        <v>281</v>
      </c>
      <c r="M16" s="1042" t="s">
        <v>284</v>
      </c>
      <c r="N16" s="1050">
        <v>45371</v>
      </c>
    </row>
    <row r="17" spans="1:14">
      <c r="A17" s="1042" t="s">
        <v>231</v>
      </c>
      <c r="B17" s="1042" t="s">
        <v>241</v>
      </c>
      <c r="C17" s="1042" t="s">
        <v>242</v>
      </c>
      <c r="D17" s="1042" t="s">
        <v>180</v>
      </c>
      <c r="E17" s="1047" t="s">
        <v>144</v>
      </c>
      <c r="F17" s="1047" t="s">
        <v>39</v>
      </c>
      <c r="G17" s="1047" t="s">
        <v>39</v>
      </c>
      <c r="H17" s="1047">
        <v>83</v>
      </c>
      <c r="I17" s="1047">
        <v>2019</v>
      </c>
      <c r="J17" s="1047" t="s">
        <v>233</v>
      </c>
      <c r="K17" s="1047" t="s">
        <v>39</v>
      </c>
      <c r="L17" s="1042" t="s">
        <v>281</v>
      </c>
      <c r="M17" s="1042" t="s">
        <v>286</v>
      </c>
      <c r="N17" s="1050">
        <v>45371</v>
      </c>
    </row>
    <row r="18" spans="1:14">
      <c r="A18" s="1042" t="s">
        <v>231</v>
      </c>
      <c r="B18" s="1042" t="s">
        <v>241</v>
      </c>
      <c r="C18" s="1042" t="s">
        <v>243</v>
      </c>
      <c r="D18" s="1042" t="s">
        <v>181</v>
      </c>
      <c r="E18" s="1047" t="s">
        <v>144</v>
      </c>
      <c r="F18" s="1047" t="s">
        <v>39</v>
      </c>
      <c r="G18" s="1047" t="s">
        <v>39</v>
      </c>
      <c r="H18" s="1047">
        <v>278</v>
      </c>
      <c r="I18" s="1047">
        <v>2019</v>
      </c>
      <c r="J18" s="1047" t="s">
        <v>233</v>
      </c>
      <c r="K18" s="1047" t="s">
        <v>39</v>
      </c>
      <c r="L18" s="1042" t="s">
        <v>281</v>
      </c>
      <c r="M18" s="1042" t="s">
        <v>287</v>
      </c>
      <c r="N18" s="1050">
        <v>45371</v>
      </c>
    </row>
    <row r="19" spans="1:14">
      <c r="A19" s="1042" t="s">
        <v>231</v>
      </c>
      <c r="B19" s="1042" t="s">
        <v>241</v>
      </c>
      <c r="C19" s="1042" t="s">
        <v>244</v>
      </c>
      <c r="D19" s="1042" t="s">
        <v>182</v>
      </c>
      <c r="E19" s="1047" t="s">
        <v>144</v>
      </c>
      <c r="F19" s="1047" t="s">
        <v>39</v>
      </c>
      <c r="G19" s="1047" t="s">
        <v>39</v>
      </c>
      <c r="H19" s="1047">
        <v>570</v>
      </c>
      <c r="I19" s="1047">
        <v>2019</v>
      </c>
      <c r="J19" s="1047" t="s">
        <v>233</v>
      </c>
      <c r="K19" s="1047" t="s">
        <v>39</v>
      </c>
      <c r="L19" s="1042" t="s">
        <v>281</v>
      </c>
      <c r="M19" s="1042" t="s">
        <v>287</v>
      </c>
      <c r="N19" s="1050">
        <v>45371</v>
      </c>
    </row>
    <row r="20" spans="1:14">
      <c r="A20" s="1042" t="s">
        <v>231</v>
      </c>
      <c r="B20" s="1042" t="s">
        <v>241</v>
      </c>
      <c r="C20" s="1042" t="s">
        <v>245</v>
      </c>
      <c r="D20" s="1042" t="s">
        <v>183</v>
      </c>
      <c r="E20" s="1047" t="s">
        <v>144</v>
      </c>
      <c r="F20" s="1047" t="s">
        <v>39</v>
      </c>
      <c r="G20" s="1047" t="s">
        <v>39</v>
      </c>
      <c r="H20" s="1047">
        <v>75</v>
      </c>
      <c r="I20" s="1047">
        <v>2019</v>
      </c>
      <c r="J20" s="1047" t="s">
        <v>233</v>
      </c>
      <c r="K20" s="1047" t="s">
        <v>39</v>
      </c>
      <c r="L20" s="1042" t="s">
        <v>281</v>
      </c>
      <c r="M20" s="1042" t="s">
        <v>288</v>
      </c>
      <c r="N20" s="1050">
        <v>45371</v>
      </c>
    </row>
    <row r="21" spans="1:14">
      <c r="A21" s="1042" t="s">
        <v>231</v>
      </c>
      <c r="B21" s="1042" t="s">
        <v>241</v>
      </c>
      <c r="C21" s="1042" t="s">
        <v>246</v>
      </c>
      <c r="D21" s="1042" t="s">
        <v>184</v>
      </c>
      <c r="E21" s="1047" t="s">
        <v>144</v>
      </c>
      <c r="F21" s="1047" t="s">
        <v>39</v>
      </c>
      <c r="G21" s="1047" t="s">
        <v>39</v>
      </c>
      <c r="H21" s="1047">
        <v>25</v>
      </c>
      <c r="I21" s="1047">
        <v>2019</v>
      </c>
      <c r="J21" s="1047" t="s">
        <v>233</v>
      </c>
      <c r="K21" s="1047" t="s">
        <v>39</v>
      </c>
      <c r="L21" s="1042" t="s">
        <v>281</v>
      </c>
      <c r="M21" s="1042" t="s">
        <v>289</v>
      </c>
      <c r="N21" s="1050">
        <v>45371</v>
      </c>
    </row>
    <row r="22" spans="1:14">
      <c r="A22" s="1042" t="s">
        <v>231</v>
      </c>
      <c r="B22" s="1042" t="s">
        <v>232</v>
      </c>
      <c r="C22" s="1042" t="s">
        <v>234</v>
      </c>
      <c r="D22" s="1049" t="s">
        <v>173</v>
      </c>
      <c r="E22" s="1047" t="s">
        <v>144</v>
      </c>
      <c r="F22" s="1047" t="s">
        <v>39</v>
      </c>
      <c r="G22" s="1047" t="s">
        <v>39</v>
      </c>
      <c r="H22" s="1048">
        <v>4499683513</v>
      </c>
      <c r="I22" s="1047">
        <v>2020</v>
      </c>
      <c r="J22" s="1047" t="s">
        <v>233</v>
      </c>
      <c r="K22" s="1047" t="s">
        <v>39</v>
      </c>
      <c r="L22" s="1042" t="s">
        <v>281</v>
      </c>
      <c r="M22" s="1042" t="s">
        <v>283</v>
      </c>
      <c r="N22" s="1050">
        <v>45371</v>
      </c>
    </row>
    <row r="23" spans="1:14">
      <c r="A23" s="1042" t="s">
        <v>231</v>
      </c>
      <c r="B23" s="1042" t="s">
        <v>232</v>
      </c>
      <c r="C23" s="1042" t="s">
        <v>235</v>
      </c>
      <c r="D23" s="1049" t="s">
        <v>174</v>
      </c>
      <c r="E23" s="1047" t="s">
        <v>144</v>
      </c>
      <c r="F23" s="1047" t="s">
        <v>39</v>
      </c>
      <c r="G23" s="1047" t="s">
        <v>39</v>
      </c>
      <c r="H23" s="1048">
        <v>23410463400</v>
      </c>
      <c r="I23" s="1047">
        <v>2020</v>
      </c>
      <c r="J23" s="1047" t="s">
        <v>233</v>
      </c>
      <c r="K23" s="1047" t="s">
        <v>39</v>
      </c>
      <c r="L23" s="1042" t="s">
        <v>281</v>
      </c>
      <c r="M23" s="1042" t="s">
        <v>283</v>
      </c>
      <c r="N23" s="1050">
        <v>45371</v>
      </c>
    </row>
    <row r="24" spans="1:14">
      <c r="A24" s="1042" t="s">
        <v>231</v>
      </c>
      <c r="B24" s="1042" t="s">
        <v>236</v>
      </c>
      <c r="C24" s="1042" t="s">
        <v>237</v>
      </c>
      <c r="D24" s="1049" t="s">
        <v>175</v>
      </c>
      <c r="E24" s="1047" t="s">
        <v>144</v>
      </c>
      <c r="F24" s="1047" t="s">
        <v>39</v>
      </c>
      <c r="G24" s="1047" t="s">
        <v>39</v>
      </c>
      <c r="H24" s="1047">
        <v>596</v>
      </c>
      <c r="I24" s="1047">
        <v>2020</v>
      </c>
      <c r="J24" s="1047" t="s">
        <v>233</v>
      </c>
      <c r="K24" s="1047" t="s">
        <v>39</v>
      </c>
      <c r="L24" s="1042" t="s">
        <v>281</v>
      </c>
      <c r="M24" s="1042" t="s">
        <v>284</v>
      </c>
      <c r="N24" s="1050">
        <v>45371</v>
      </c>
    </row>
    <row r="25" spans="1:14">
      <c r="A25" s="1042" t="s">
        <v>231</v>
      </c>
      <c r="B25" s="1042" t="s">
        <v>236</v>
      </c>
      <c r="C25" s="1042" t="s">
        <v>237</v>
      </c>
      <c r="D25" s="1049" t="s">
        <v>175</v>
      </c>
      <c r="E25" s="1047" t="s">
        <v>37</v>
      </c>
      <c r="F25" s="1047" t="s">
        <v>39</v>
      </c>
      <c r="G25" s="1047" t="s">
        <v>39</v>
      </c>
      <c r="H25" s="1047">
        <v>596</v>
      </c>
      <c r="I25" s="1047">
        <v>2020</v>
      </c>
      <c r="J25" s="1047" t="s">
        <v>233</v>
      </c>
      <c r="K25" s="1047" t="s">
        <v>39</v>
      </c>
      <c r="L25" s="1042" t="s">
        <v>281</v>
      </c>
      <c r="M25" s="1042" t="s">
        <v>284</v>
      </c>
      <c r="N25" s="1050">
        <v>45371</v>
      </c>
    </row>
    <row r="26" spans="1:14">
      <c r="A26" s="1042" t="s">
        <v>231</v>
      </c>
      <c r="B26" s="1042" t="s">
        <v>236</v>
      </c>
      <c r="C26" s="1042" t="s">
        <v>247</v>
      </c>
      <c r="D26" s="1042" t="s">
        <v>185</v>
      </c>
      <c r="E26" s="1047" t="s">
        <v>144</v>
      </c>
      <c r="F26" s="1047" t="s">
        <v>39</v>
      </c>
      <c r="G26" s="1047" t="s">
        <v>39</v>
      </c>
      <c r="H26" s="1047">
        <v>229</v>
      </c>
      <c r="I26" s="1047">
        <v>2020</v>
      </c>
      <c r="J26" s="1047" t="s">
        <v>233</v>
      </c>
      <c r="K26" s="1047" t="s">
        <v>39</v>
      </c>
      <c r="L26" s="1042" t="s">
        <v>281</v>
      </c>
      <c r="M26" s="1042" t="s">
        <v>285</v>
      </c>
      <c r="N26" s="1050">
        <v>45371</v>
      </c>
    </row>
    <row r="27" spans="1:14">
      <c r="A27" s="1042" t="s">
        <v>231</v>
      </c>
      <c r="B27" s="1042" t="s">
        <v>236</v>
      </c>
      <c r="C27" s="1042" t="s">
        <v>247</v>
      </c>
      <c r="D27" s="1042" t="s">
        <v>185</v>
      </c>
      <c r="E27" s="1047" t="s">
        <v>43</v>
      </c>
      <c r="F27" s="1047" t="s">
        <v>39</v>
      </c>
      <c r="G27" s="1047" t="s">
        <v>39</v>
      </c>
      <c r="H27" s="1047">
        <v>96</v>
      </c>
      <c r="I27" s="1047">
        <v>2020</v>
      </c>
      <c r="J27" s="1047" t="s">
        <v>233</v>
      </c>
      <c r="K27" s="1047" t="s">
        <v>39</v>
      </c>
      <c r="L27" s="1042" t="s">
        <v>281</v>
      </c>
      <c r="M27" s="1042" t="s">
        <v>285</v>
      </c>
      <c r="N27" s="1050">
        <v>45371</v>
      </c>
    </row>
    <row r="28" spans="1:14">
      <c r="A28" s="1042" t="s">
        <v>231</v>
      </c>
      <c r="B28" s="1042" t="s">
        <v>236</v>
      </c>
      <c r="C28" s="1042" t="s">
        <v>247</v>
      </c>
      <c r="D28" s="1042" t="s">
        <v>185</v>
      </c>
      <c r="E28" s="1047" t="s">
        <v>45</v>
      </c>
      <c r="F28" s="1047" t="s">
        <v>39</v>
      </c>
      <c r="G28" s="1047" t="s">
        <v>39</v>
      </c>
      <c r="H28" s="1047">
        <v>132.6</v>
      </c>
      <c r="I28" s="1047">
        <v>2020</v>
      </c>
      <c r="J28" s="1047" t="s">
        <v>233</v>
      </c>
      <c r="K28" s="1047" t="s">
        <v>39</v>
      </c>
      <c r="L28" s="1042" t="s">
        <v>281</v>
      </c>
      <c r="M28" s="1042" t="s">
        <v>285</v>
      </c>
      <c r="N28" s="1050">
        <v>45371</v>
      </c>
    </row>
    <row r="29" spans="1:14">
      <c r="A29" s="1042" t="s">
        <v>231</v>
      </c>
      <c r="B29" s="1042" t="s">
        <v>236</v>
      </c>
      <c r="C29" s="1042" t="s">
        <v>238</v>
      </c>
      <c r="D29" s="1049" t="s">
        <v>176</v>
      </c>
      <c r="E29" s="1047" t="s">
        <v>144</v>
      </c>
      <c r="F29" s="1047" t="s">
        <v>39</v>
      </c>
      <c r="G29" s="1047" t="s">
        <v>39</v>
      </c>
      <c r="H29" s="1047">
        <v>601</v>
      </c>
      <c r="I29" s="1047">
        <v>2020</v>
      </c>
      <c r="J29" s="1047" t="s">
        <v>233</v>
      </c>
      <c r="K29" s="1047" t="s">
        <v>39</v>
      </c>
      <c r="L29" s="1042" t="s">
        <v>281</v>
      </c>
      <c r="M29" s="1042" t="s">
        <v>285</v>
      </c>
      <c r="N29" s="1050">
        <v>45371</v>
      </c>
    </row>
    <row r="30" spans="1:14">
      <c r="A30" s="1042" t="s">
        <v>231</v>
      </c>
      <c r="B30" s="1042" t="s">
        <v>236</v>
      </c>
      <c r="C30" s="1042" t="s">
        <v>238</v>
      </c>
      <c r="D30" s="1042" t="s">
        <v>176</v>
      </c>
      <c r="E30" s="1047" t="s">
        <v>43</v>
      </c>
      <c r="F30" s="1047" t="s">
        <v>39</v>
      </c>
      <c r="G30" s="1047" t="s">
        <v>39</v>
      </c>
      <c r="H30" s="1047">
        <v>82</v>
      </c>
      <c r="I30" s="1047">
        <v>2020</v>
      </c>
      <c r="J30" s="1047" t="s">
        <v>233</v>
      </c>
      <c r="K30" s="1047" t="s">
        <v>39</v>
      </c>
      <c r="L30" s="1042" t="s">
        <v>281</v>
      </c>
      <c r="M30" s="1042" t="s">
        <v>285</v>
      </c>
      <c r="N30" s="1050">
        <v>45371</v>
      </c>
    </row>
    <row r="31" spans="1:14">
      <c r="A31" s="1042" t="s">
        <v>231</v>
      </c>
      <c r="B31" s="1042" t="s">
        <v>236</v>
      </c>
      <c r="C31" s="1042" t="s">
        <v>238</v>
      </c>
      <c r="D31" s="1042" t="s">
        <v>176</v>
      </c>
      <c r="E31" s="1047" t="s">
        <v>44</v>
      </c>
      <c r="F31" s="1047" t="s">
        <v>39</v>
      </c>
      <c r="G31" s="1047" t="s">
        <v>39</v>
      </c>
      <c r="H31" s="1047">
        <v>109</v>
      </c>
      <c r="I31" s="1047">
        <v>2020</v>
      </c>
      <c r="J31" s="1047" t="s">
        <v>233</v>
      </c>
      <c r="K31" s="1047" t="s">
        <v>39</v>
      </c>
      <c r="L31" s="1042" t="s">
        <v>281</v>
      </c>
      <c r="M31" s="1042" t="s">
        <v>285</v>
      </c>
      <c r="N31" s="1050">
        <v>45371</v>
      </c>
    </row>
    <row r="32" spans="1:14">
      <c r="A32" s="1042" t="s">
        <v>231</v>
      </c>
      <c r="B32" s="1042" t="s">
        <v>236</v>
      </c>
      <c r="C32" s="1042" t="s">
        <v>238</v>
      </c>
      <c r="D32" s="1042" t="s">
        <v>176</v>
      </c>
      <c r="E32" s="1047" t="s">
        <v>45</v>
      </c>
      <c r="F32" s="1047" t="s">
        <v>39</v>
      </c>
      <c r="G32" s="1047" t="s">
        <v>39</v>
      </c>
      <c r="H32" s="1047">
        <v>410</v>
      </c>
      <c r="I32" s="1047">
        <v>2020</v>
      </c>
      <c r="J32" s="1047" t="s">
        <v>233</v>
      </c>
      <c r="K32" s="1047" t="s">
        <v>39</v>
      </c>
      <c r="L32" s="1042" t="s">
        <v>281</v>
      </c>
      <c r="M32" s="1042" t="s">
        <v>285</v>
      </c>
      <c r="N32" s="1050">
        <v>45371</v>
      </c>
    </row>
    <row r="33" spans="1:14">
      <c r="A33" s="1042" t="s">
        <v>231</v>
      </c>
      <c r="B33" s="1042" t="s">
        <v>236</v>
      </c>
      <c r="C33" s="1042" t="s">
        <v>239</v>
      </c>
      <c r="D33" s="1042" t="s">
        <v>177</v>
      </c>
      <c r="E33" s="1047" t="s">
        <v>144</v>
      </c>
      <c r="F33" s="1047" t="s">
        <v>39</v>
      </c>
      <c r="G33" s="1047" t="s">
        <v>39</v>
      </c>
      <c r="H33" s="1047">
        <v>1681151147</v>
      </c>
      <c r="I33" s="1047">
        <v>2020</v>
      </c>
      <c r="J33" s="1047" t="s">
        <v>233</v>
      </c>
      <c r="K33" s="1047" t="s">
        <v>39</v>
      </c>
      <c r="L33" s="1042" t="s">
        <v>281</v>
      </c>
      <c r="M33" s="1042" t="s">
        <v>283</v>
      </c>
      <c r="N33" s="1050">
        <v>45371</v>
      </c>
    </row>
    <row r="34" spans="1:14">
      <c r="A34" s="1042" t="s">
        <v>231</v>
      </c>
      <c r="B34" s="1042" t="s">
        <v>236</v>
      </c>
      <c r="C34" s="1042" t="s">
        <v>239</v>
      </c>
      <c r="D34" s="1042" t="s">
        <v>177</v>
      </c>
      <c r="E34" s="1047" t="s">
        <v>55</v>
      </c>
      <c r="F34" s="1047" t="s">
        <v>39</v>
      </c>
      <c r="G34" s="1047" t="s">
        <v>39</v>
      </c>
      <c r="H34" s="1047">
        <v>548934476</v>
      </c>
      <c r="I34" s="1047">
        <v>2020</v>
      </c>
      <c r="J34" s="1047" t="s">
        <v>233</v>
      </c>
      <c r="K34" s="1047" t="s">
        <v>39</v>
      </c>
      <c r="L34" s="1042" t="s">
        <v>281</v>
      </c>
      <c r="M34" s="1042" t="s">
        <v>283</v>
      </c>
      <c r="N34" s="1050">
        <v>45371</v>
      </c>
    </row>
    <row r="35" spans="1:14">
      <c r="A35" s="1042" t="s">
        <v>231</v>
      </c>
      <c r="B35" s="1042" t="s">
        <v>236</v>
      </c>
      <c r="C35" s="1042" t="s">
        <v>239</v>
      </c>
      <c r="D35" s="1042" t="s">
        <v>177</v>
      </c>
      <c r="E35" s="1047" t="s">
        <v>44</v>
      </c>
      <c r="F35" s="1047" t="s">
        <v>39</v>
      </c>
      <c r="G35" s="1047" t="s">
        <v>39</v>
      </c>
      <c r="H35" s="1047">
        <v>56116530</v>
      </c>
      <c r="I35" s="1047">
        <v>2020</v>
      </c>
      <c r="J35" s="1047" t="s">
        <v>233</v>
      </c>
      <c r="K35" s="1047" t="s">
        <v>39</v>
      </c>
      <c r="L35" s="1042" t="s">
        <v>281</v>
      </c>
      <c r="M35" s="1042" t="s">
        <v>283</v>
      </c>
      <c r="N35" s="1050">
        <v>45371</v>
      </c>
    </row>
    <row r="36" spans="1:14">
      <c r="A36" s="1042" t="s">
        <v>231</v>
      </c>
      <c r="B36" s="1042" t="s">
        <v>236</v>
      </c>
      <c r="C36" s="1042" t="s">
        <v>239</v>
      </c>
      <c r="D36" s="1042" t="s">
        <v>177</v>
      </c>
      <c r="E36" s="1047" t="s">
        <v>45</v>
      </c>
      <c r="F36" s="1047" t="s">
        <v>39</v>
      </c>
      <c r="G36" s="1047" t="s">
        <v>39</v>
      </c>
      <c r="H36" s="1047">
        <v>740115951</v>
      </c>
      <c r="I36" s="1047">
        <v>2020</v>
      </c>
      <c r="J36" s="1047" t="s">
        <v>233</v>
      </c>
      <c r="K36" s="1047" t="s">
        <v>39</v>
      </c>
      <c r="L36" s="1042" t="s">
        <v>281</v>
      </c>
      <c r="M36" s="1042" t="s">
        <v>283</v>
      </c>
      <c r="N36" s="1050">
        <v>45371</v>
      </c>
    </row>
    <row r="37" spans="1:14">
      <c r="A37" s="1042" t="s">
        <v>231</v>
      </c>
      <c r="B37" s="1042" t="s">
        <v>236</v>
      </c>
      <c r="C37" s="1042" t="s">
        <v>239</v>
      </c>
      <c r="D37" s="1042" t="s">
        <v>177</v>
      </c>
      <c r="E37" s="1047" t="s">
        <v>56</v>
      </c>
      <c r="F37" s="1047" t="s">
        <v>39</v>
      </c>
      <c r="G37" s="1047" t="s">
        <v>39</v>
      </c>
      <c r="H37" s="1047">
        <v>335984190</v>
      </c>
      <c r="I37" s="1047">
        <v>2020</v>
      </c>
      <c r="J37" s="1047" t="s">
        <v>233</v>
      </c>
      <c r="K37" s="1047" t="s">
        <v>39</v>
      </c>
      <c r="L37" s="1042" t="s">
        <v>281</v>
      </c>
      <c r="M37" s="1042" t="s">
        <v>283</v>
      </c>
      <c r="N37" s="1050">
        <v>45371</v>
      </c>
    </row>
    <row r="38" spans="1:14">
      <c r="A38" s="1042" t="s">
        <v>231</v>
      </c>
      <c r="B38" s="1042" t="s">
        <v>236</v>
      </c>
      <c r="C38" s="1042" t="s">
        <v>240</v>
      </c>
      <c r="D38" s="1042" t="s">
        <v>178</v>
      </c>
      <c r="E38" s="1047" t="s">
        <v>144</v>
      </c>
      <c r="F38" s="1047" t="s">
        <v>39</v>
      </c>
      <c r="G38" s="1047" t="s">
        <v>39</v>
      </c>
      <c r="H38" s="1047">
        <v>52</v>
      </c>
      <c r="I38" s="1047">
        <v>2020</v>
      </c>
      <c r="J38" s="1047" t="s">
        <v>233</v>
      </c>
      <c r="K38" s="1047" t="s">
        <v>39</v>
      </c>
      <c r="L38" s="1042" t="s">
        <v>281</v>
      </c>
      <c r="M38" s="1042" t="s">
        <v>284</v>
      </c>
      <c r="N38" s="1050">
        <v>45371</v>
      </c>
    </row>
    <row r="39" spans="1:14">
      <c r="A39" s="1042" t="s">
        <v>231</v>
      </c>
      <c r="B39" s="1042" t="s">
        <v>236</v>
      </c>
      <c r="C39" s="1042" t="s">
        <v>240</v>
      </c>
      <c r="D39" s="1042" t="s">
        <v>179</v>
      </c>
      <c r="E39" s="1047" t="s">
        <v>144</v>
      </c>
      <c r="F39" s="1047" t="s">
        <v>39</v>
      </c>
      <c r="G39" s="1047" t="s">
        <v>39</v>
      </c>
      <c r="H39" s="1047">
        <v>231</v>
      </c>
      <c r="I39" s="1047">
        <v>2020</v>
      </c>
      <c r="J39" s="1047" t="s">
        <v>233</v>
      </c>
      <c r="K39" s="1047" t="s">
        <v>39</v>
      </c>
      <c r="L39" s="1042" t="s">
        <v>281</v>
      </c>
      <c r="M39" s="1042" t="s">
        <v>284</v>
      </c>
      <c r="N39" s="1050">
        <v>45371</v>
      </c>
    </row>
    <row r="40" spans="1:14">
      <c r="A40" s="1042" t="s">
        <v>231</v>
      </c>
      <c r="B40" s="1042" t="s">
        <v>236</v>
      </c>
      <c r="C40" s="1042" t="s">
        <v>240</v>
      </c>
      <c r="D40" s="1042" t="s">
        <v>179</v>
      </c>
      <c r="E40" s="1047" t="s">
        <v>61</v>
      </c>
      <c r="F40" s="1047" t="s">
        <v>39</v>
      </c>
      <c r="G40" s="1047" t="s">
        <v>39</v>
      </c>
      <c r="H40" s="1047">
        <v>519</v>
      </c>
      <c r="I40" s="1047">
        <v>2020</v>
      </c>
      <c r="J40" s="1047" t="s">
        <v>233</v>
      </c>
      <c r="K40" s="1047" t="s">
        <v>39</v>
      </c>
      <c r="L40" s="1042" t="s">
        <v>281</v>
      </c>
      <c r="M40" s="1042" t="s">
        <v>284</v>
      </c>
      <c r="N40" s="1050">
        <v>45371</v>
      </c>
    </row>
    <row r="41" spans="1:14">
      <c r="A41" s="1042" t="s">
        <v>231</v>
      </c>
      <c r="B41" s="1042" t="s">
        <v>248</v>
      </c>
      <c r="C41" s="1042" t="s">
        <v>237</v>
      </c>
      <c r="D41" s="1042" t="s">
        <v>186</v>
      </c>
      <c r="E41" s="1047" t="s">
        <v>144</v>
      </c>
      <c r="F41" s="1047" t="s">
        <v>39</v>
      </c>
      <c r="G41" s="1047" t="s">
        <v>39</v>
      </c>
      <c r="H41" s="1047">
        <v>8</v>
      </c>
      <c r="I41" s="1047">
        <v>2020</v>
      </c>
      <c r="J41" s="1047" t="s">
        <v>233</v>
      </c>
      <c r="K41" s="1047" t="s">
        <v>39</v>
      </c>
      <c r="L41" s="1042" t="s">
        <v>281</v>
      </c>
      <c r="M41" s="1042" t="s">
        <v>290</v>
      </c>
      <c r="N41" s="1050">
        <v>45371</v>
      </c>
    </row>
    <row r="42" spans="1:14">
      <c r="A42" s="1042" t="s">
        <v>231</v>
      </c>
      <c r="B42" s="1042" t="s">
        <v>248</v>
      </c>
      <c r="C42" s="1042" t="s">
        <v>237</v>
      </c>
      <c r="D42" s="1042" t="s">
        <v>186</v>
      </c>
      <c r="E42" s="1047" t="s">
        <v>37</v>
      </c>
      <c r="F42" s="1047" t="s">
        <v>39</v>
      </c>
      <c r="G42" s="1047" t="s">
        <v>39</v>
      </c>
      <c r="H42" s="1047">
        <v>8</v>
      </c>
      <c r="I42" s="1047">
        <v>2020</v>
      </c>
      <c r="J42" s="1047" t="s">
        <v>233</v>
      </c>
      <c r="K42" s="1047" t="s">
        <v>39</v>
      </c>
      <c r="L42" s="1042" t="s">
        <v>281</v>
      </c>
      <c r="M42" s="1042" t="s">
        <v>290</v>
      </c>
      <c r="N42" s="1050">
        <v>45371</v>
      </c>
    </row>
    <row r="43" spans="1:14">
      <c r="A43" s="1042" t="s">
        <v>231</v>
      </c>
      <c r="B43" s="1042" t="s">
        <v>248</v>
      </c>
      <c r="C43" s="1042" t="s">
        <v>238</v>
      </c>
      <c r="D43" s="1042" t="s">
        <v>187</v>
      </c>
      <c r="E43" s="1047" t="s">
        <v>144</v>
      </c>
      <c r="F43" s="1047" t="s">
        <v>39</v>
      </c>
      <c r="G43" s="1047" t="s">
        <v>39</v>
      </c>
      <c r="H43" s="1047">
        <v>25</v>
      </c>
      <c r="I43" s="1047">
        <v>2020</v>
      </c>
      <c r="J43" s="1047" t="s">
        <v>233</v>
      </c>
      <c r="K43" s="1047" t="s">
        <v>39</v>
      </c>
      <c r="L43" s="1042" t="s">
        <v>281</v>
      </c>
      <c r="M43" s="1042" t="s">
        <v>291</v>
      </c>
      <c r="N43" s="1050">
        <v>45371</v>
      </c>
    </row>
    <row r="44" spans="1:14">
      <c r="A44" s="1042" t="s">
        <v>231</v>
      </c>
      <c r="B44" s="1042" t="s">
        <v>248</v>
      </c>
      <c r="C44" s="1042" t="s">
        <v>238</v>
      </c>
      <c r="D44" s="1042" t="s">
        <v>187</v>
      </c>
      <c r="E44" s="1047" t="s">
        <v>75</v>
      </c>
      <c r="F44" s="1047" t="s">
        <v>39</v>
      </c>
      <c r="G44" s="1047" t="s">
        <v>39</v>
      </c>
      <c r="H44" s="1047">
        <v>25</v>
      </c>
      <c r="I44" s="1047">
        <v>2020</v>
      </c>
      <c r="J44" s="1047" t="s">
        <v>233</v>
      </c>
      <c r="K44" s="1047" t="s">
        <v>39</v>
      </c>
      <c r="L44" s="1042" t="s">
        <v>281</v>
      </c>
      <c r="M44" s="1042" t="s">
        <v>291</v>
      </c>
      <c r="N44" s="1050">
        <v>45371</v>
      </c>
    </row>
    <row r="45" spans="1:14">
      <c r="A45" s="1042" t="s">
        <v>231</v>
      </c>
      <c r="B45" s="1042" t="s">
        <v>241</v>
      </c>
      <c r="C45" s="1042" t="s">
        <v>242</v>
      </c>
      <c r="D45" s="1042" t="s">
        <v>180</v>
      </c>
      <c r="E45" s="1047" t="s">
        <v>144</v>
      </c>
      <c r="F45" s="1047" t="s">
        <v>39</v>
      </c>
      <c r="G45" s="1047" t="s">
        <v>39</v>
      </c>
      <c r="H45" s="1047">
        <v>0</v>
      </c>
      <c r="I45" s="1047">
        <v>2020</v>
      </c>
      <c r="J45" s="1047" t="s">
        <v>233</v>
      </c>
      <c r="K45" s="1047" t="s">
        <v>39</v>
      </c>
      <c r="L45" s="1042" t="s">
        <v>281</v>
      </c>
      <c r="M45" s="1042" t="s">
        <v>286</v>
      </c>
      <c r="N45" s="1050">
        <v>45371</v>
      </c>
    </row>
    <row r="46" spans="1:14">
      <c r="A46" s="1042" t="s">
        <v>231</v>
      </c>
      <c r="B46" s="1042" t="s">
        <v>241</v>
      </c>
      <c r="C46" s="1042" t="s">
        <v>243</v>
      </c>
      <c r="D46" s="1042" t="s">
        <v>181</v>
      </c>
      <c r="E46" s="1047" t="s">
        <v>144</v>
      </c>
      <c r="F46" s="1047" t="s">
        <v>39</v>
      </c>
      <c r="G46" s="1047" t="s">
        <v>39</v>
      </c>
      <c r="H46" s="1047">
        <v>309</v>
      </c>
      <c r="I46" s="1047">
        <v>2020</v>
      </c>
      <c r="J46" s="1047" t="s">
        <v>233</v>
      </c>
      <c r="K46" s="1047" t="s">
        <v>39</v>
      </c>
      <c r="L46" s="1042" t="s">
        <v>281</v>
      </c>
      <c r="M46" s="1042" t="s">
        <v>287</v>
      </c>
      <c r="N46" s="1050">
        <v>45371</v>
      </c>
    </row>
    <row r="47" spans="1:14">
      <c r="A47" s="1042" t="s">
        <v>231</v>
      </c>
      <c r="B47" s="1042" t="s">
        <v>241</v>
      </c>
      <c r="C47" s="1042" t="s">
        <v>244</v>
      </c>
      <c r="D47" s="1042" t="s">
        <v>182</v>
      </c>
      <c r="E47" s="1047" t="s">
        <v>144</v>
      </c>
      <c r="F47" s="1047" t="s">
        <v>39</v>
      </c>
      <c r="G47" s="1047" t="s">
        <v>39</v>
      </c>
      <c r="H47" s="1047">
        <v>628</v>
      </c>
      <c r="I47" s="1047">
        <v>2020</v>
      </c>
      <c r="J47" s="1047" t="s">
        <v>233</v>
      </c>
      <c r="K47" s="1047" t="s">
        <v>39</v>
      </c>
      <c r="L47" s="1042" t="s">
        <v>281</v>
      </c>
      <c r="M47" s="1042" t="s">
        <v>287</v>
      </c>
      <c r="N47" s="1050">
        <v>45371</v>
      </c>
    </row>
    <row r="48" spans="1:14">
      <c r="A48" s="1042" t="s">
        <v>231</v>
      </c>
      <c r="B48" s="1042" t="s">
        <v>241</v>
      </c>
      <c r="C48" s="1042" t="s">
        <v>249</v>
      </c>
      <c r="D48" s="1042" t="s">
        <v>188</v>
      </c>
      <c r="E48" s="1047" t="s">
        <v>144</v>
      </c>
      <c r="F48" s="1047" t="s">
        <v>39</v>
      </c>
      <c r="G48" s="1047" t="s">
        <v>39</v>
      </c>
      <c r="H48" s="1047">
        <v>61</v>
      </c>
      <c r="I48" s="1047">
        <v>2020</v>
      </c>
      <c r="J48" s="1047" t="s">
        <v>233</v>
      </c>
      <c r="K48" s="1047" t="s">
        <v>39</v>
      </c>
      <c r="L48" s="1042" t="s">
        <v>281</v>
      </c>
      <c r="M48" s="1042" t="s">
        <v>292</v>
      </c>
      <c r="N48" s="1050">
        <v>45371</v>
      </c>
    </row>
    <row r="49" spans="1:14">
      <c r="A49" s="1042" t="s">
        <v>231</v>
      </c>
      <c r="B49" s="1042" t="s">
        <v>241</v>
      </c>
      <c r="C49" s="1042" t="s">
        <v>249</v>
      </c>
      <c r="D49" s="1042" t="s">
        <v>188</v>
      </c>
      <c r="E49" s="1047" t="s">
        <v>92</v>
      </c>
      <c r="F49" s="1047" t="s">
        <v>39</v>
      </c>
      <c r="G49" s="1047" t="s">
        <v>39</v>
      </c>
      <c r="H49" s="1047">
        <v>61</v>
      </c>
      <c r="I49" s="1047">
        <v>2020</v>
      </c>
      <c r="J49" s="1047" t="s">
        <v>233</v>
      </c>
      <c r="K49" s="1047" t="s">
        <v>39</v>
      </c>
      <c r="L49" s="1042" t="s">
        <v>281</v>
      </c>
      <c r="M49" s="1042" t="s">
        <v>292</v>
      </c>
      <c r="N49" s="1050">
        <v>45371</v>
      </c>
    </row>
    <row r="50" spans="1:14">
      <c r="A50" s="1042" t="s">
        <v>231</v>
      </c>
      <c r="B50" s="1042" t="s">
        <v>241</v>
      </c>
      <c r="C50" s="1042" t="s">
        <v>245</v>
      </c>
      <c r="D50" s="1042" t="s">
        <v>183</v>
      </c>
      <c r="E50" s="1047" t="s">
        <v>144</v>
      </c>
      <c r="F50" s="1047" t="s">
        <v>39</v>
      </c>
      <c r="G50" s="1047" t="s">
        <v>39</v>
      </c>
      <c r="H50" s="1047">
        <v>122</v>
      </c>
      <c r="I50" s="1047">
        <v>2020</v>
      </c>
      <c r="J50" s="1047" t="s">
        <v>233</v>
      </c>
      <c r="K50" s="1047" t="s">
        <v>39</v>
      </c>
      <c r="L50" s="1042" t="s">
        <v>281</v>
      </c>
      <c r="M50" s="1042" t="s">
        <v>288</v>
      </c>
      <c r="N50" s="1050">
        <v>45371</v>
      </c>
    </row>
    <row r="51" spans="1:14">
      <c r="A51" s="1042" t="s">
        <v>231</v>
      </c>
      <c r="B51" s="1042" t="s">
        <v>241</v>
      </c>
      <c r="C51" s="1042" t="s">
        <v>246</v>
      </c>
      <c r="D51" s="1042" t="s">
        <v>184</v>
      </c>
      <c r="E51" s="1047" t="s">
        <v>144</v>
      </c>
      <c r="F51" s="1047" t="s">
        <v>39</v>
      </c>
      <c r="G51" s="1047" t="s">
        <v>39</v>
      </c>
      <c r="H51" s="1047">
        <v>27</v>
      </c>
      <c r="I51" s="1047">
        <v>2020</v>
      </c>
      <c r="J51" s="1047" t="s">
        <v>233</v>
      </c>
      <c r="K51" s="1047" t="s">
        <v>39</v>
      </c>
      <c r="L51" s="1042" t="s">
        <v>281</v>
      </c>
      <c r="M51" s="1042" t="s">
        <v>289</v>
      </c>
      <c r="N51" s="1050">
        <v>45371</v>
      </c>
    </row>
    <row r="52" spans="1:14">
      <c r="A52" s="1042" t="s">
        <v>231</v>
      </c>
      <c r="B52" s="1042" t="s">
        <v>232</v>
      </c>
      <c r="C52" s="1042" t="s">
        <v>234</v>
      </c>
      <c r="D52" s="1049" t="s">
        <v>173</v>
      </c>
      <c r="E52" s="1047" t="s">
        <v>144</v>
      </c>
      <c r="F52" s="1047" t="s">
        <v>39</v>
      </c>
      <c r="G52" s="1047" t="s">
        <v>39</v>
      </c>
      <c r="H52" s="1048">
        <v>5515539909</v>
      </c>
      <c r="I52" s="1047">
        <v>2021</v>
      </c>
      <c r="J52" s="1047" t="s">
        <v>233</v>
      </c>
      <c r="K52" s="1047" t="s">
        <v>39</v>
      </c>
      <c r="L52" s="1042" t="s">
        <v>281</v>
      </c>
      <c r="M52" s="1042" t="s">
        <v>283</v>
      </c>
      <c r="N52" s="1050">
        <v>45371</v>
      </c>
    </row>
    <row r="53" spans="1:14">
      <c r="A53" s="1042" t="s">
        <v>231</v>
      </c>
      <c r="B53" s="1042" t="s">
        <v>232</v>
      </c>
      <c r="C53" s="1042" t="s">
        <v>235</v>
      </c>
      <c r="D53" s="1049" t="s">
        <v>174</v>
      </c>
      <c r="E53" s="1047" t="s">
        <v>144</v>
      </c>
      <c r="F53" s="1047" t="s">
        <v>39</v>
      </c>
      <c r="G53" s="1047" t="s">
        <v>39</v>
      </c>
      <c r="H53" s="1048">
        <v>15331195420</v>
      </c>
      <c r="I53" s="1047">
        <v>2021</v>
      </c>
      <c r="J53" s="1047" t="s">
        <v>233</v>
      </c>
      <c r="K53" s="1047" t="s">
        <v>39</v>
      </c>
      <c r="L53" s="1042" t="s">
        <v>281</v>
      </c>
      <c r="M53" s="1042" t="s">
        <v>283</v>
      </c>
      <c r="N53" s="1050">
        <v>45371</v>
      </c>
    </row>
    <row r="54" spans="1:14">
      <c r="A54" s="1042" t="s">
        <v>231</v>
      </c>
      <c r="B54" s="1042" t="s">
        <v>236</v>
      </c>
      <c r="C54" s="1042" t="s">
        <v>237</v>
      </c>
      <c r="D54" s="1049" t="s">
        <v>175</v>
      </c>
      <c r="E54" s="1047" t="s">
        <v>144</v>
      </c>
      <c r="F54" s="1047" t="s">
        <v>39</v>
      </c>
      <c r="G54" s="1047" t="s">
        <v>39</v>
      </c>
      <c r="H54" s="1047">
        <v>749</v>
      </c>
      <c r="I54" s="1047">
        <v>2021</v>
      </c>
      <c r="J54" s="1047" t="s">
        <v>233</v>
      </c>
      <c r="K54" s="1047" t="s">
        <v>39</v>
      </c>
      <c r="L54" s="1042" t="s">
        <v>281</v>
      </c>
      <c r="M54" s="1042" t="s">
        <v>284</v>
      </c>
      <c r="N54" s="1050">
        <v>45371</v>
      </c>
    </row>
    <row r="55" spans="1:14">
      <c r="A55" s="1042" t="s">
        <v>231</v>
      </c>
      <c r="B55" s="1042" t="s">
        <v>236</v>
      </c>
      <c r="C55" s="1042" t="s">
        <v>237</v>
      </c>
      <c r="D55" s="1049" t="s">
        <v>175</v>
      </c>
      <c r="E55" s="1047" t="s">
        <v>37</v>
      </c>
      <c r="F55" s="1047" t="s">
        <v>39</v>
      </c>
      <c r="G55" s="1047" t="s">
        <v>39</v>
      </c>
      <c r="H55" s="1047">
        <v>800</v>
      </c>
      <c r="I55" s="1047">
        <v>2021</v>
      </c>
      <c r="J55" s="1047" t="s">
        <v>233</v>
      </c>
      <c r="K55" s="1047" t="s">
        <v>39</v>
      </c>
      <c r="L55" s="1042" t="s">
        <v>281</v>
      </c>
      <c r="M55" s="1042" t="s">
        <v>284</v>
      </c>
      <c r="N55" s="1050">
        <v>45371</v>
      </c>
    </row>
    <row r="56" spans="1:14">
      <c r="A56" s="1042" t="s">
        <v>231</v>
      </c>
      <c r="B56" s="1042" t="s">
        <v>236</v>
      </c>
      <c r="C56" s="1042" t="s">
        <v>237</v>
      </c>
      <c r="D56" s="1049" t="s">
        <v>175</v>
      </c>
      <c r="E56" s="1047" t="s">
        <v>40</v>
      </c>
      <c r="F56" s="1047" t="s">
        <v>39</v>
      </c>
      <c r="G56" s="1047" t="s">
        <v>39</v>
      </c>
      <c r="H56" s="1047">
        <v>83</v>
      </c>
      <c r="I56" s="1047">
        <v>2021</v>
      </c>
      <c r="J56" s="1047" t="s">
        <v>233</v>
      </c>
      <c r="K56" s="1047" t="s">
        <v>39</v>
      </c>
      <c r="L56" s="1042" t="s">
        <v>281</v>
      </c>
      <c r="M56" s="1042" t="s">
        <v>284</v>
      </c>
      <c r="N56" s="1050">
        <v>45371</v>
      </c>
    </row>
    <row r="57" spans="1:14">
      <c r="A57" s="1042" t="s">
        <v>231</v>
      </c>
      <c r="B57" s="1042" t="s">
        <v>236</v>
      </c>
      <c r="C57" s="1042" t="s">
        <v>247</v>
      </c>
      <c r="D57" s="1042" t="s">
        <v>185</v>
      </c>
      <c r="E57" s="1047" t="s">
        <v>144</v>
      </c>
      <c r="F57" s="1047" t="s">
        <v>39</v>
      </c>
      <c r="G57" s="1047" t="s">
        <v>39</v>
      </c>
      <c r="H57" s="1047">
        <v>245.5</v>
      </c>
      <c r="I57" s="1047">
        <v>2021</v>
      </c>
      <c r="J57" s="1047" t="s">
        <v>233</v>
      </c>
      <c r="K57" s="1047" t="s">
        <v>39</v>
      </c>
      <c r="L57" s="1042" t="s">
        <v>281</v>
      </c>
      <c r="M57" s="1042" t="s">
        <v>285</v>
      </c>
      <c r="N57" s="1050">
        <v>45371</v>
      </c>
    </row>
    <row r="58" spans="1:14">
      <c r="A58" s="1042" t="s">
        <v>231</v>
      </c>
      <c r="B58" s="1042" t="s">
        <v>236</v>
      </c>
      <c r="C58" s="1042" t="s">
        <v>247</v>
      </c>
      <c r="D58" s="1042" t="s">
        <v>185</v>
      </c>
      <c r="E58" s="1047" t="s">
        <v>43</v>
      </c>
      <c r="F58" s="1047" t="s">
        <v>39</v>
      </c>
      <c r="G58" s="1047" t="s">
        <v>39</v>
      </c>
      <c r="H58" s="1047">
        <v>37.700000000000003</v>
      </c>
      <c r="I58" s="1047">
        <v>2021</v>
      </c>
      <c r="J58" s="1047" t="s">
        <v>233</v>
      </c>
      <c r="K58" s="1047" t="s">
        <v>39</v>
      </c>
      <c r="L58" s="1042" t="s">
        <v>281</v>
      </c>
      <c r="M58" s="1042" t="s">
        <v>285</v>
      </c>
      <c r="N58" s="1050">
        <v>45371</v>
      </c>
    </row>
    <row r="59" spans="1:14">
      <c r="A59" s="1042" t="s">
        <v>231</v>
      </c>
      <c r="B59" s="1042" t="s">
        <v>236</v>
      </c>
      <c r="C59" s="1042" t="s">
        <v>247</v>
      </c>
      <c r="D59" s="1042" t="s">
        <v>185</v>
      </c>
      <c r="E59" s="1047" t="s">
        <v>45</v>
      </c>
      <c r="F59" s="1047" t="s">
        <v>39</v>
      </c>
      <c r="G59" s="1047" t="s">
        <v>39</v>
      </c>
      <c r="H59" s="1047">
        <v>207.79999999999998</v>
      </c>
      <c r="I59" s="1047">
        <v>2021</v>
      </c>
      <c r="J59" s="1047" t="s">
        <v>233</v>
      </c>
      <c r="K59" s="1047" t="s">
        <v>39</v>
      </c>
      <c r="L59" s="1042" t="s">
        <v>281</v>
      </c>
      <c r="M59" s="1042" t="s">
        <v>285</v>
      </c>
      <c r="N59" s="1050">
        <v>45371</v>
      </c>
    </row>
    <row r="60" spans="1:14">
      <c r="A60" s="1042" t="s">
        <v>231</v>
      </c>
      <c r="B60" s="1042" t="s">
        <v>236</v>
      </c>
      <c r="C60" s="1042" t="s">
        <v>238</v>
      </c>
      <c r="D60" s="1049" t="s">
        <v>176</v>
      </c>
      <c r="E60" s="1047" t="s">
        <v>144</v>
      </c>
      <c r="F60" s="1047" t="s">
        <v>39</v>
      </c>
      <c r="G60" s="1047" t="s">
        <v>39</v>
      </c>
      <c r="H60" s="1047">
        <v>408.5</v>
      </c>
      <c r="I60" s="1047">
        <v>2021</v>
      </c>
      <c r="J60" s="1047" t="s">
        <v>233</v>
      </c>
      <c r="K60" s="1047" t="s">
        <v>39</v>
      </c>
      <c r="L60" s="1042" t="s">
        <v>281</v>
      </c>
      <c r="M60" s="1042" t="s">
        <v>285</v>
      </c>
      <c r="N60" s="1050">
        <v>45371</v>
      </c>
    </row>
    <row r="61" spans="1:14">
      <c r="A61" s="1042" t="s">
        <v>231</v>
      </c>
      <c r="B61" s="1042" t="s">
        <v>236</v>
      </c>
      <c r="C61" s="1042" t="s">
        <v>238</v>
      </c>
      <c r="D61" s="1042" t="s">
        <v>176</v>
      </c>
      <c r="E61" s="1047" t="s">
        <v>46</v>
      </c>
      <c r="F61" s="1047" t="s">
        <v>39</v>
      </c>
      <c r="G61" s="1047" t="s">
        <v>39</v>
      </c>
      <c r="H61" s="1047">
        <v>238.5</v>
      </c>
      <c r="I61" s="1047">
        <v>2021</v>
      </c>
      <c r="J61" s="1047" t="s">
        <v>233</v>
      </c>
      <c r="K61" s="1047" t="s">
        <v>39</v>
      </c>
      <c r="L61" s="1042" t="s">
        <v>281</v>
      </c>
      <c r="M61" s="1042" t="s">
        <v>285</v>
      </c>
      <c r="N61" s="1050">
        <v>45371</v>
      </c>
    </row>
    <row r="62" spans="1:14">
      <c r="A62" s="1042" t="s">
        <v>231</v>
      </c>
      <c r="B62" s="1042" t="s">
        <v>236</v>
      </c>
      <c r="C62" s="1042" t="s">
        <v>238</v>
      </c>
      <c r="D62" s="1042" t="s">
        <v>176</v>
      </c>
      <c r="E62" s="1047" t="s">
        <v>50</v>
      </c>
      <c r="F62" s="1047" t="s">
        <v>39</v>
      </c>
      <c r="G62" s="1047" t="s">
        <v>39</v>
      </c>
      <c r="H62" s="1047">
        <v>170</v>
      </c>
      <c r="I62" s="1047">
        <v>2021</v>
      </c>
      <c r="J62" s="1047" t="s">
        <v>233</v>
      </c>
      <c r="K62" s="1047" t="s">
        <v>39</v>
      </c>
      <c r="L62" s="1042" t="s">
        <v>281</v>
      </c>
      <c r="M62" s="1042" t="s">
        <v>285</v>
      </c>
      <c r="N62" s="1050">
        <v>45371</v>
      </c>
    </row>
    <row r="63" spans="1:14">
      <c r="A63" s="1042" t="s">
        <v>231</v>
      </c>
      <c r="B63" s="1042" t="s">
        <v>236</v>
      </c>
      <c r="C63" s="1042" t="s">
        <v>239</v>
      </c>
      <c r="D63" s="1042" t="s">
        <v>177</v>
      </c>
      <c r="E63" s="1047" t="s">
        <v>144</v>
      </c>
      <c r="F63" s="1047" t="s">
        <v>39</v>
      </c>
      <c r="G63" s="1047" t="s">
        <v>39</v>
      </c>
      <c r="H63" s="1047">
        <v>2908574186</v>
      </c>
      <c r="I63" s="1047">
        <v>2021</v>
      </c>
      <c r="J63" s="1047" t="s">
        <v>233</v>
      </c>
      <c r="K63" s="1047" t="s">
        <v>39</v>
      </c>
      <c r="L63" s="1042" t="s">
        <v>281</v>
      </c>
      <c r="M63" s="1042" t="s">
        <v>283</v>
      </c>
      <c r="N63" s="1050">
        <v>45371</v>
      </c>
    </row>
    <row r="64" spans="1:14">
      <c r="A64" s="1042" t="s">
        <v>231</v>
      </c>
      <c r="B64" s="1042" t="s">
        <v>236</v>
      </c>
      <c r="C64" s="1042" t="s">
        <v>239</v>
      </c>
      <c r="D64" s="1042" t="s">
        <v>177</v>
      </c>
      <c r="E64" s="1047" t="s">
        <v>55</v>
      </c>
      <c r="F64" s="1047" t="s">
        <v>39</v>
      </c>
      <c r="G64" s="1047" t="s">
        <v>39</v>
      </c>
      <c r="H64" s="1047">
        <v>929050127</v>
      </c>
      <c r="I64" s="1047">
        <v>2021</v>
      </c>
      <c r="J64" s="1047" t="s">
        <v>233</v>
      </c>
      <c r="K64" s="1047" t="s">
        <v>39</v>
      </c>
      <c r="L64" s="1042" t="s">
        <v>281</v>
      </c>
      <c r="M64" s="1042" t="s">
        <v>283</v>
      </c>
      <c r="N64" s="1050">
        <v>45371</v>
      </c>
    </row>
    <row r="65" spans="1:14">
      <c r="A65" s="1042" t="s">
        <v>231</v>
      </c>
      <c r="B65" s="1042" t="s">
        <v>236</v>
      </c>
      <c r="C65" s="1042" t="s">
        <v>239</v>
      </c>
      <c r="D65" s="1042" t="s">
        <v>177</v>
      </c>
      <c r="E65" s="1047" t="s">
        <v>44</v>
      </c>
      <c r="F65" s="1047" t="s">
        <v>39</v>
      </c>
      <c r="G65" s="1047" t="s">
        <v>39</v>
      </c>
      <c r="H65" s="1047">
        <v>164627122</v>
      </c>
      <c r="I65" s="1047">
        <v>2021</v>
      </c>
      <c r="J65" s="1047" t="s">
        <v>233</v>
      </c>
      <c r="K65" s="1047" t="s">
        <v>39</v>
      </c>
      <c r="L65" s="1042" t="s">
        <v>281</v>
      </c>
      <c r="M65" s="1042" t="s">
        <v>283</v>
      </c>
      <c r="N65" s="1050">
        <v>45371</v>
      </c>
    </row>
    <row r="66" spans="1:14">
      <c r="A66" s="1042" t="s">
        <v>231</v>
      </c>
      <c r="B66" s="1042" t="s">
        <v>236</v>
      </c>
      <c r="C66" s="1042" t="s">
        <v>239</v>
      </c>
      <c r="D66" s="1042" t="s">
        <v>177</v>
      </c>
      <c r="E66" s="1047" t="s">
        <v>45</v>
      </c>
      <c r="F66" s="1047" t="s">
        <v>39</v>
      </c>
      <c r="G66" s="1047" t="s">
        <v>39</v>
      </c>
      <c r="H66" s="1047">
        <v>1384163146</v>
      </c>
      <c r="I66" s="1047">
        <v>2021</v>
      </c>
      <c r="J66" s="1047" t="s">
        <v>233</v>
      </c>
      <c r="K66" s="1047" t="s">
        <v>39</v>
      </c>
      <c r="L66" s="1042" t="s">
        <v>281</v>
      </c>
      <c r="M66" s="1042" t="s">
        <v>283</v>
      </c>
      <c r="N66" s="1050">
        <v>45371</v>
      </c>
    </row>
    <row r="67" spans="1:14">
      <c r="A67" s="1042" t="s">
        <v>231</v>
      </c>
      <c r="B67" s="1042" t="s">
        <v>236</v>
      </c>
      <c r="C67" s="1042" t="s">
        <v>239</v>
      </c>
      <c r="D67" s="1042" t="s">
        <v>177</v>
      </c>
      <c r="E67" s="1047" t="s">
        <v>56</v>
      </c>
      <c r="F67" s="1047" t="s">
        <v>39</v>
      </c>
      <c r="G67" s="1047" t="s">
        <v>39</v>
      </c>
      <c r="H67" s="1047">
        <v>430733791</v>
      </c>
      <c r="I67" s="1047">
        <v>2021</v>
      </c>
      <c r="J67" s="1047" t="s">
        <v>233</v>
      </c>
      <c r="K67" s="1047" t="s">
        <v>39</v>
      </c>
      <c r="L67" s="1042" t="s">
        <v>281</v>
      </c>
      <c r="M67" s="1042" t="s">
        <v>283</v>
      </c>
      <c r="N67" s="1050">
        <v>45371</v>
      </c>
    </row>
    <row r="68" spans="1:14">
      <c r="A68" s="1042" t="s">
        <v>231</v>
      </c>
      <c r="B68" s="1042" t="s">
        <v>236</v>
      </c>
      <c r="C68" s="1042" t="s">
        <v>240</v>
      </c>
      <c r="D68" s="1042" t="s">
        <v>178</v>
      </c>
      <c r="E68" s="1047" t="s">
        <v>144</v>
      </c>
      <c r="F68" s="1047" t="s">
        <v>39</v>
      </c>
      <c r="G68" s="1047" t="s">
        <v>39</v>
      </c>
      <c r="H68" s="1047">
        <v>603</v>
      </c>
      <c r="I68" s="1047">
        <v>2021</v>
      </c>
      <c r="J68" s="1047" t="s">
        <v>233</v>
      </c>
      <c r="K68" s="1047" t="s">
        <v>39</v>
      </c>
      <c r="L68" s="1042" t="s">
        <v>281</v>
      </c>
      <c r="M68" s="1042" t="s">
        <v>284</v>
      </c>
      <c r="N68" s="1050">
        <v>45371</v>
      </c>
    </row>
    <row r="69" spans="1:14">
      <c r="A69" s="1042" t="s">
        <v>231</v>
      </c>
      <c r="B69" s="1042" t="s">
        <v>236</v>
      </c>
      <c r="C69" s="1042" t="s">
        <v>240</v>
      </c>
      <c r="D69" s="1042" t="s">
        <v>179</v>
      </c>
      <c r="E69" s="1047" t="s">
        <v>144</v>
      </c>
      <c r="F69" s="1047" t="s">
        <v>39</v>
      </c>
      <c r="G69" s="1047" t="s">
        <v>39</v>
      </c>
      <c r="H69" s="1047">
        <v>362</v>
      </c>
      <c r="I69" s="1047">
        <v>2021</v>
      </c>
      <c r="J69" s="1047" t="s">
        <v>233</v>
      </c>
      <c r="K69" s="1047" t="s">
        <v>39</v>
      </c>
      <c r="L69" s="1042" t="s">
        <v>281</v>
      </c>
      <c r="M69" s="1042" t="s">
        <v>284</v>
      </c>
      <c r="N69" s="1050">
        <v>45371</v>
      </c>
    </row>
    <row r="70" spans="1:14">
      <c r="A70" s="1042" t="s">
        <v>231</v>
      </c>
      <c r="B70" s="1042" t="s">
        <v>236</v>
      </c>
      <c r="C70" s="1042" t="s">
        <v>240</v>
      </c>
      <c r="D70" s="1042" t="s">
        <v>179</v>
      </c>
      <c r="E70" s="1047" t="s">
        <v>61</v>
      </c>
      <c r="F70" s="1047" t="s">
        <v>39</v>
      </c>
      <c r="G70" s="1047" t="s">
        <v>39</v>
      </c>
      <c r="H70" s="1047">
        <v>731.1</v>
      </c>
      <c r="I70" s="1047">
        <v>2021</v>
      </c>
      <c r="J70" s="1047" t="s">
        <v>233</v>
      </c>
      <c r="K70" s="1047" t="s">
        <v>39</v>
      </c>
      <c r="L70" s="1042" t="s">
        <v>281</v>
      </c>
      <c r="M70" s="1042" t="s">
        <v>284</v>
      </c>
      <c r="N70" s="1050">
        <v>45371</v>
      </c>
    </row>
    <row r="71" spans="1:14">
      <c r="A71" s="1042" t="s">
        <v>231</v>
      </c>
      <c r="B71" s="1042" t="s">
        <v>248</v>
      </c>
      <c r="C71" s="1042" t="s">
        <v>237</v>
      </c>
      <c r="D71" s="1042" t="s">
        <v>186</v>
      </c>
      <c r="E71" s="1047" t="s">
        <v>144</v>
      </c>
      <c r="F71" s="1047" t="s">
        <v>39</v>
      </c>
      <c r="G71" s="1047" t="s">
        <v>39</v>
      </c>
      <c r="H71" s="1047">
        <v>4</v>
      </c>
      <c r="I71" s="1047">
        <v>2021</v>
      </c>
      <c r="J71" s="1047" t="s">
        <v>233</v>
      </c>
      <c r="K71" s="1047" t="s">
        <v>39</v>
      </c>
      <c r="L71" s="1042" t="s">
        <v>281</v>
      </c>
      <c r="M71" s="1042" t="s">
        <v>290</v>
      </c>
      <c r="N71" s="1050">
        <v>45371</v>
      </c>
    </row>
    <row r="72" spans="1:14">
      <c r="A72" s="1042" t="s">
        <v>231</v>
      </c>
      <c r="B72" s="1042" t="s">
        <v>248</v>
      </c>
      <c r="C72" s="1042" t="s">
        <v>237</v>
      </c>
      <c r="D72" s="1042" t="s">
        <v>186</v>
      </c>
      <c r="E72" s="1047" t="s">
        <v>37</v>
      </c>
      <c r="F72" s="1047" t="s">
        <v>39</v>
      </c>
      <c r="G72" s="1047" t="s">
        <v>39</v>
      </c>
      <c r="H72" s="1047">
        <v>3</v>
      </c>
      <c r="I72" s="1047">
        <v>2021</v>
      </c>
      <c r="J72" s="1047" t="s">
        <v>233</v>
      </c>
      <c r="K72" s="1047" t="s">
        <v>39</v>
      </c>
      <c r="L72" s="1042" t="s">
        <v>281</v>
      </c>
      <c r="M72" s="1042" t="s">
        <v>290</v>
      </c>
      <c r="N72" s="1050">
        <v>45371</v>
      </c>
    </row>
    <row r="73" spans="1:14">
      <c r="A73" s="1042" t="s">
        <v>231</v>
      </c>
      <c r="B73" s="1042" t="s">
        <v>248</v>
      </c>
      <c r="C73" s="1042" t="s">
        <v>237</v>
      </c>
      <c r="D73" s="1042" t="s">
        <v>186</v>
      </c>
      <c r="E73" s="1047" t="s">
        <v>40</v>
      </c>
      <c r="F73" s="1047" t="s">
        <v>39</v>
      </c>
      <c r="G73" s="1047" t="s">
        <v>39</v>
      </c>
      <c r="H73" s="1047">
        <v>1</v>
      </c>
      <c r="I73" s="1047">
        <v>2021</v>
      </c>
      <c r="J73" s="1047" t="s">
        <v>233</v>
      </c>
      <c r="K73" s="1047" t="s">
        <v>39</v>
      </c>
      <c r="L73" s="1042" t="s">
        <v>281</v>
      </c>
      <c r="M73" s="1042" t="s">
        <v>290</v>
      </c>
      <c r="N73" s="1050">
        <v>45371</v>
      </c>
    </row>
    <row r="74" spans="1:14">
      <c r="A74" s="1042" t="s">
        <v>231</v>
      </c>
      <c r="B74" s="1042" t="s">
        <v>248</v>
      </c>
      <c r="C74" s="1042" t="s">
        <v>238</v>
      </c>
      <c r="D74" s="1042" t="s">
        <v>187</v>
      </c>
      <c r="E74" s="1047" t="s">
        <v>144</v>
      </c>
      <c r="F74" s="1047" t="s">
        <v>39</v>
      </c>
      <c r="G74" s="1047" t="s">
        <v>39</v>
      </c>
      <c r="H74" s="1047">
        <v>42</v>
      </c>
      <c r="I74" s="1047">
        <v>2021</v>
      </c>
      <c r="J74" s="1047" t="s">
        <v>233</v>
      </c>
      <c r="K74" s="1047" t="s">
        <v>39</v>
      </c>
      <c r="L74" s="1042" t="s">
        <v>281</v>
      </c>
      <c r="M74" s="1042" t="s">
        <v>291</v>
      </c>
      <c r="N74" s="1050">
        <v>45371</v>
      </c>
    </row>
    <row r="75" spans="1:14">
      <c r="A75" s="1042" t="s">
        <v>231</v>
      </c>
      <c r="B75" s="1042" t="s">
        <v>248</v>
      </c>
      <c r="C75" s="1042" t="s">
        <v>238</v>
      </c>
      <c r="D75" s="1042" t="s">
        <v>187</v>
      </c>
      <c r="E75" s="1047" t="s">
        <v>75</v>
      </c>
      <c r="F75" s="1047" t="s">
        <v>39</v>
      </c>
      <c r="G75" s="1047" t="s">
        <v>39</v>
      </c>
      <c r="H75" s="1047">
        <v>24</v>
      </c>
      <c r="I75" s="1047">
        <v>2021</v>
      </c>
      <c r="J75" s="1047" t="s">
        <v>233</v>
      </c>
      <c r="K75" s="1047" t="s">
        <v>39</v>
      </c>
      <c r="L75" s="1042" t="s">
        <v>281</v>
      </c>
      <c r="M75" s="1042" t="s">
        <v>291</v>
      </c>
      <c r="N75" s="1050">
        <v>45371</v>
      </c>
    </row>
    <row r="76" spans="1:14">
      <c r="A76" s="1042" t="s">
        <v>231</v>
      </c>
      <c r="B76" s="1042" t="s">
        <v>248</v>
      </c>
      <c r="C76" s="1042" t="s">
        <v>238</v>
      </c>
      <c r="D76" s="1042" t="s">
        <v>187</v>
      </c>
      <c r="E76" s="1047" t="s">
        <v>76</v>
      </c>
      <c r="F76" s="1047" t="s">
        <v>39</v>
      </c>
      <c r="G76" s="1047" t="s">
        <v>39</v>
      </c>
      <c r="H76" s="1047">
        <v>18</v>
      </c>
      <c r="I76" s="1047">
        <v>2021</v>
      </c>
      <c r="J76" s="1047" t="s">
        <v>233</v>
      </c>
      <c r="K76" s="1047" t="s">
        <v>39</v>
      </c>
      <c r="L76" s="1042" t="s">
        <v>281</v>
      </c>
      <c r="M76" s="1042" t="s">
        <v>291</v>
      </c>
      <c r="N76" s="1050">
        <v>45371</v>
      </c>
    </row>
    <row r="77" spans="1:14">
      <c r="A77" s="1042" t="s">
        <v>231</v>
      </c>
      <c r="B77" s="1042" t="s">
        <v>241</v>
      </c>
      <c r="C77" s="1042" t="s">
        <v>242</v>
      </c>
      <c r="D77" s="1042" t="s">
        <v>180</v>
      </c>
      <c r="E77" s="1047" t="s">
        <v>144</v>
      </c>
      <c r="F77" s="1047" t="s">
        <v>39</v>
      </c>
      <c r="G77" s="1047" t="s">
        <v>39</v>
      </c>
      <c r="H77" s="1047">
        <v>54</v>
      </c>
      <c r="I77" s="1047">
        <v>2021</v>
      </c>
      <c r="J77" s="1047" t="s">
        <v>233</v>
      </c>
      <c r="K77" s="1047" t="s">
        <v>39</v>
      </c>
      <c r="L77" s="1042" t="s">
        <v>281</v>
      </c>
      <c r="M77" s="1042" t="s">
        <v>286</v>
      </c>
      <c r="N77" s="1050">
        <v>45371</v>
      </c>
    </row>
    <row r="78" spans="1:14">
      <c r="A78" s="1042" t="s">
        <v>231</v>
      </c>
      <c r="B78" s="1042" t="s">
        <v>241</v>
      </c>
      <c r="C78" s="1042" t="s">
        <v>243</v>
      </c>
      <c r="D78" s="1042" t="s">
        <v>181</v>
      </c>
      <c r="E78" s="1047" t="s">
        <v>144</v>
      </c>
      <c r="F78" s="1047" t="s">
        <v>39</v>
      </c>
      <c r="G78" s="1047" t="s">
        <v>39</v>
      </c>
      <c r="H78" s="1047">
        <v>314</v>
      </c>
      <c r="I78" s="1047">
        <v>2021</v>
      </c>
      <c r="J78" s="1047" t="s">
        <v>233</v>
      </c>
      <c r="K78" s="1047" t="s">
        <v>39</v>
      </c>
      <c r="L78" s="1042" t="s">
        <v>281</v>
      </c>
      <c r="M78" s="1042" t="s">
        <v>287</v>
      </c>
      <c r="N78" s="1050">
        <v>45371</v>
      </c>
    </row>
    <row r="79" spans="1:14">
      <c r="A79" s="1042" t="s">
        <v>231</v>
      </c>
      <c r="B79" s="1042" t="s">
        <v>241</v>
      </c>
      <c r="C79" s="1042" t="s">
        <v>244</v>
      </c>
      <c r="D79" s="1042" t="s">
        <v>182</v>
      </c>
      <c r="E79" s="1047" t="s">
        <v>144</v>
      </c>
      <c r="F79" s="1047" t="s">
        <v>39</v>
      </c>
      <c r="G79" s="1047" t="s">
        <v>39</v>
      </c>
      <c r="H79" s="1047">
        <v>666</v>
      </c>
      <c r="I79" s="1047">
        <v>2021</v>
      </c>
      <c r="J79" s="1047" t="s">
        <v>233</v>
      </c>
      <c r="K79" s="1047" t="s">
        <v>39</v>
      </c>
      <c r="L79" s="1042" t="s">
        <v>281</v>
      </c>
      <c r="M79" s="1042" t="s">
        <v>287</v>
      </c>
      <c r="N79" s="1050">
        <v>45371</v>
      </c>
    </row>
    <row r="80" spans="1:14">
      <c r="A80" s="1042" t="s">
        <v>231</v>
      </c>
      <c r="B80" s="1042" t="s">
        <v>241</v>
      </c>
      <c r="C80" s="1042" t="s">
        <v>249</v>
      </c>
      <c r="D80" s="1042" t="s">
        <v>188</v>
      </c>
      <c r="E80" s="1047" t="s">
        <v>144</v>
      </c>
      <c r="F80" s="1047" t="s">
        <v>39</v>
      </c>
      <c r="G80" s="1047" t="s">
        <v>39</v>
      </c>
      <c r="H80" s="1047">
        <v>109</v>
      </c>
      <c r="I80" s="1047">
        <v>2021</v>
      </c>
      <c r="J80" s="1047" t="s">
        <v>233</v>
      </c>
      <c r="K80" s="1047" t="s">
        <v>39</v>
      </c>
      <c r="L80" s="1042" t="s">
        <v>281</v>
      </c>
      <c r="M80" s="1042" t="s">
        <v>292</v>
      </c>
      <c r="N80" s="1050">
        <v>45371</v>
      </c>
    </row>
    <row r="81" spans="1:14">
      <c r="A81" s="1042" t="s">
        <v>231</v>
      </c>
      <c r="B81" s="1042" t="s">
        <v>241</v>
      </c>
      <c r="C81" s="1042" t="s">
        <v>249</v>
      </c>
      <c r="D81" s="1042" t="s">
        <v>188</v>
      </c>
      <c r="E81" s="1047" t="s">
        <v>92</v>
      </c>
      <c r="F81" s="1047" t="s">
        <v>39</v>
      </c>
      <c r="G81" s="1047" t="s">
        <v>39</v>
      </c>
      <c r="H81" s="1047">
        <v>109</v>
      </c>
      <c r="I81" s="1047">
        <v>2021</v>
      </c>
      <c r="J81" s="1047" t="s">
        <v>233</v>
      </c>
      <c r="K81" s="1047" t="s">
        <v>39</v>
      </c>
      <c r="L81" s="1042" t="s">
        <v>281</v>
      </c>
      <c r="M81" s="1042" t="s">
        <v>292</v>
      </c>
      <c r="N81" s="1050">
        <v>45371</v>
      </c>
    </row>
    <row r="82" spans="1:14">
      <c r="A82" s="1042" t="s">
        <v>231</v>
      </c>
      <c r="B82" s="1042" t="s">
        <v>241</v>
      </c>
      <c r="C82" s="1042" t="s">
        <v>245</v>
      </c>
      <c r="D82" s="1042" t="s">
        <v>183</v>
      </c>
      <c r="E82" s="1047" t="s">
        <v>144</v>
      </c>
      <c r="F82" s="1047" t="s">
        <v>39</v>
      </c>
      <c r="G82" s="1047" t="s">
        <v>39</v>
      </c>
      <c r="H82" s="1047">
        <v>53</v>
      </c>
      <c r="I82" s="1047">
        <v>2021</v>
      </c>
      <c r="J82" s="1047" t="s">
        <v>233</v>
      </c>
      <c r="K82" s="1047" t="s">
        <v>39</v>
      </c>
      <c r="L82" s="1042" t="s">
        <v>281</v>
      </c>
      <c r="M82" s="1042" t="s">
        <v>288</v>
      </c>
      <c r="N82" s="1050">
        <v>45371</v>
      </c>
    </row>
    <row r="83" spans="1:14">
      <c r="A83" s="1042" t="s">
        <v>231</v>
      </c>
      <c r="B83" s="1042" t="s">
        <v>241</v>
      </c>
      <c r="C83" s="1042" t="s">
        <v>246</v>
      </c>
      <c r="D83" s="1042" t="s">
        <v>184</v>
      </c>
      <c r="E83" s="1047" t="s">
        <v>144</v>
      </c>
      <c r="F83" s="1047" t="s">
        <v>39</v>
      </c>
      <c r="G83" s="1047" t="s">
        <v>39</v>
      </c>
      <c r="H83" s="1047">
        <v>26</v>
      </c>
      <c r="I83" s="1047">
        <v>2021</v>
      </c>
      <c r="J83" s="1047" t="s">
        <v>233</v>
      </c>
      <c r="K83" s="1047" t="s">
        <v>39</v>
      </c>
      <c r="L83" s="1042" t="s">
        <v>281</v>
      </c>
      <c r="M83" s="1042" t="s">
        <v>289</v>
      </c>
      <c r="N83" s="1050">
        <v>45371</v>
      </c>
    </row>
    <row r="84" spans="1:14">
      <c r="A84" s="1042" t="s">
        <v>231</v>
      </c>
      <c r="B84" s="1042" t="s">
        <v>241</v>
      </c>
      <c r="C84" s="1042" t="s">
        <v>250</v>
      </c>
      <c r="D84" s="1042" t="s">
        <v>189</v>
      </c>
      <c r="E84" s="1047" t="s">
        <v>144</v>
      </c>
      <c r="F84" s="1047" t="s">
        <v>39</v>
      </c>
      <c r="G84" s="1047" t="s">
        <v>39</v>
      </c>
      <c r="H84" s="1047">
        <v>621</v>
      </c>
      <c r="I84" s="1047">
        <v>2021</v>
      </c>
      <c r="J84" s="1047" t="s">
        <v>233</v>
      </c>
      <c r="K84" s="1047" t="s">
        <v>39</v>
      </c>
      <c r="L84" s="1042" t="s">
        <v>281</v>
      </c>
      <c r="M84" s="1042" t="s">
        <v>284</v>
      </c>
      <c r="N84" s="1050">
        <v>45371</v>
      </c>
    </row>
    <row r="85" spans="1:14">
      <c r="A85" s="1042" t="s">
        <v>231</v>
      </c>
      <c r="B85" s="1042" t="s">
        <v>241</v>
      </c>
      <c r="C85" s="1042" t="s">
        <v>250</v>
      </c>
      <c r="D85" s="1042" t="s">
        <v>189</v>
      </c>
      <c r="E85" s="1047" t="s">
        <v>92</v>
      </c>
      <c r="F85" s="1047" t="s">
        <v>39</v>
      </c>
      <c r="G85" s="1047" t="s">
        <v>39</v>
      </c>
      <c r="H85" s="1047">
        <v>525</v>
      </c>
      <c r="I85" s="1047">
        <v>2021</v>
      </c>
      <c r="J85" s="1047" t="s">
        <v>233</v>
      </c>
      <c r="K85" s="1047" t="s">
        <v>39</v>
      </c>
      <c r="L85" s="1042" t="s">
        <v>281</v>
      </c>
      <c r="M85" s="1042" t="s">
        <v>284</v>
      </c>
      <c r="N85" s="1050">
        <v>45371</v>
      </c>
    </row>
    <row r="86" spans="1:14">
      <c r="A86" s="1042" t="s">
        <v>231</v>
      </c>
      <c r="B86" s="1042" t="s">
        <v>241</v>
      </c>
      <c r="C86" s="1042" t="s">
        <v>250</v>
      </c>
      <c r="D86" s="1042" t="s">
        <v>189</v>
      </c>
      <c r="E86" s="1047" t="s">
        <v>46</v>
      </c>
      <c r="F86" s="1047" t="s">
        <v>39</v>
      </c>
      <c r="G86" s="1047" t="s">
        <v>39</v>
      </c>
      <c r="H86" s="1047">
        <v>96</v>
      </c>
      <c r="I86" s="1047">
        <v>2021</v>
      </c>
      <c r="J86" s="1047" t="s">
        <v>233</v>
      </c>
      <c r="K86" s="1047" t="s">
        <v>39</v>
      </c>
      <c r="L86" s="1042" t="s">
        <v>281</v>
      </c>
      <c r="M86" s="1042" t="s">
        <v>284</v>
      </c>
      <c r="N86" s="1050">
        <v>45371</v>
      </c>
    </row>
    <row r="87" spans="1:14">
      <c r="A87" s="1042" t="s">
        <v>231</v>
      </c>
      <c r="B87" s="1042" t="s">
        <v>232</v>
      </c>
      <c r="C87" s="1042" t="s">
        <v>234</v>
      </c>
      <c r="D87" s="1049" t="s">
        <v>173</v>
      </c>
      <c r="E87" s="1047" t="s">
        <v>144</v>
      </c>
      <c r="F87" s="1047" t="s">
        <v>39</v>
      </c>
      <c r="G87" s="1047" t="s">
        <v>39</v>
      </c>
      <c r="H87" s="1048">
        <v>5123416678</v>
      </c>
      <c r="I87" s="1047">
        <v>2022</v>
      </c>
      <c r="J87" s="1047" t="s">
        <v>233</v>
      </c>
      <c r="K87" s="1047" t="s">
        <v>39</v>
      </c>
      <c r="L87" s="1042" t="s">
        <v>281</v>
      </c>
      <c r="M87" s="1042" t="s">
        <v>283</v>
      </c>
      <c r="N87" s="1050">
        <v>45371</v>
      </c>
    </row>
    <row r="88" spans="1:14">
      <c r="A88" s="1042" t="s">
        <v>231</v>
      </c>
      <c r="B88" s="1042" t="s">
        <v>232</v>
      </c>
      <c r="C88" s="1042" t="s">
        <v>235</v>
      </c>
      <c r="D88" s="1049" t="s">
        <v>174</v>
      </c>
      <c r="E88" s="1047" t="s">
        <v>144</v>
      </c>
      <c r="F88" s="1047" t="s">
        <v>39</v>
      </c>
      <c r="G88" s="1047" t="s">
        <v>39</v>
      </c>
      <c r="H88" s="1048">
        <v>18561057154</v>
      </c>
      <c r="I88" s="1047">
        <v>2022</v>
      </c>
      <c r="J88" s="1047" t="s">
        <v>233</v>
      </c>
      <c r="K88" s="1047" t="s">
        <v>39</v>
      </c>
      <c r="L88" s="1042" t="s">
        <v>281</v>
      </c>
      <c r="M88" s="1042" t="s">
        <v>283</v>
      </c>
      <c r="N88" s="1050">
        <v>45371</v>
      </c>
    </row>
    <row r="89" spans="1:14">
      <c r="A89" s="1042" t="s">
        <v>231</v>
      </c>
      <c r="B89" s="1042" t="s">
        <v>236</v>
      </c>
      <c r="C89" s="1042" t="s">
        <v>237</v>
      </c>
      <c r="D89" s="1049" t="s">
        <v>175</v>
      </c>
      <c r="E89" s="1047" t="s">
        <v>144</v>
      </c>
      <c r="F89" s="1047" t="s">
        <v>39</v>
      </c>
      <c r="G89" s="1047" t="s">
        <v>39</v>
      </c>
      <c r="H89" s="1047">
        <v>1038</v>
      </c>
      <c r="I89" s="1047">
        <v>2022</v>
      </c>
      <c r="J89" s="1047" t="s">
        <v>233</v>
      </c>
      <c r="K89" s="1047" t="s">
        <v>39</v>
      </c>
      <c r="L89" s="1042" t="s">
        <v>281</v>
      </c>
      <c r="M89" s="1042" t="s">
        <v>284</v>
      </c>
      <c r="N89" s="1050">
        <v>45371</v>
      </c>
    </row>
    <row r="90" spans="1:14">
      <c r="A90" s="1042" t="s">
        <v>231</v>
      </c>
      <c r="B90" s="1042" t="s">
        <v>236</v>
      </c>
      <c r="C90" s="1042" t="s">
        <v>237</v>
      </c>
      <c r="D90" s="1049" t="s">
        <v>175</v>
      </c>
      <c r="E90" s="1047" t="s">
        <v>37</v>
      </c>
      <c r="F90" s="1047" t="s">
        <v>39</v>
      </c>
      <c r="G90" s="1047" t="s">
        <v>39</v>
      </c>
      <c r="H90" s="1047">
        <v>924</v>
      </c>
      <c r="I90" s="1047">
        <v>2022</v>
      </c>
      <c r="J90" s="1047" t="s">
        <v>233</v>
      </c>
      <c r="K90" s="1047" t="s">
        <v>39</v>
      </c>
      <c r="L90" s="1042" t="s">
        <v>281</v>
      </c>
      <c r="M90" s="1042" t="s">
        <v>284</v>
      </c>
      <c r="N90" s="1050">
        <v>45371</v>
      </c>
    </row>
    <row r="91" spans="1:14">
      <c r="A91" s="1042" t="s">
        <v>231</v>
      </c>
      <c r="B91" s="1042" t="s">
        <v>236</v>
      </c>
      <c r="C91" s="1042" t="s">
        <v>237</v>
      </c>
      <c r="D91" s="1049" t="s">
        <v>175</v>
      </c>
      <c r="E91" s="1047" t="s">
        <v>37</v>
      </c>
      <c r="F91" s="1047" t="s">
        <v>39</v>
      </c>
      <c r="G91" s="1047" t="s">
        <v>39</v>
      </c>
      <c r="H91" s="1047">
        <v>974</v>
      </c>
      <c r="I91" s="1047">
        <v>2023</v>
      </c>
      <c r="J91" s="1047" t="s">
        <v>233</v>
      </c>
      <c r="K91" s="1047" t="s">
        <v>39</v>
      </c>
      <c r="L91" s="1042" t="s">
        <v>281</v>
      </c>
      <c r="M91" s="1042" t="s">
        <v>284</v>
      </c>
      <c r="N91" s="1050">
        <v>45371</v>
      </c>
    </row>
    <row r="92" spans="1:14">
      <c r="A92" s="1042" t="s">
        <v>231</v>
      </c>
      <c r="B92" s="1042" t="s">
        <v>236</v>
      </c>
      <c r="C92" s="1042" t="s">
        <v>237</v>
      </c>
      <c r="D92" s="1049" t="s">
        <v>175</v>
      </c>
      <c r="E92" s="1047" t="s">
        <v>40</v>
      </c>
      <c r="F92" s="1047" t="s">
        <v>39</v>
      </c>
      <c r="G92" s="1047" t="s">
        <v>39</v>
      </c>
      <c r="H92" s="1047">
        <v>114</v>
      </c>
      <c r="I92" s="1047">
        <v>2022</v>
      </c>
      <c r="J92" s="1047" t="s">
        <v>233</v>
      </c>
      <c r="K92" s="1047" t="s">
        <v>39</v>
      </c>
      <c r="L92" s="1042" t="s">
        <v>281</v>
      </c>
      <c r="M92" s="1042" t="s">
        <v>284</v>
      </c>
      <c r="N92" s="1050">
        <v>45371</v>
      </c>
    </row>
    <row r="93" spans="1:14">
      <c r="A93" s="1042" t="s">
        <v>231</v>
      </c>
      <c r="B93" s="1042" t="s">
        <v>236</v>
      </c>
      <c r="C93" s="1042" t="s">
        <v>247</v>
      </c>
      <c r="D93" s="1042" t="s">
        <v>185</v>
      </c>
      <c r="E93" s="1047" t="s">
        <v>144</v>
      </c>
      <c r="F93" s="1047" t="s">
        <v>39</v>
      </c>
      <c r="G93" s="1047" t="s">
        <v>39</v>
      </c>
      <c r="H93" s="1047">
        <v>134.19999999999999</v>
      </c>
      <c r="I93" s="1047">
        <v>2022</v>
      </c>
      <c r="J93" s="1047" t="s">
        <v>233</v>
      </c>
      <c r="K93" s="1047" t="s">
        <v>39</v>
      </c>
      <c r="L93" s="1042" t="s">
        <v>281</v>
      </c>
      <c r="M93" s="1042" t="s">
        <v>285</v>
      </c>
      <c r="N93" s="1050">
        <v>45371</v>
      </c>
    </row>
    <row r="94" spans="1:14">
      <c r="A94" s="1042" t="s">
        <v>231</v>
      </c>
      <c r="B94" s="1042" t="s">
        <v>236</v>
      </c>
      <c r="C94" s="1042" t="s">
        <v>247</v>
      </c>
      <c r="D94" s="1042" t="s">
        <v>185</v>
      </c>
      <c r="E94" s="1047" t="s">
        <v>43</v>
      </c>
      <c r="F94" s="1047" t="s">
        <v>39</v>
      </c>
      <c r="G94" s="1047" t="s">
        <v>39</v>
      </c>
      <c r="H94" s="1047">
        <v>8</v>
      </c>
      <c r="I94" s="1047">
        <v>2022</v>
      </c>
      <c r="J94" s="1047" t="s">
        <v>233</v>
      </c>
      <c r="K94" s="1047" t="s">
        <v>39</v>
      </c>
      <c r="L94" s="1042" t="s">
        <v>281</v>
      </c>
      <c r="M94" s="1042" t="s">
        <v>285</v>
      </c>
      <c r="N94" s="1050">
        <v>45371</v>
      </c>
    </row>
    <row r="95" spans="1:14">
      <c r="A95" s="1042" t="s">
        <v>231</v>
      </c>
      <c r="B95" s="1042" t="s">
        <v>236</v>
      </c>
      <c r="C95" s="1042" t="s">
        <v>247</v>
      </c>
      <c r="D95" s="1042" t="s">
        <v>185</v>
      </c>
      <c r="E95" s="1047" t="s">
        <v>45</v>
      </c>
      <c r="F95" s="1047" t="s">
        <v>39</v>
      </c>
      <c r="G95" s="1047" t="s">
        <v>39</v>
      </c>
      <c r="H95" s="1047">
        <v>55.7</v>
      </c>
      <c r="I95" s="1047">
        <v>2022</v>
      </c>
      <c r="J95" s="1047" t="s">
        <v>233</v>
      </c>
      <c r="K95" s="1047" t="s">
        <v>39</v>
      </c>
      <c r="L95" s="1042" t="s">
        <v>281</v>
      </c>
      <c r="M95" s="1042" t="s">
        <v>285</v>
      </c>
      <c r="N95" s="1050">
        <v>45371</v>
      </c>
    </row>
    <row r="96" spans="1:14">
      <c r="A96" s="1042" t="s">
        <v>231</v>
      </c>
      <c r="B96" s="1042" t="s">
        <v>236</v>
      </c>
      <c r="C96" s="1042" t="s">
        <v>247</v>
      </c>
      <c r="D96" s="1042" t="s">
        <v>185</v>
      </c>
      <c r="E96" s="1047" t="s">
        <v>50</v>
      </c>
      <c r="F96" s="1047" t="s">
        <v>39</v>
      </c>
      <c r="G96" s="1047" t="s">
        <v>39</v>
      </c>
      <c r="H96" s="1047">
        <v>70.5</v>
      </c>
      <c r="I96" s="1047">
        <v>2022</v>
      </c>
      <c r="J96" s="1047" t="s">
        <v>233</v>
      </c>
      <c r="K96" s="1047" t="s">
        <v>39</v>
      </c>
      <c r="L96" s="1042" t="s">
        <v>281</v>
      </c>
      <c r="M96" s="1042" t="s">
        <v>285</v>
      </c>
      <c r="N96" s="1050">
        <v>45371</v>
      </c>
    </row>
    <row r="97" spans="1:14">
      <c r="A97" s="1042" t="s">
        <v>231</v>
      </c>
      <c r="B97" s="1042" t="s">
        <v>236</v>
      </c>
      <c r="C97" s="1042" t="s">
        <v>238</v>
      </c>
      <c r="D97" s="1049" t="s">
        <v>176</v>
      </c>
      <c r="E97" s="1047" t="s">
        <v>144</v>
      </c>
      <c r="F97" s="1047" t="s">
        <v>39</v>
      </c>
      <c r="G97" s="1047" t="s">
        <v>39</v>
      </c>
      <c r="H97" s="1047">
        <v>89.5</v>
      </c>
      <c r="I97" s="1047">
        <v>2022</v>
      </c>
      <c r="J97" s="1047" t="s">
        <v>233</v>
      </c>
      <c r="K97" s="1047" t="s">
        <v>39</v>
      </c>
      <c r="L97" s="1042" t="s">
        <v>281</v>
      </c>
      <c r="M97" s="1042" t="s">
        <v>285</v>
      </c>
      <c r="N97" s="1050">
        <v>45371</v>
      </c>
    </row>
    <row r="98" spans="1:14">
      <c r="A98" s="1042" t="s">
        <v>231</v>
      </c>
      <c r="B98" s="1042" t="s">
        <v>236</v>
      </c>
      <c r="C98" s="1042" t="s">
        <v>238</v>
      </c>
      <c r="D98" s="1042" t="s">
        <v>176</v>
      </c>
      <c r="E98" s="1047" t="s">
        <v>46</v>
      </c>
      <c r="F98" s="1047" t="s">
        <v>39</v>
      </c>
      <c r="G98" s="1047" t="s">
        <v>39</v>
      </c>
      <c r="H98" s="1047">
        <v>89.5</v>
      </c>
      <c r="I98" s="1047">
        <v>2022</v>
      </c>
      <c r="J98" s="1047" t="s">
        <v>233</v>
      </c>
      <c r="K98" s="1047" t="s">
        <v>39</v>
      </c>
      <c r="L98" s="1042" t="s">
        <v>281</v>
      </c>
      <c r="M98" s="1042" t="s">
        <v>285</v>
      </c>
      <c r="N98" s="1050">
        <v>45371</v>
      </c>
    </row>
    <row r="99" spans="1:14">
      <c r="A99" s="1042" t="s">
        <v>231</v>
      </c>
      <c r="B99" s="1042" t="s">
        <v>236</v>
      </c>
      <c r="C99" s="1042" t="s">
        <v>239</v>
      </c>
      <c r="D99" s="1042" t="s">
        <v>177</v>
      </c>
      <c r="E99" s="1047" t="s">
        <v>144</v>
      </c>
      <c r="F99" s="1047" t="s">
        <v>39</v>
      </c>
      <c r="G99" s="1047" t="s">
        <v>39</v>
      </c>
      <c r="H99" s="1047">
        <v>4002890503</v>
      </c>
      <c r="I99" s="1047">
        <v>2022</v>
      </c>
      <c r="J99" s="1047" t="s">
        <v>233</v>
      </c>
      <c r="K99" s="1047" t="s">
        <v>39</v>
      </c>
      <c r="L99" s="1042" t="s">
        <v>281</v>
      </c>
      <c r="M99" s="1042" t="s">
        <v>283</v>
      </c>
      <c r="N99" s="1050">
        <v>45371</v>
      </c>
    </row>
    <row r="100" spans="1:14">
      <c r="A100" s="1042" t="s">
        <v>231</v>
      </c>
      <c r="B100" s="1042" t="s">
        <v>236</v>
      </c>
      <c r="C100" s="1042" t="s">
        <v>239</v>
      </c>
      <c r="D100" s="1042" t="s">
        <v>177</v>
      </c>
      <c r="E100" s="1047" t="s">
        <v>55</v>
      </c>
      <c r="F100" s="1047" t="s">
        <v>39</v>
      </c>
      <c r="G100" s="1047" t="s">
        <v>39</v>
      </c>
      <c r="H100" s="1047">
        <v>1005478361</v>
      </c>
      <c r="I100" s="1047">
        <v>2022</v>
      </c>
      <c r="J100" s="1047" t="s">
        <v>233</v>
      </c>
      <c r="K100" s="1047" t="s">
        <v>39</v>
      </c>
      <c r="L100" s="1042" t="s">
        <v>281</v>
      </c>
      <c r="M100" s="1042" t="s">
        <v>283</v>
      </c>
      <c r="N100" s="1050">
        <v>45371</v>
      </c>
    </row>
    <row r="101" spans="1:14">
      <c r="A101" s="1042" t="s">
        <v>231</v>
      </c>
      <c r="B101" s="1042" t="s">
        <v>236</v>
      </c>
      <c r="C101" s="1042" t="s">
        <v>239</v>
      </c>
      <c r="D101" s="1042" t="s">
        <v>177</v>
      </c>
      <c r="E101" s="1047" t="s">
        <v>44</v>
      </c>
      <c r="F101" s="1047" t="s">
        <v>39</v>
      </c>
      <c r="G101" s="1047" t="s">
        <v>39</v>
      </c>
      <c r="H101" s="1047">
        <v>185497481</v>
      </c>
      <c r="I101" s="1047">
        <v>2022</v>
      </c>
      <c r="J101" s="1047" t="s">
        <v>233</v>
      </c>
      <c r="K101" s="1047" t="s">
        <v>39</v>
      </c>
      <c r="L101" s="1042" t="s">
        <v>281</v>
      </c>
      <c r="M101" s="1042" t="s">
        <v>283</v>
      </c>
      <c r="N101" s="1050">
        <v>45371</v>
      </c>
    </row>
    <row r="102" spans="1:14">
      <c r="A102" s="1042" t="s">
        <v>231</v>
      </c>
      <c r="B102" s="1042" t="s">
        <v>236</v>
      </c>
      <c r="C102" s="1042" t="s">
        <v>239</v>
      </c>
      <c r="D102" s="1042" t="s">
        <v>177</v>
      </c>
      <c r="E102" s="1047" t="s">
        <v>45</v>
      </c>
      <c r="F102" s="1047" t="s">
        <v>39</v>
      </c>
      <c r="G102" s="1047" t="s">
        <v>39</v>
      </c>
      <c r="H102" s="1047">
        <v>1807799029</v>
      </c>
      <c r="I102" s="1047">
        <v>2022</v>
      </c>
      <c r="J102" s="1047" t="s">
        <v>233</v>
      </c>
      <c r="K102" s="1047" t="s">
        <v>39</v>
      </c>
      <c r="L102" s="1042" t="s">
        <v>281</v>
      </c>
      <c r="M102" s="1042" t="s">
        <v>283</v>
      </c>
      <c r="N102" s="1050">
        <v>45371</v>
      </c>
    </row>
    <row r="103" spans="1:14">
      <c r="A103" s="1042" t="s">
        <v>231</v>
      </c>
      <c r="B103" s="1042" t="s">
        <v>236</v>
      </c>
      <c r="C103" s="1042" t="s">
        <v>239</v>
      </c>
      <c r="D103" s="1042" t="s">
        <v>177</v>
      </c>
      <c r="E103" s="1047" t="s">
        <v>56</v>
      </c>
      <c r="F103" s="1047" t="s">
        <v>39</v>
      </c>
      <c r="G103" s="1047" t="s">
        <v>39</v>
      </c>
      <c r="H103" s="1047">
        <v>1004115632</v>
      </c>
      <c r="I103" s="1047">
        <v>2022</v>
      </c>
      <c r="J103" s="1047" t="s">
        <v>233</v>
      </c>
      <c r="K103" s="1047" t="s">
        <v>39</v>
      </c>
      <c r="L103" s="1042" t="s">
        <v>281</v>
      </c>
      <c r="M103" s="1042" t="s">
        <v>283</v>
      </c>
      <c r="N103" s="1050">
        <v>45371</v>
      </c>
    </row>
    <row r="104" spans="1:14">
      <c r="A104" s="1042" t="s">
        <v>231</v>
      </c>
      <c r="B104" s="1042" t="s">
        <v>236</v>
      </c>
      <c r="C104" s="1042" t="s">
        <v>240</v>
      </c>
      <c r="D104" s="1042" t="s">
        <v>178</v>
      </c>
      <c r="E104" s="1047" t="s">
        <v>144</v>
      </c>
      <c r="F104" s="1047" t="s">
        <v>39</v>
      </c>
      <c r="G104" s="1047" t="s">
        <v>39</v>
      </c>
      <c r="H104" s="1047">
        <v>676</v>
      </c>
      <c r="I104" s="1047">
        <v>2022</v>
      </c>
      <c r="J104" s="1047" t="s">
        <v>233</v>
      </c>
      <c r="K104" s="1047" t="s">
        <v>39</v>
      </c>
      <c r="L104" s="1042" t="s">
        <v>281</v>
      </c>
      <c r="M104" s="1042" t="s">
        <v>284</v>
      </c>
      <c r="N104" s="1050">
        <v>45371</v>
      </c>
    </row>
    <row r="105" spans="1:14">
      <c r="A105" s="1042" t="s">
        <v>231</v>
      </c>
      <c r="B105" s="1042" t="s">
        <v>236</v>
      </c>
      <c r="C105" s="1042" t="s">
        <v>240</v>
      </c>
      <c r="D105" s="1042" t="s">
        <v>178</v>
      </c>
      <c r="E105" s="1047" t="s">
        <v>59</v>
      </c>
      <c r="F105" s="1047" t="s">
        <v>39</v>
      </c>
      <c r="G105" s="1047" t="s">
        <v>39</v>
      </c>
      <c r="H105" s="1047">
        <v>62</v>
      </c>
      <c r="I105" s="1047">
        <v>2022</v>
      </c>
      <c r="J105" s="1047" t="s">
        <v>233</v>
      </c>
      <c r="K105" s="1047" t="s">
        <v>39</v>
      </c>
      <c r="L105" s="1042" t="s">
        <v>281</v>
      </c>
      <c r="M105" s="1042" t="s">
        <v>284</v>
      </c>
      <c r="N105" s="1050">
        <v>45371</v>
      </c>
    </row>
    <row r="106" spans="1:14">
      <c r="A106" s="1042" t="s">
        <v>231</v>
      </c>
      <c r="B106" s="1042" t="s">
        <v>236</v>
      </c>
      <c r="C106" s="1042" t="s">
        <v>240</v>
      </c>
      <c r="D106" s="1042" t="s">
        <v>179</v>
      </c>
      <c r="E106" s="1047" t="s">
        <v>144</v>
      </c>
      <c r="F106" s="1047" t="s">
        <v>39</v>
      </c>
      <c r="G106" s="1047" t="s">
        <v>39</v>
      </c>
      <c r="H106" s="1047">
        <v>364</v>
      </c>
      <c r="I106" s="1047">
        <v>2022</v>
      </c>
      <c r="J106" s="1047" t="s">
        <v>233</v>
      </c>
      <c r="K106" s="1047" t="s">
        <v>39</v>
      </c>
      <c r="L106" s="1042" t="s">
        <v>281</v>
      </c>
      <c r="M106" s="1042" t="s">
        <v>284</v>
      </c>
      <c r="N106" s="1050">
        <v>45371</v>
      </c>
    </row>
    <row r="107" spans="1:14">
      <c r="A107" s="1042" t="s">
        <v>231</v>
      </c>
      <c r="B107" s="1042" t="s">
        <v>236</v>
      </c>
      <c r="C107" s="1042" t="s">
        <v>240</v>
      </c>
      <c r="D107" s="1042" t="s">
        <v>179</v>
      </c>
      <c r="E107" s="1047" t="s">
        <v>61</v>
      </c>
      <c r="F107" s="1047" t="s">
        <v>39</v>
      </c>
      <c r="G107" s="1047" t="s">
        <v>39</v>
      </c>
      <c r="H107" s="1047">
        <v>0</v>
      </c>
      <c r="I107" s="1047">
        <v>2022</v>
      </c>
      <c r="J107" s="1047" t="s">
        <v>233</v>
      </c>
      <c r="K107" s="1047" t="s">
        <v>39</v>
      </c>
      <c r="L107" s="1042" t="s">
        <v>281</v>
      </c>
      <c r="M107" s="1042" t="s">
        <v>284</v>
      </c>
      <c r="N107" s="1050">
        <v>45371</v>
      </c>
    </row>
    <row r="108" spans="1:14">
      <c r="A108" s="1042" t="s">
        <v>231</v>
      </c>
      <c r="B108" s="1042" t="s">
        <v>248</v>
      </c>
      <c r="C108" s="1042" t="s">
        <v>237</v>
      </c>
      <c r="D108" s="1042" t="s">
        <v>186</v>
      </c>
      <c r="E108" s="1047" t="s">
        <v>144</v>
      </c>
      <c r="F108" s="1047" t="s">
        <v>39</v>
      </c>
      <c r="G108" s="1047" t="s">
        <v>39</v>
      </c>
      <c r="H108" s="1047">
        <v>2</v>
      </c>
      <c r="I108" s="1047">
        <v>2022</v>
      </c>
      <c r="J108" s="1047" t="s">
        <v>233</v>
      </c>
      <c r="K108" s="1047" t="s">
        <v>39</v>
      </c>
      <c r="L108" s="1042" t="s">
        <v>281</v>
      </c>
      <c r="M108" s="1042" t="s">
        <v>290</v>
      </c>
      <c r="N108" s="1050">
        <v>45371</v>
      </c>
    </row>
    <row r="109" spans="1:14">
      <c r="A109" s="1042" t="s">
        <v>231</v>
      </c>
      <c r="B109" s="1042" t="s">
        <v>248</v>
      </c>
      <c r="C109" s="1042" t="s">
        <v>237</v>
      </c>
      <c r="D109" s="1042" t="s">
        <v>186</v>
      </c>
      <c r="E109" s="1047" t="s">
        <v>37</v>
      </c>
      <c r="F109" s="1047" t="s">
        <v>39</v>
      </c>
      <c r="G109" s="1047" t="s">
        <v>39</v>
      </c>
      <c r="H109" s="1047">
        <v>2</v>
      </c>
      <c r="I109" s="1047">
        <v>2022</v>
      </c>
      <c r="J109" s="1047" t="s">
        <v>233</v>
      </c>
      <c r="K109" s="1047" t="s">
        <v>39</v>
      </c>
      <c r="L109" s="1042" t="s">
        <v>281</v>
      </c>
      <c r="M109" s="1042" t="s">
        <v>290</v>
      </c>
      <c r="N109" s="1050">
        <v>45371</v>
      </c>
    </row>
    <row r="110" spans="1:14">
      <c r="A110" s="1042" t="s">
        <v>231</v>
      </c>
      <c r="B110" s="1042" t="s">
        <v>248</v>
      </c>
      <c r="C110" s="1042" t="s">
        <v>237</v>
      </c>
      <c r="D110" s="1042" t="s">
        <v>186</v>
      </c>
      <c r="E110" s="1047" t="s">
        <v>40</v>
      </c>
      <c r="F110" s="1047" t="s">
        <v>39</v>
      </c>
      <c r="G110" s="1047" t="s">
        <v>39</v>
      </c>
      <c r="H110" s="1047">
        <v>0</v>
      </c>
      <c r="I110" s="1047">
        <v>2022</v>
      </c>
      <c r="J110" s="1047" t="s">
        <v>233</v>
      </c>
      <c r="K110" s="1047" t="s">
        <v>39</v>
      </c>
      <c r="L110" s="1042" t="s">
        <v>281</v>
      </c>
      <c r="M110" s="1042" t="s">
        <v>290</v>
      </c>
      <c r="N110" s="1050">
        <v>45371</v>
      </c>
    </row>
    <row r="111" spans="1:14">
      <c r="A111" s="1042" t="s">
        <v>231</v>
      </c>
      <c r="B111" s="1042" t="s">
        <v>248</v>
      </c>
      <c r="C111" s="1042" t="s">
        <v>238</v>
      </c>
      <c r="D111" s="1042" t="s">
        <v>187</v>
      </c>
      <c r="E111" s="1047" t="s">
        <v>144</v>
      </c>
      <c r="F111" s="1047" t="s">
        <v>39</v>
      </c>
      <c r="G111" s="1047" t="s">
        <v>39</v>
      </c>
      <c r="H111" s="1047">
        <v>58</v>
      </c>
      <c r="I111" s="1047">
        <v>2022</v>
      </c>
      <c r="J111" s="1047" t="s">
        <v>233</v>
      </c>
      <c r="K111" s="1047" t="s">
        <v>39</v>
      </c>
      <c r="L111" s="1042" t="s">
        <v>281</v>
      </c>
      <c r="M111" s="1042" t="s">
        <v>291</v>
      </c>
      <c r="N111" s="1050">
        <v>45371</v>
      </c>
    </row>
    <row r="112" spans="1:14">
      <c r="A112" s="1042" t="s">
        <v>231</v>
      </c>
      <c r="B112" s="1042" t="s">
        <v>248</v>
      </c>
      <c r="C112" s="1042" t="s">
        <v>238</v>
      </c>
      <c r="D112" s="1042" t="s">
        <v>187</v>
      </c>
      <c r="E112" s="1047" t="s">
        <v>75</v>
      </c>
      <c r="F112" s="1047" t="s">
        <v>39</v>
      </c>
      <c r="G112" s="1047" t="s">
        <v>39</v>
      </c>
      <c r="H112" s="1047">
        <v>26</v>
      </c>
      <c r="I112" s="1047">
        <v>2022</v>
      </c>
      <c r="J112" s="1047" t="s">
        <v>233</v>
      </c>
      <c r="K112" s="1047" t="s">
        <v>39</v>
      </c>
      <c r="L112" s="1042" t="s">
        <v>281</v>
      </c>
      <c r="M112" s="1042" t="s">
        <v>291</v>
      </c>
      <c r="N112" s="1050">
        <v>45371</v>
      </c>
    </row>
    <row r="113" spans="1:14">
      <c r="A113" s="1042" t="s">
        <v>231</v>
      </c>
      <c r="B113" s="1042" t="s">
        <v>248</v>
      </c>
      <c r="C113" s="1042" t="s">
        <v>238</v>
      </c>
      <c r="D113" s="1042" t="s">
        <v>187</v>
      </c>
      <c r="E113" s="1047" t="s">
        <v>76</v>
      </c>
      <c r="F113" s="1047" t="s">
        <v>39</v>
      </c>
      <c r="G113" s="1047" t="s">
        <v>39</v>
      </c>
      <c r="H113" s="1047">
        <v>32</v>
      </c>
      <c r="I113" s="1047">
        <v>2022</v>
      </c>
      <c r="J113" s="1047" t="s">
        <v>233</v>
      </c>
      <c r="K113" s="1047" t="s">
        <v>39</v>
      </c>
      <c r="L113" s="1042" t="s">
        <v>281</v>
      </c>
      <c r="M113" s="1042" t="s">
        <v>291</v>
      </c>
      <c r="N113" s="1050">
        <v>45371</v>
      </c>
    </row>
    <row r="114" spans="1:14">
      <c r="A114" s="1042" t="s">
        <v>231</v>
      </c>
      <c r="B114" s="1042" t="s">
        <v>241</v>
      </c>
      <c r="C114" s="1042" t="s">
        <v>242</v>
      </c>
      <c r="D114" s="1042" t="s">
        <v>180</v>
      </c>
      <c r="E114" s="1047" t="s">
        <v>144</v>
      </c>
      <c r="F114" s="1047" t="s">
        <v>39</v>
      </c>
      <c r="G114" s="1047" t="s">
        <v>39</v>
      </c>
      <c r="H114" s="1047">
        <v>87</v>
      </c>
      <c r="I114" s="1047">
        <v>2022</v>
      </c>
      <c r="J114" s="1047" t="s">
        <v>233</v>
      </c>
      <c r="K114" s="1047" t="s">
        <v>39</v>
      </c>
      <c r="L114" s="1042" t="s">
        <v>281</v>
      </c>
      <c r="M114" s="1042" t="s">
        <v>286</v>
      </c>
      <c r="N114" s="1050">
        <v>45371</v>
      </c>
    </row>
    <row r="115" spans="1:14">
      <c r="A115" s="1042" t="s">
        <v>231</v>
      </c>
      <c r="B115" s="1042" t="s">
        <v>241</v>
      </c>
      <c r="C115" s="1042" t="s">
        <v>243</v>
      </c>
      <c r="D115" s="1042" t="s">
        <v>181</v>
      </c>
      <c r="E115" s="1047" t="s">
        <v>144</v>
      </c>
      <c r="F115" s="1047" t="s">
        <v>39</v>
      </c>
      <c r="G115" s="1047" t="s">
        <v>39</v>
      </c>
      <c r="H115" s="1047">
        <v>307</v>
      </c>
      <c r="I115" s="1047">
        <v>2022</v>
      </c>
      <c r="J115" s="1047" t="s">
        <v>233</v>
      </c>
      <c r="K115" s="1047" t="s">
        <v>39</v>
      </c>
      <c r="L115" s="1042" t="s">
        <v>281</v>
      </c>
      <c r="M115" s="1042" t="s">
        <v>287</v>
      </c>
      <c r="N115" s="1050">
        <v>45371</v>
      </c>
    </row>
    <row r="116" spans="1:14">
      <c r="A116" s="1042" t="s">
        <v>231</v>
      </c>
      <c r="B116" s="1042" t="s">
        <v>241</v>
      </c>
      <c r="C116" s="1042" t="s">
        <v>244</v>
      </c>
      <c r="D116" s="1042" t="s">
        <v>182</v>
      </c>
      <c r="E116" s="1047" t="s">
        <v>144</v>
      </c>
      <c r="F116" s="1047" t="s">
        <v>39</v>
      </c>
      <c r="G116" s="1047" t="s">
        <v>39</v>
      </c>
      <c r="H116" s="1047">
        <v>642</v>
      </c>
      <c r="I116" s="1047">
        <v>2022</v>
      </c>
      <c r="J116" s="1047" t="s">
        <v>233</v>
      </c>
      <c r="K116" s="1047" t="s">
        <v>39</v>
      </c>
      <c r="L116" s="1042" t="s">
        <v>281</v>
      </c>
      <c r="M116" s="1042" t="s">
        <v>287</v>
      </c>
      <c r="N116" s="1050">
        <v>45371</v>
      </c>
    </row>
    <row r="117" spans="1:14">
      <c r="A117" s="1042" t="s">
        <v>231</v>
      </c>
      <c r="B117" s="1042" t="s">
        <v>241</v>
      </c>
      <c r="C117" s="1042" t="s">
        <v>249</v>
      </c>
      <c r="D117" s="1042" t="s">
        <v>188</v>
      </c>
      <c r="E117" s="1047" t="s">
        <v>144</v>
      </c>
      <c r="F117" s="1047" t="s">
        <v>39</v>
      </c>
      <c r="G117" s="1047" t="s">
        <v>39</v>
      </c>
      <c r="H117" s="1047">
        <v>119</v>
      </c>
      <c r="I117" s="1047">
        <v>2022</v>
      </c>
      <c r="J117" s="1047" t="s">
        <v>233</v>
      </c>
      <c r="K117" s="1047" t="s">
        <v>39</v>
      </c>
      <c r="L117" s="1042" t="s">
        <v>281</v>
      </c>
      <c r="M117" s="1042" t="s">
        <v>292</v>
      </c>
      <c r="N117" s="1050">
        <v>45371</v>
      </c>
    </row>
    <row r="118" spans="1:14">
      <c r="A118" s="1042" t="s">
        <v>231</v>
      </c>
      <c r="B118" s="1042" t="s">
        <v>241</v>
      </c>
      <c r="C118" s="1042" t="s">
        <v>249</v>
      </c>
      <c r="D118" s="1042" t="s">
        <v>188</v>
      </c>
      <c r="E118" s="1047" t="s">
        <v>92</v>
      </c>
      <c r="F118" s="1047" t="s">
        <v>39</v>
      </c>
      <c r="G118" s="1047" t="s">
        <v>39</v>
      </c>
      <c r="H118" s="1047">
        <v>119</v>
      </c>
      <c r="I118" s="1047">
        <v>2022</v>
      </c>
      <c r="J118" s="1047" t="s">
        <v>233</v>
      </c>
      <c r="K118" s="1047" t="s">
        <v>39</v>
      </c>
      <c r="L118" s="1042" t="s">
        <v>281</v>
      </c>
      <c r="M118" s="1042" t="s">
        <v>292</v>
      </c>
      <c r="N118" s="1050">
        <v>45371</v>
      </c>
    </row>
    <row r="119" spans="1:14">
      <c r="A119" s="1042" t="s">
        <v>231</v>
      </c>
      <c r="B119" s="1042" t="s">
        <v>241</v>
      </c>
      <c r="C119" s="1042" t="s">
        <v>249</v>
      </c>
      <c r="D119" s="1042" t="s">
        <v>188</v>
      </c>
      <c r="E119" s="1047" t="s">
        <v>46</v>
      </c>
      <c r="F119" s="1047" t="s">
        <v>39</v>
      </c>
      <c r="G119" s="1047" t="s">
        <v>39</v>
      </c>
      <c r="H119" s="1047">
        <v>0</v>
      </c>
      <c r="I119" s="1047">
        <v>2022</v>
      </c>
      <c r="J119" s="1047" t="s">
        <v>233</v>
      </c>
      <c r="K119" s="1047" t="s">
        <v>39</v>
      </c>
      <c r="L119" s="1042" t="s">
        <v>281</v>
      </c>
      <c r="M119" s="1042" t="s">
        <v>292</v>
      </c>
      <c r="N119" s="1050">
        <v>45371</v>
      </c>
    </row>
    <row r="120" spans="1:14">
      <c r="A120" s="1042" t="s">
        <v>231</v>
      </c>
      <c r="B120" s="1042" t="s">
        <v>241</v>
      </c>
      <c r="C120" s="1042" t="s">
        <v>245</v>
      </c>
      <c r="D120" s="1042" t="s">
        <v>183</v>
      </c>
      <c r="E120" s="1047" t="s">
        <v>144</v>
      </c>
      <c r="F120" s="1047" t="s">
        <v>39</v>
      </c>
      <c r="G120" s="1047" t="s">
        <v>39</v>
      </c>
      <c r="H120" s="1047">
        <v>17</v>
      </c>
      <c r="I120" s="1047">
        <v>2022</v>
      </c>
      <c r="J120" s="1047" t="s">
        <v>233</v>
      </c>
      <c r="K120" s="1047" t="s">
        <v>39</v>
      </c>
      <c r="L120" s="1042" t="s">
        <v>281</v>
      </c>
      <c r="M120" s="1042" t="s">
        <v>288</v>
      </c>
      <c r="N120" s="1050">
        <v>45371</v>
      </c>
    </row>
    <row r="121" spans="1:14">
      <c r="A121" s="1042" t="s">
        <v>231</v>
      </c>
      <c r="B121" s="1042" t="s">
        <v>241</v>
      </c>
      <c r="C121" s="1042" t="s">
        <v>246</v>
      </c>
      <c r="D121" s="1042" t="s">
        <v>184</v>
      </c>
      <c r="E121" s="1047" t="s">
        <v>144</v>
      </c>
      <c r="F121" s="1047" t="s">
        <v>39</v>
      </c>
      <c r="G121" s="1047" t="s">
        <v>39</v>
      </c>
      <c r="H121" s="1047">
        <v>25</v>
      </c>
      <c r="I121" s="1047">
        <v>2022</v>
      </c>
      <c r="J121" s="1047" t="s">
        <v>233</v>
      </c>
      <c r="K121" s="1047" t="s">
        <v>39</v>
      </c>
      <c r="L121" s="1042" t="s">
        <v>281</v>
      </c>
      <c r="M121" s="1042" t="s">
        <v>289</v>
      </c>
      <c r="N121" s="1050">
        <v>45371</v>
      </c>
    </row>
    <row r="122" spans="1:14">
      <c r="A122" s="1042" t="s">
        <v>231</v>
      </c>
      <c r="B122" s="1042" t="s">
        <v>241</v>
      </c>
      <c r="C122" s="1042" t="s">
        <v>250</v>
      </c>
      <c r="D122" s="1042" t="s">
        <v>189</v>
      </c>
      <c r="E122" s="1047" t="s">
        <v>144</v>
      </c>
      <c r="F122" s="1047" t="s">
        <v>39</v>
      </c>
      <c r="G122" s="1047" t="s">
        <v>39</v>
      </c>
      <c r="H122" s="1047">
        <v>271</v>
      </c>
      <c r="I122" s="1047">
        <v>2022</v>
      </c>
      <c r="J122" s="1047" t="s">
        <v>233</v>
      </c>
      <c r="K122" s="1047" t="s">
        <v>39</v>
      </c>
      <c r="L122" s="1042" t="s">
        <v>281</v>
      </c>
      <c r="M122" s="1042" t="s">
        <v>284</v>
      </c>
      <c r="N122" s="1050">
        <v>45371</v>
      </c>
    </row>
    <row r="123" spans="1:14">
      <c r="A123" s="1042" t="s">
        <v>231</v>
      </c>
      <c r="B123" s="1042" t="s">
        <v>241</v>
      </c>
      <c r="C123" s="1042" t="s">
        <v>250</v>
      </c>
      <c r="D123" s="1042" t="s">
        <v>189</v>
      </c>
      <c r="E123" s="1047" t="s">
        <v>46</v>
      </c>
      <c r="F123" s="1047" t="s">
        <v>39</v>
      </c>
      <c r="G123" s="1047" t="s">
        <v>39</v>
      </c>
      <c r="H123" s="1047">
        <v>271</v>
      </c>
      <c r="I123" s="1047">
        <v>2022</v>
      </c>
      <c r="J123" s="1047" t="s">
        <v>233</v>
      </c>
      <c r="K123" s="1047" t="s">
        <v>39</v>
      </c>
      <c r="L123" s="1042" t="s">
        <v>281</v>
      </c>
      <c r="M123" s="1042" t="s">
        <v>284</v>
      </c>
      <c r="N123" s="1050">
        <v>45371</v>
      </c>
    </row>
    <row r="124" spans="1:14">
      <c r="A124" s="1042" t="s">
        <v>231</v>
      </c>
      <c r="B124" s="1042" t="s">
        <v>232</v>
      </c>
      <c r="C124" s="1042" t="s">
        <v>234</v>
      </c>
      <c r="D124" s="1049" t="s">
        <v>173</v>
      </c>
      <c r="E124" s="1047" t="s">
        <v>144</v>
      </c>
      <c r="F124" s="1047" t="s">
        <v>39</v>
      </c>
      <c r="G124" s="1047" t="s">
        <v>39</v>
      </c>
      <c r="H124" s="1048">
        <v>6499919089</v>
      </c>
      <c r="I124" s="1047">
        <v>2023</v>
      </c>
      <c r="J124" s="1047" t="s">
        <v>233</v>
      </c>
      <c r="K124" s="1047" t="s">
        <v>39</v>
      </c>
      <c r="L124" s="1042" t="s">
        <v>281</v>
      </c>
      <c r="M124" s="1042" t="s">
        <v>283</v>
      </c>
      <c r="N124" s="1050">
        <v>45371</v>
      </c>
    </row>
    <row r="125" spans="1:14">
      <c r="A125" s="1042" t="s">
        <v>231</v>
      </c>
      <c r="B125" s="1042" t="s">
        <v>232</v>
      </c>
      <c r="C125" s="1042" t="s">
        <v>235</v>
      </c>
      <c r="D125" s="1049" t="s">
        <v>174</v>
      </c>
      <c r="E125" s="1047" t="s">
        <v>144</v>
      </c>
      <c r="F125" s="1047" t="s">
        <v>39</v>
      </c>
      <c r="G125" s="1047" t="s">
        <v>39</v>
      </c>
      <c r="H125" s="1048">
        <v>15938718238</v>
      </c>
      <c r="I125" s="1047">
        <v>2023</v>
      </c>
      <c r="J125" s="1047" t="s">
        <v>233</v>
      </c>
      <c r="K125" s="1047" t="s">
        <v>39</v>
      </c>
      <c r="L125" s="1042" t="s">
        <v>281</v>
      </c>
      <c r="M125" s="1042" t="s">
        <v>283</v>
      </c>
      <c r="N125" s="1050">
        <v>45371</v>
      </c>
    </row>
    <row r="126" spans="1:14">
      <c r="A126" s="1042" t="s">
        <v>231</v>
      </c>
      <c r="B126" s="1042" t="s">
        <v>236</v>
      </c>
      <c r="C126" s="1042" t="s">
        <v>247</v>
      </c>
      <c r="D126" s="1042" t="s">
        <v>185</v>
      </c>
      <c r="E126" s="1047" t="s">
        <v>144</v>
      </c>
      <c r="F126" s="1047" t="s">
        <v>39</v>
      </c>
      <c r="G126" s="1047" t="s">
        <v>39</v>
      </c>
      <c r="H126" s="1047">
        <v>26.8</v>
      </c>
      <c r="I126" s="1047">
        <v>2023</v>
      </c>
      <c r="J126" s="1047" t="s">
        <v>233</v>
      </c>
      <c r="K126" s="1047" t="s">
        <v>39</v>
      </c>
      <c r="L126" s="1042" t="s">
        <v>281</v>
      </c>
      <c r="M126" s="1042" t="s">
        <v>285</v>
      </c>
      <c r="N126" s="1050">
        <v>45371</v>
      </c>
    </row>
    <row r="127" spans="1:14">
      <c r="A127" s="1042" t="s">
        <v>231</v>
      </c>
      <c r="B127" s="1042" t="s">
        <v>236</v>
      </c>
      <c r="C127" s="1042" t="s">
        <v>247</v>
      </c>
      <c r="D127" s="1042" t="s">
        <v>185</v>
      </c>
      <c r="E127" s="1047" t="s">
        <v>45</v>
      </c>
      <c r="F127" s="1047" t="s">
        <v>39</v>
      </c>
      <c r="G127" s="1047" t="s">
        <v>39</v>
      </c>
      <c r="H127" s="1047">
        <v>14.3</v>
      </c>
      <c r="I127" s="1047">
        <v>2023</v>
      </c>
      <c r="J127" s="1047" t="s">
        <v>233</v>
      </c>
      <c r="K127" s="1047" t="s">
        <v>39</v>
      </c>
      <c r="L127" s="1042" t="s">
        <v>281</v>
      </c>
      <c r="M127" s="1042" t="s">
        <v>285</v>
      </c>
      <c r="N127" s="1050">
        <v>45371</v>
      </c>
    </row>
    <row r="128" spans="1:14">
      <c r="A128" s="1042" t="s">
        <v>231</v>
      </c>
      <c r="B128" s="1042" t="s">
        <v>236</v>
      </c>
      <c r="C128" s="1042" t="s">
        <v>247</v>
      </c>
      <c r="D128" s="1042" t="s">
        <v>185</v>
      </c>
      <c r="E128" s="1047" t="s">
        <v>49</v>
      </c>
      <c r="F128" s="1047" t="s">
        <v>39</v>
      </c>
      <c r="G128" s="1047" t="s">
        <v>39</v>
      </c>
      <c r="H128" s="1047">
        <v>3</v>
      </c>
      <c r="I128" s="1047">
        <v>2023</v>
      </c>
      <c r="J128" s="1047" t="s">
        <v>233</v>
      </c>
      <c r="K128" s="1047" t="s">
        <v>39</v>
      </c>
      <c r="L128" s="1042" t="s">
        <v>281</v>
      </c>
      <c r="M128" s="1042" t="s">
        <v>285</v>
      </c>
      <c r="N128" s="1050">
        <v>45371</v>
      </c>
    </row>
    <row r="129" spans="1:14">
      <c r="A129" s="1042" t="s">
        <v>231</v>
      </c>
      <c r="B129" s="1042" t="s">
        <v>236</v>
      </c>
      <c r="C129" s="1042" t="s">
        <v>247</v>
      </c>
      <c r="D129" s="1042" t="s">
        <v>185</v>
      </c>
      <c r="E129" s="1047" t="s">
        <v>50</v>
      </c>
      <c r="F129" s="1047" t="s">
        <v>39</v>
      </c>
      <c r="G129" s="1047" t="s">
        <v>39</v>
      </c>
      <c r="H129" s="1047">
        <v>9.5</v>
      </c>
      <c r="I129" s="1047">
        <v>2023</v>
      </c>
      <c r="J129" s="1047" t="s">
        <v>233</v>
      </c>
      <c r="K129" s="1047" t="s">
        <v>39</v>
      </c>
      <c r="L129" s="1042" t="s">
        <v>281</v>
      </c>
      <c r="M129" s="1042" t="s">
        <v>285</v>
      </c>
      <c r="N129" s="1050">
        <v>45371</v>
      </c>
    </row>
    <row r="130" spans="1:14">
      <c r="A130" s="1042" t="s">
        <v>231</v>
      </c>
      <c r="B130" s="1042" t="s">
        <v>236</v>
      </c>
      <c r="C130" s="1042" t="s">
        <v>238</v>
      </c>
      <c r="D130" s="1049" t="s">
        <v>176</v>
      </c>
      <c r="E130" s="1047" t="s">
        <v>144</v>
      </c>
      <c r="F130" s="1047" t="s">
        <v>39</v>
      </c>
      <c r="G130" s="1047" t="s">
        <v>39</v>
      </c>
      <c r="H130" s="1047">
        <v>10.33</v>
      </c>
      <c r="I130" s="1047">
        <v>2023</v>
      </c>
      <c r="J130" s="1047" t="s">
        <v>233</v>
      </c>
      <c r="K130" s="1047" t="s">
        <v>39</v>
      </c>
      <c r="L130" s="1042" t="s">
        <v>281</v>
      </c>
      <c r="M130" s="1042" t="s">
        <v>285</v>
      </c>
      <c r="N130" s="1050">
        <v>45371</v>
      </c>
    </row>
    <row r="131" spans="1:14">
      <c r="A131" s="1042" t="s">
        <v>231</v>
      </c>
      <c r="B131" s="1042" t="s">
        <v>236</v>
      </c>
      <c r="C131" s="1042" t="s">
        <v>238</v>
      </c>
      <c r="D131" s="1042" t="s">
        <v>176</v>
      </c>
      <c r="E131" s="1047" t="s">
        <v>49</v>
      </c>
      <c r="F131" s="1047" t="s">
        <v>39</v>
      </c>
      <c r="G131" s="1047" t="s">
        <v>39</v>
      </c>
      <c r="H131" s="1047">
        <v>4.33</v>
      </c>
      <c r="I131" s="1047">
        <v>2023</v>
      </c>
      <c r="J131" s="1047" t="s">
        <v>233</v>
      </c>
      <c r="K131" s="1047" t="s">
        <v>39</v>
      </c>
      <c r="L131" s="1042" t="s">
        <v>281</v>
      </c>
      <c r="M131" s="1042" t="s">
        <v>285</v>
      </c>
      <c r="N131" s="1050">
        <v>45371</v>
      </c>
    </row>
    <row r="132" spans="1:14">
      <c r="A132" s="1042" t="s">
        <v>231</v>
      </c>
      <c r="B132" s="1042" t="s">
        <v>236</v>
      </c>
      <c r="C132" s="1042" t="s">
        <v>238</v>
      </c>
      <c r="D132" s="1042" t="s">
        <v>176</v>
      </c>
      <c r="E132" s="1047" t="s">
        <v>52</v>
      </c>
      <c r="F132" s="1047" t="s">
        <v>39</v>
      </c>
      <c r="G132" s="1047" t="s">
        <v>39</v>
      </c>
      <c r="H132" s="1047">
        <v>6</v>
      </c>
      <c r="I132" s="1047">
        <v>2023</v>
      </c>
      <c r="J132" s="1047" t="s">
        <v>233</v>
      </c>
      <c r="K132" s="1047" t="s">
        <v>39</v>
      </c>
      <c r="L132" s="1042" t="s">
        <v>281</v>
      </c>
      <c r="M132" s="1042" t="s">
        <v>285</v>
      </c>
      <c r="N132" s="1050">
        <v>45371</v>
      </c>
    </row>
    <row r="133" spans="1:14">
      <c r="A133" s="1042" t="s">
        <v>231</v>
      </c>
      <c r="B133" s="1042" t="s">
        <v>236</v>
      </c>
      <c r="C133" s="1042" t="s">
        <v>239</v>
      </c>
      <c r="D133" s="1042" t="s">
        <v>177</v>
      </c>
      <c r="E133" s="1047" t="s">
        <v>144</v>
      </c>
      <c r="F133" s="1047" t="s">
        <v>39</v>
      </c>
      <c r="G133" s="1047" t="s">
        <v>39</v>
      </c>
      <c r="H133" s="1047">
        <v>6290256225</v>
      </c>
      <c r="I133" s="1047">
        <v>2023</v>
      </c>
      <c r="J133" s="1047" t="s">
        <v>233</v>
      </c>
      <c r="K133" s="1047" t="s">
        <v>39</v>
      </c>
      <c r="L133" s="1042" t="s">
        <v>281</v>
      </c>
      <c r="M133" s="1042" t="s">
        <v>283</v>
      </c>
      <c r="N133" s="1050">
        <v>45371</v>
      </c>
    </row>
    <row r="134" spans="1:14">
      <c r="A134" s="1042" t="s">
        <v>231</v>
      </c>
      <c r="B134" s="1042" t="s">
        <v>236</v>
      </c>
      <c r="C134" s="1042" t="s">
        <v>239</v>
      </c>
      <c r="D134" s="1042" t="s">
        <v>177</v>
      </c>
      <c r="E134" s="1047" t="s">
        <v>55</v>
      </c>
      <c r="F134" s="1047" t="s">
        <v>39</v>
      </c>
      <c r="G134" s="1047" t="s">
        <v>39</v>
      </c>
      <c r="H134" s="1047">
        <v>1271251355</v>
      </c>
      <c r="I134" s="1047">
        <v>2023</v>
      </c>
      <c r="J134" s="1047" t="s">
        <v>233</v>
      </c>
      <c r="K134" s="1047" t="s">
        <v>39</v>
      </c>
      <c r="L134" s="1042" t="s">
        <v>281</v>
      </c>
      <c r="M134" s="1042" t="s">
        <v>283</v>
      </c>
      <c r="N134" s="1050">
        <v>45371</v>
      </c>
    </row>
    <row r="135" spans="1:14">
      <c r="A135" s="1042" t="s">
        <v>231</v>
      </c>
      <c r="B135" s="1042" t="s">
        <v>236</v>
      </c>
      <c r="C135" s="1042" t="s">
        <v>239</v>
      </c>
      <c r="D135" s="1042" t="s">
        <v>177</v>
      </c>
      <c r="E135" s="1047" t="s">
        <v>44</v>
      </c>
      <c r="F135" s="1047" t="s">
        <v>39</v>
      </c>
      <c r="G135" s="1047" t="s">
        <v>39</v>
      </c>
      <c r="H135" s="1047">
        <v>279338260</v>
      </c>
      <c r="I135" s="1047">
        <v>2023</v>
      </c>
      <c r="J135" s="1047" t="s">
        <v>233</v>
      </c>
      <c r="K135" s="1047" t="s">
        <v>39</v>
      </c>
      <c r="L135" s="1042" t="s">
        <v>281</v>
      </c>
      <c r="M135" s="1042" t="s">
        <v>283</v>
      </c>
      <c r="N135" s="1050">
        <v>45371</v>
      </c>
    </row>
    <row r="136" spans="1:14">
      <c r="A136" s="1042" t="s">
        <v>231</v>
      </c>
      <c r="B136" s="1042" t="s">
        <v>236</v>
      </c>
      <c r="C136" s="1042" t="s">
        <v>239</v>
      </c>
      <c r="D136" s="1042" t="s">
        <v>177</v>
      </c>
      <c r="E136" s="1047" t="s">
        <v>45</v>
      </c>
      <c r="F136" s="1047" t="s">
        <v>39</v>
      </c>
      <c r="G136" s="1047" t="s">
        <v>39</v>
      </c>
      <c r="H136" s="1047">
        <v>2155473667</v>
      </c>
      <c r="I136" s="1047">
        <v>2023</v>
      </c>
      <c r="J136" s="1047" t="s">
        <v>233</v>
      </c>
      <c r="K136" s="1047" t="s">
        <v>39</v>
      </c>
      <c r="L136" s="1042" t="s">
        <v>281</v>
      </c>
      <c r="M136" s="1042" t="s">
        <v>283</v>
      </c>
      <c r="N136" s="1050">
        <v>45371</v>
      </c>
    </row>
    <row r="137" spans="1:14">
      <c r="A137" s="1042" t="s">
        <v>231</v>
      </c>
      <c r="B137" s="1042" t="s">
        <v>236</v>
      </c>
      <c r="C137" s="1042" t="s">
        <v>239</v>
      </c>
      <c r="D137" s="1042" t="s">
        <v>177</v>
      </c>
      <c r="E137" s="1047" t="s">
        <v>56</v>
      </c>
      <c r="F137" s="1047" t="s">
        <v>39</v>
      </c>
      <c r="G137" s="1047" t="s">
        <v>39</v>
      </c>
      <c r="H137" s="1047">
        <v>2583441523</v>
      </c>
      <c r="I137" s="1047">
        <v>2023</v>
      </c>
      <c r="J137" s="1047" t="s">
        <v>233</v>
      </c>
      <c r="K137" s="1047" t="s">
        <v>39</v>
      </c>
      <c r="L137" s="1042" t="s">
        <v>281</v>
      </c>
      <c r="M137" s="1042" t="s">
        <v>283</v>
      </c>
      <c r="N137" s="1050">
        <v>45371</v>
      </c>
    </row>
    <row r="138" spans="1:14">
      <c r="A138" s="1042" t="s">
        <v>231</v>
      </c>
      <c r="B138" s="1042" t="s">
        <v>236</v>
      </c>
      <c r="C138" s="1042" t="s">
        <v>240</v>
      </c>
      <c r="D138" s="1042" t="s">
        <v>178</v>
      </c>
      <c r="E138" s="1047" t="s">
        <v>144</v>
      </c>
      <c r="F138" s="1047" t="s">
        <v>39</v>
      </c>
      <c r="G138" s="1047" t="s">
        <v>39</v>
      </c>
      <c r="H138" s="1047">
        <v>867</v>
      </c>
      <c r="I138" s="1047">
        <v>2023</v>
      </c>
      <c r="J138" s="1047" t="s">
        <v>233</v>
      </c>
      <c r="K138" s="1047" t="s">
        <v>39</v>
      </c>
      <c r="L138" s="1042" t="s">
        <v>281</v>
      </c>
      <c r="M138" s="1042" t="s">
        <v>284</v>
      </c>
      <c r="N138" s="1050">
        <v>45371</v>
      </c>
    </row>
    <row r="139" spans="1:14">
      <c r="A139" s="1042" t="s">
        <v>231</v>
      </c>
      <c r="B139" s="1042" t="s">
        <v>236</v>
      </c>
      <c r="C139" s="1042" t="s">
        <v>240</v>
      </c>
      <c r="D139" s="1042" t="s">
        <v>178</v>
      </c>
      <c r="E139" s="1047" t="s">
        <v>55</v>
      </c>
      <c r="F139" s="1047" t="s">
        <v>39</v>
      </c>
      <c r="G139" s="1047" t="s">
        <v>39</v>
      </c>
      <c r="H139" s="1047">
        <v>131</v>
      </c>
      <c r="I139" s="1047">
        <v>2023</v>
      </c>
      <c r="J139" s="1047" t="s">
        <v>233</v>
      </c>
      <c r="K139" s="1047" t="s">
        <v>39</v>
      </c>
      <c r="L139" s="1042" t="s">
        <v>281</v>
      </c>
      <c r="M139" s="1042" t="s">
        <v>284</v>
      </c>
      <c r="N139" s="1050">
        <v>45371</v>
      </c>
    </row>
    <row r="140" spans="1:14">
      <c r="A140" s="1042" t="s">
        <v>231</v>
      </c>
      <c r="B140" s="1042" t="s">
        <v>236</v>
      </c>
      <c r="C140" s="1042" t="s">
        <v>240</v>
      </c>
      <c r="D140" s="1042" t="s">
        <v>178</v>
      </c>
      <c r="E140" s="1047" t="s">
        <v>44</v>
      </c>
      <c r="F140" s="1047" t="s">
        <v>39</v>
      </c>
      <c r="G140" s="1047" t="s">
        <v>39</v>
      </c>
      <c r="H140" s="1047">
        <v>85</v>
      </c>
      <c r="I140" s="1047">
        <v>2023</v>
      </c>
      <c r="J140" s="1047" t="s">
        <v>233</v>
      </c>
      <c r="K140" s="1047" t="s">
        <v>39</v>
      </c>
      <c r="L140" s="1042" t="s">
        <v>281</v>
      </c>
      <c r="M140" s="1042" t="s">
        <v>284</v>
      </c>
      <c r="N140" s="1050">
        <v>45371</v>
      </c>
    </row>
    <row r="141" spans="1:14">
      <c r="A141" s="1042" t="s">
        <v>231</v>
      </c>
      <c r="B141" s="1042" t="s">
        <v>236</v>
      </c>
      <c r="C141" s="1042" t="s">
        <v>240</v>
      </c>
      <c r="D141" s="1042" t="s">
        <v>178</v>
      </c>
      <c r="E141" s="1047" t="s">
        <v>45</v>
      </c>
      <c r="F141" s="1047" t="s">
        <v>39</v>
      </c>
      <c r="G141" s="1047" t="s">
        <v>39</v>
      </c>
      <c r="H141" s="1047">
        <v>458</v>
      </c>
      <c r="I141" s="1047">
        <v>2023</v>
      </c>
      <c r="J141" s="1047" t="s">
        <v>233</v>
      </c>
      <c r="K141" s="1047" t="s">
        <v>39</v>
      </c>
      <c r="L141" s="1042" t="s">
        <v>281</v>
      </c>
      <c r="M141" s="1042" t="s">
        <v>284</v>
      </c>
      <c r="N141" s="1050">
        <v>45371</v>
      </c>
    </row>
    <row r="142" spans="1:14">
      <c r="A142" s="1042" t="s">
        <v>231</v>
      </c>
      <c r="B142" s="1042" t="s">
        <v>236</v>
      </c>
      <c r="C142" s="1042" t="s">
        <v>240</v>
      </c>
      <c r="D142" s="1042" t="s">
        <v>178</v>
      </c>
      <c r="E142" s="1047" t="s">
        <v>46</v>
      </c>
      <c r="F142" s="1047" t="s">
        <v>39</v>
      </c>
      <c r="G142" s="1047" t="s">
        <v>39</v>
      </c>
      <c r="H142" s="1047">
        <v>193</v>
      </c>
      <c r="I142" s="1047">
        <v>2023</v>
      </c>
      <c r="J142" s="1047" t="s">
        <v>233</v>
      </c>
      <c r="K142" s="1047" t="s">
        <v>39</v>
      </c>
      <c r="L142" s="1042" t="s">
        <v>281</v>
      </c>
      <c r="M142" s="1042" t="s">
        <v>284</v>
      </c>
      <c r="N142" s="1050">
        <v>45371</v>
      </c>
    </row>
    <row r="143" spans="1:14">
      <c r="A143" s="1042" t="s">
        <v>231</v>
      </c>
      <c r="B143" s="1042" t="s">
        <v>236</v>
      </c>
      <c r="C143" s="1042" t="s">
        <v>240</v>
      </c>
      <c r="D143" s="1042" t="s">
        <v>178</v>
      </c>
      <c r="E143" s="1047" t="s">
        <v>59</v>
      </c>
      <c r="F143" s="1047" t="s">
        <v>39</v>
      </c>
      <c r="G143" s="1047" t="s">
        <v>39</v>
      </c>
      <c r="H143" s="1047">
        <v>0</v>
      </c>
      <c r="I143" s="1047">
        <v>2023</v>
      </c>
      <c r="J143" s="1047" t="s">
        <v>233</v>
      </c>
      <c r="K143" s="1047" t="s">
        <v>39</v>
      </c>
      <c r="L143" s="1042" t="s">
        <v>281</v>
      </c>
      <c r="M143" s="1042" t="s">
        <v>284</v>
      </c>
      <c r="N143" s="1050">
        <v>45371</v>
      </c>
    </row>
    <row r="144" spans="1:14">
      <c r="A144" s="1042" t="s">
        <v>231</v>
      </c>
      <c r="B144" s="1042" t="s">
        <v>236</v>
      </c>
      <c r="C144" s="1042" t="s">
        <v>240</v>
      </c>
      <c r="D144" s="1042" t="s">
        <v>179</v>
      </c>
      <c r="E144" s="1047" t="s">
        <v>144</v>
      </c>
      <c r="F144" s="1047" t="s">
        <v>39</v>
      </c>
      <c r="G144" s="1047" t="s">
        <v>39</v>
      </c>
      <c r="H144" s="1047">
        <v>604.9</v>
      </c>
      <c r="I144" s="1047">
        <v>2023</v>
      </c>
      <c r="J144" s="1047" t="s">
        <v>233</v>
      </c>
      <c r="K144" s="1047" t="s">
        <v>39</v>
      </c>
      <c r="L144" s="1042" t="s">
        <v>281</v>
      </c>
      <c r="M144" s="1042" t="s">
        <v>284</v>
      </c>
      <c r="N144" s="1050">
        <v>45371</v>
      </c>
    </row>
    <row r="145" spans="1:14">
      <c r="A145" s="1042" t="s">
        <v>231</v>
      </c>
      <c r="B145" s="1042" t="s">
        <v>236</v>
      </c>
      <c r="C145" s="1042" t="s">
        <v>240</v>
      </c>
      <c r="D145" s="1042" t="s">
        <v>179</v>
      </c>
      <c r="E145" s="1047" t="s">
        <v>61</v>
      </c>
      <c r="F145" s="1047" t="s">
        <v>39</v>
      </c>
      <c r="G145" s="1047" t="s">
        <v>39</v>
      </c>
      <c r="H145" s="1047">
        <v>0</v>
      </c>
      <c r="I145" s="1047">
        <v>2023</v>
      </c>
      <c r="J145" s="1047" t="s">
        <v>233</v>
      </c>
      <c r="K145" s="1047" t="s">
        <v>39</v>
      </c>
      <c r="L145" s="1042" t="s">
        <v>281</v>
      </c>
      <c r="M145" s="1042" t="s">
        <v>284</v>
      </c>
      <c r="N145" s="1050">
        <v>45371</v>
      </c>
    </row>
    <row r="146" spans="1:14">
      <c r="A146" s="1042" t="s">
        <v>231</v>
      </c>
      <c r="B146" s="1042" t="s">
        <v>236</v>
      </c>
      <c r="C146" s="1042" t="s">
        <v>240</v>
      </c>
      <c r="D146" s="1042" t="s">
        <v>179</v>
      </c>
      <c r="E146" s="1047" t="s">
        <v>43</v>
      </c>
      <c r="F146" s="1047" t="s">
        <v>39</v>
      </c>
      <c r="G146" s="1047" t="s">
        <v>39</v>
      </c>
      <c r="H146" s="1047">
        <v>507.3</v>
      </c>
      <c r="I146" s="1047">
        <v>2023</v>
      </c>
      <c r="J146" s="1047" t="s">
        <v>233</v>
      </c>
      <c r="K146" s="1047" t="s">
        <v>39</v>
      </c>
      <c r="L146" s="1042" t="s">
        <v>281</v>
      </c>
      <c r="M146" s="1042" t="s">
        <v>284</v>
      </c>
      <c r="N146" s="1050">
        <v>45371</v>
      </c>
    </row>
    <row r="147" spans="1:14">
      <c r="A147" s="1042" t="s">
        <v>231</v>
      </c>
      <c r="B147" s="1042" t="s">
        <v>236</v>
      </c>
      <c r="C147" s="1042" t="s">
        <v>240</v>
      </c>
      <c r="D147" s="1042" t="s">
        <v>179</v>
      </c>
      <c r="E147" s="1047" t="s">
        <v>44</v>
      </c>
      <c r="F147" s="1047" t="s">
        <v>39</v>
      </c>
      <c r="G147" s="1047" t="s">
        <v>39</v>
      </c>
      <c r="H147" s="1047">
        <v>710</v>
      </c>
      <c r="I147" s="1047">
        <v>2023</v>
      </c>
      <c r="J147" s="1047" t="s">
        <v>233</v>
      </c>
      <c r="K147" s="1047" t="s">
        <v>39</v>
      </c>
      <c r="L147" s="1042" t="s">
        <v>281</v>
      </c>
      <c r="M147" s="1042" t="s">
        <v>284</v>
      </c>
      <c r="N147" s="1050">
        <v>45371</v>
      </c>
    </row>
    <row r="148" spans="1:14">
      <c r="A148" s="1042" t="s">
        <v>231</v>
      </c>
      <c r="B148" s="1042" t="s">
        <v>236</v>
      </c>
      <c r="C148" s="1042" t="s">
        <v>240</v>
      </c>
      <c r="D148" s="1042" t="s">
        <v>179</v>
      </c>
      <c r="E148" s="1047" t="s">
        <v>45</v>
      </c>
      <c r="F148" s="1047" t="s">
        <v>39</v>
      </c>
      <c r="G148" s="1047" t="s">
        <v>39</v>
      </c>
      <c r="H148" s="1047">
        <v>503.6</v>
      </c>
      <c r="I148" s="1047">
        <v>2023</v>
      </c>
      <c r="J148" s="1047" t="s">
        <v>233</v>
      </c>
      <c r="K148" s="1047" t="s">
        <v>39</v>
      </c>
      <c r="L148" s="1042" t="s">
        <v>281</v>
      </c>
      <c r="M148" s="1042" t="s">
        <v>284</v>
      </c>
      <c r="N148" s="1050">
        <v>45371</v>
      </c>
    </row>
    <row r="149" spans="1:14">
      <c r="A149" s="1042" t="s">
        <v>231</v>
      </c>
      <c r="B149" s="1042" t="s">
        <v>236</v>
      </c>
      <c r="C149" s="1042" t="s">
        <v>240</v>
      </c>
      <c r="D149" s="1042" t="s">
        <v>179</v>
      </c>
      <c r="E149" s="1047" t="s">
        <v>46</v>
      </c>
      <c r="F149" s="1047" t="s">
        <v>39</v>
      </c>
      <c r="G149" s="1047" t="s">
        <v>39</v>
      </c>
      <c r="H149" s="1047">
        <v>684.4</v>
      </c>
      <c r="I149" s="1047">
        <v>2023</v>
      </c>
      <c r="J149" s="1047" t="s">
        <v>233</v>
      </c>
      <c r="K149" s="1047" t="s">
        <v>39</v>
      </c>
      <c r="L149" s="1042" t="s">
        <v>281</v>
      </c>
      <c r="M149" s="1042" t="s">
        <v>284</v>
      </c>
      <c r="N149" s="1050">
        <v>45371</v>
      </c>
    </row>
    <row r="150" spans="1:14">
      <c r="A150" s="1042" t="s">
        <v>231</v>
      </c>
      <c r="B150" s="1042" t="s">
        <v>248</v>
      </c>
      <c r="C150" s="1042" t="s">
        <v>237</v>
      </c>
      <c r="D150" s="1042" t="s">
        <v>186</v>
      </c>
      <c r="E150" s="1047" t="s">
        <v>144</v>
      </c>
      <c r="F150" s="1047" t="s">
        <v>39</v>
      </c>
      <c r="G150" s="1047" t="s">
        <v>39</v>
      </c>
      <c r="H150" s="1047">
        <v>6</v>
      </c>
      <c r="I150" s="1047">
        <v>2023</v>
      </c>
      <c r="J150" s="1047" t="s">
        <v>233</v>
      </c>
      <c r="K150" s="1047" t="s">
        <v>39</v>
      </c>
      <c r="L150" s="1042" t="s">
        <v>281</v>
      </c>
      <c r="M150" s="1042" t="s">
        <v>290</v>
      </c>
      <c r="N150" s="1050">
        <v>45371</v>
      </c>
    </row>
    <row r="151" spans="1:14">
      <c r="A151" s="1042" t="s">
        <v>231</v>
      </c>
      <c r="B151" s="1042" t="s">
        <v>248</v>
      </c>
      <c r="C151" s="1042" t="s">
        <v>237</v>
      </c>
      <c r="D151" s="1042" t="s">
        <v>186</v>
      </c>
      <c r="E151" s="1047" t="s">
        <v>37</v>
      </c>
      <c r="F151" s="1047" t="s">
        <v>39</v>
      </c>
      <c r="G151" s="1047" t="s">
        <v>39</v>
      </c>
      <c r="H151" s="1047">
        <v>5</v>
      </c>
      <c r="I151" s="1047">
        <v>2023</v>
      </c>
      <c r="J151" s="1047" t="s">
        <v>233</v>
      </c>
      <c r="K151" s="1047" t="s">
        <v>39</v>
      </c>
      <c r="L151" s="1042" t="s">
        <v>281</v>
      </c>
      <c r="M151" s="1042" t="s">
        <v>290</v>
      </c>
      <c r="N151" s="1050">
        <v>45371</v>
      </c>
    </row>
    <row r="152" spans="1:14">
      <c r="A152" s="1042" t="s">
        <v>231</v>
      </c>
      <c r="B152" s="1042" t="s">
        <v>248</v>
      </c>
      <c r="C152" s="1042" t="s">
        <v>237</v>
      </c>
      <c r="D152" s="1042" t="s">
        <v>186</v>
      </c>
      <c r="E152" s="1047" t="s">
        <v>40</v>
      </c>
      <c r="F152" s="1047" t="s">
        <v>39</v>
      </c>
      <c r="G152" s="1047" t="s">
        <v>39</v>
      </c>
      <c r="H152" s="1047">
        <v>1</v>
      </c>
      <c r="I152" s="1047">
        <v>2023</v>
      </c>
      <c r="J152" s="1047" t="s">
        <v>233</v>
      </c>
      <c r="K152" s="1047" t="s">
        <v>39</v>
      </c>
      <c r="L152" s="1042" t="s">
        <v>281</v>
      </c>
      <c r="M152" s="1042" t="s">
        <v>290</v>
      </c>
      <c r="N152" s="1050">
        <v>45371</v>
      </c>
    </row>
    <row r="153" spans="1:14">
      <c r="A153" s="1042" t="s">
        <v>231</v>
      </c>
      <c r="B153" s="1042" t="s">
        <v>248</v>
      </c>
      <c r="C153" s="1042" t="s">
        <v>238</v>
      </c>
      <c r="D153" s="1042" t="s">
        <v>187</v>
      </c>
      <c r="E153" s="1047" t="s">
        <v>144</v>
      </c>
      <c r="F153" s="1047" t="s">
        <v>39</v>
      </c>
      <c r="G153" s="1047" t="s">
        <v>39</v>
      </c>
      <c r="H153" s="1047">
        <v>52</v>
      </c>
      <c r="I153" s="1047">
        <v>2023</v>
      </c>
      <c r="J153" s="1047" t="s">
        <v>233</v>
      </c>
      <c r="K153" s="1047" t="s">
        <v>39</v>
      </c>
      <c r="L153" s="1042" t="s">
        <v>281</v>
      </c>
      <c r="M153" s="1042" t="s">
        <v>291</v>
      </c>
      <c r="N153" s="1050">
        <v>45371</v>
      </c>
    </row>
    <row r="154" spans="1:14">
      <c r="A154" s="1042" t="s">
        <v>231</v>
      </c>
      <c r="B154" s="1042" t="s">
        <v>248</v>
      </c>
      <c r="C154" s="1042" t="s">
        <v>238</v>
      </c>
      <c r="D154" s="1042" t="s">
        <v>187</v>
      </c>
      <c r="E154" s="1047" t="s">
        <v>75</v>
      </c>
      <c r="F154" s="1047" t="s">
        <v>39</v>
      </c>
      <c r="G154" s="1047" t="s">
        <v>39</v>
      </c>
      <c r="H154" s="1047">
        <v>26</v>
      </c>
      <c r="I154" s="1047">
        <v>2023</v>
      </c>
      <c r="J154" s="1047" t="s">
        <v>233</v>
      </c>
      <c r="K154" s="1047" t="s">
        <v>39</v>
      </c>
      <c r="L154" s="1042" t="s">
        <v>281</v>
      </c>
      <c r="M154" s="1042" t="s">
        <v>291</v>
      </c>
      <c r="N154" s="1050">
        <v>45371</v>
      </c>
    </row>
    <row r="155" spans="1:14">
      <c r="A155" s="1042" t="s">
        <v>231</v>
      </c>
      <c r="B155" s="1042" t="s">
        <v>248</v>
      </c>
      <c r="C155" s="1042" t="s">
        <v>238</v>
      </c>
      <c r="D155" s="1042" t="s">
        <v>187</v>
      </c>
      <c r="E155" s="1047" t="s">
        <v>76</v>
      </c>
      <c r="F155" s="1047" t="s">
        <v>39</v>
      </c>
      <c r="G155" s="1047" t="s">
        <v>39</v>
      </c>
      <c r="H155" s="1047">
        <v>26</v>
      </c>
      <c r="I155" s="1047">
        <v>2023</v>
      </c>
      <c r="J155" s="1047" t="s">
        <v>233</v>
      </c>
      <c r="K155" s="1047" t="s">
        <v>39</v>
      </c>
      <c r="L155" s="1042" t="s">
        <v>281</v>
      </c>
      <c r="M155" s="1042" t="s">
        <v>291</v>
      </c>
      <c r="N155" s="1050">
        <v>45371</v>
      </c>
    </row>
    <row r="156" spans="1:14">
      <c r="A156" s="1042" t="s">
        <v>231</v>
      </c>
      <c r="B156" s="1042" t="s">
        <v>241</v>
      </c>
      <c r="C156" s="1042" t="s">
        <v>242</v>
      </c>
      <c r="D156" s="1042" t="s">
        <v>180</v>
      </c>
      <c r="E156" s="1047" t="s">
        <v>144</v>
      </c>
      <c r="F156" s="1047" t="s">
        <v>39</v>
      </c>
      <c r="G156" s="1047" t="s">
        <v>39</v>
      </c>
      <c r="H156" s="1047">
        <v>93</v>
      </c>
      <c r="I156" s="1047">
        <v>2023</v>
      </c>
      <c r="J156" s="1047" t="s">
        <v>233</v>
      </c>
      <c r="K156" s="1047" t="s">
        <v>39</v>
      </c>
      <c r="L156" s="1042" t="s">
        <v>281</v>
      </c>
      <c r="M156" s="1042" t="s">
        <v>286</v>
      </c>
      <c r="N156" s="1050">
        <v>45371</v>
      </c>
    </row>
    <row r="157" spans="1:14">
      <c r="A157" s="1042" t="s">
        <v>231</v>
      </c>
      <c r="B157" s="1042" t="s">
        <v>241</v>
      </c>
      <c r="C157" s="1042" t="s">
        <v>243</v>
      </c>
      <c r="D157" s="1042" t="s">
        <v>181</v>
      </c>
      <c r="E157" s="1047" t="s">
        <v>144</v>
      </c>
      <c r="F157" s="1047" t="s">
        <v>39</v>
      </c>
      <c r="G157" s="1047" t="s">
        <v>39</v>
      </c>
      <c r="H157" s="1047">
        <v>333</v>
      </c>
      <c r="I157" s="1047">
        <v>2023</v>
      </c>
      <c r="J157" s="1047" t="s">
        <v>233</v>
      </c>
      <c r="K157" s="1047" t="s">
        <v>39</v>
      </c>
      <c r="L157" s="1042" t="s">
        <v>281</v>
      </c>
      <c r="M157" s="1042" t="s">
        <v>287</v>
      </c>
      <c r="N157" s="1050">
        <v>45371</v>
      </c>
    </row>
    <row r="158" spans="1:14">
      <c r="A158" s="1042" t="s">
        <v>231</v>
      </c>
      <c r="B158" s="1042" t="s">
        <v>241</v>
      </c>
      <c r="C158" s="1042" t="s">
        <v>244</v>
      </c>
      <c r="D158" s="1042" t="s">
        <v>182</v>
      </c>
      <c r="E158" s="1047" t="s">
        <v>144</v>
      </c>
      <c r="F158" s="1047" t="s">
        <v>39</v>
      </c>
      <c r="G158" s="1047" t="s">
        <v>39</v>
      </c>
      <c r="H158" s="1047">
        <v>702</v>
      </c>
      <c r="I158" s="1047">
        <v>2023</v>
      </c>
      <c r="J158" s="1047" t="s">
        <v>233</v>
      </c>
      <c r="K158" s="1047" t="s">
        <v>39</v>
      </c>
      <c r="L158" s="1042" t="s">
        <v>281</v>
      </c>
      <c r="M158" s="1042" t="s">
        <v>287</v>
      </c>
      <c r="N158" s="1050">
        <v>45371</v>
      </c>
    </row>
    <row r="159" spans="1:14">
      <c r="A159" s="1042" t="s">
        <v>231</v>
      </c>
      <c r="B159" s="1042" t="s">
        <v>241</v>
      </c>
      <c r="C159" s="1042" t="s">
        <v>249</v>
      </c>
      <c r="D159" s="1042" t="s">
        <v>188</v>
      </c>
      <c r="E159" s="1047" t="s">
        <v>144</v>
      </c>
      <c r="F159" s="1047" t="s">
        <v>39</v>
      </c>
      <c r="G159" s="1047" t="s">
        <v>39</v>
      </c>
      <c r="H159" s="1047">
        <v>51</v>
      </c>
      <c r="I159" s="1047">
        <v>2023</v>
      </c>
      <c r="J159" s="1047" t="s">
        <v>233</v>
      </c>
      <c r="K159" s="1047" t="s">
        <v>39</v>
      </c>
      <c r="L159" s="1042" t="s">
        <v>281</v>
      </c>
      <c r="M159" s="1042" t="s">
        <v>292</v>
      </c>
      <c r="N159" s="1050">
        <v>45371</v>
      </c>
    </row>
    <row r="160" spans="1:14">
      <c r="A160" s="1042" t="s">
        <v>231</v>
      </c>
      <c r="B160" s="1042" t="s">
        <v>241</v>
      </c>
      <c r="C160" s="1042" t="s">
        <v>249</v>
      </c>
      <c r="D160" s="1042" t="s">
        <v>188</v>
      </c>
      <c r="E160" s="1047" t="s">
        <v>92</v>
      </c>
      <c r="F160" s="1047" t="s">
        <v>39</v>
      </c>
      <c r="G160" s="1047" t="s">
        <v>39</v>
      </c>
      <c r="H160" s="1047">
        <v>51</v>
      </c>
      <c r="I160" s="1047">
        <v>2023</v>
      </c>
      <c r="J160" s="1047" t="s">
        <v>233</v>
      </c>
      <c r="K160" s="1047" t="s">
        <v>39</v>
      </c>
      <c r="L160" s="1042" t="s">
        <v>281</v>
      </c>
      <c r="M160" s="1042" t="s">
        <v>292</v>
      </c>
      <c r="N160" s="1050">
        <v>45371</v>
      </c>
    </row>
    <row r="161" spans="1:14">
      <c r="A161" s="1042" t="s">
        <v>231</v>
      </c>
      <c r="B161" s="1042" t="s">
        <v>241</v>
      </c>
      <c r="C161" s="1042" t="s">
        <v>249</v>
      </c>
      <c r="D161" s="1042" t="s">
        <v>188</v>
      </c>
      <c r="E161" s="1047" t="s">
        <v>46</v>
      </c>
      <c r="F161" s="1047" t="s">
        <v>39</v>
      </c>
      <c r="G161" s="1047" t="s">
        <v>39</v>
      </c>
      <c r="H161" s="1047">
        <v>0</v>
      </c>
      <c r="I161" s="1047">
        <v>2023</v>
      </c>
      <c r="J161" s="1047" t="s">
        <v>233</v>
      </c>
      <c r="K161" s="1047" t="s">
        <v>39</v>
      </c>
      <c r="L161" s="1042" t="s">
        <v>281</v>
      </c>
      <c r="M161" s="1042" t="s">
        <v>292</v>
      </c>
      <c r="N161" s="1050">
        <v>45371</v>
      </c>
    </row>
    <row r="162" spans="1:14">
      <c r="A162" s="1042" t="s">
        <v>231</v>
      </c>
      <c r="B162" s="1042" t="s">
        <v>241</v>
      </c>
      <c r="C162" s="1042" t="s">
        <v>246</v>
      </c>
      <c r="D162" s="1042" t="s">
        <v>184</v>
      </c>
      <c r="E162" s="1047" t="s">
        <v>144</v>
      </c>
      <c r="F162" s="1047" t="s">
        <v>39</v>
      </c>
      <c r="G162" s="1047" t="s">
        <v>39</v>
      </c>
      <c r="H162" s="1047">
        <v>28</v>
      </c>
      <c r="I162" s="1047">
        <v>2023</v>
      </c>
      <c r="J162" s="1047" t="s">
        <v>233</v>
      </c>
      <c r="K162" s="1047" t="s">
        <v>39</v>
      </c>
      <c r="L162" s="1042" t="s">
        <v>281</v>
      </c>
      <c r="M162" s="1042" t="s">
        <v>289</v>
      </c>
      <c r="N162" s="1050">
        <v>45371</v>
      </c>
    </row>
    <row r="163" spans="1:14">
      <c r="A163" s="1042" t="s">
        <v>231</v>
      </c>
      <c r="B163" s="1042" t="s">
        <v>241</v>
      </c>
      <c r="C163" s="1042" t="s">
        <v>250</v>
      </c>
      <c r="D163" s="1042" t="s">
        <v>189</v>
      </c>
      <c r="E163" s="1047" t="s">
        <v>144</v>
      </c>
      <c r="F163" s="1047" t="s">
        <v>39</v>
      </c>
      <c r="G163" s="1047" t="s">
        <v>39</v>
      </c>
      <c r="H163" s="1047">
        <v>543</v>
      </c>
      <c r="I163" s="1047">
        <v>2023</v>
      </c>
      <c r="J163" s="1047" t="s">
        <v>233</v>
      </c>
      <c r="K163" s="1047" t="s">
        <v>39</v>
      </c>
      <c r="L163" s="1042" t="s">
        <v>281</v>
      </c>
      <c r="M163" s="1042" t="s">
        <v>284</v>
      </c>
      <c r="N163" s="1050">
        <v>45371</v>
      </c>
    </row>
    <row r="164" spans="1:14">
      <c r="A164" s="1042" t="s">
        <v>231</v>
      </c>
      <c r="B164" s="1042" t="s">
        <v>241</v>
      </c>
      <c r="C164" s="1042" t="s">
        <v>250</v>
      </c>
      <c r="D164" s="1042" t="s">
        <v>189</v>
      </c>
      <c r="E164" s="1047" t="s">
        <v>92</v>
      </c>
      <c r="F164" s="1047" t="s">
        <v>39</v>
      </c>
      <c r="G164" s="1047" t="s">
        <v>39</v>
      </c>
      <c r="H164" s="1047">
        <v>202</v>
      </c>
      <c r="I164" s="1047">
        <v>2023</v>
      </c>
      <c r="J164" s="1047" t="s">
        <v>233</v>
      </c>
      <c r="K164" s="1047" t="s">
        <v>39</v>
      </c>
      <c r="L164" s="1042" t="s">
        <v>281</v>
      </c>
      <c r="M164" s="1042" t="s">
        <v>284</v>
      </c>
      <c r="N164" s="1050">
        <v>45371</v>
      </c>
    </row>
    <row r="165" spans="1:14">
      <c r="A165" s="1042" t="s">
        <v>231</v>
      </c>
      <c r="B165" s="1042" t="s">
        <v>241</v>
      </c>
      <c r="C165" s="1042" t="s">
        <v>250</v>
      </c>
      <c r="D165" s="1042" t="s">
        <v>189</v>
      </c>
      <c r="E165" s="1047" t="s">
        <v>46</v>
      </c>
      <c r="F165" s="1047" t="s">
        <v>39</v>
      </c>
      <c r="G165" s="1047" t="s">
        <v>39</v>
      </c>
      <c r="H165" s="1047">
        <v>341</v>
      </c>
      <c r="I165" s="1047">
        <v>2023</v>
      </c>
      <c r="J165" s="1047" t="s">
        <v>233</v>
      </c>
      <c r="K165" s="1047" t="s">
        <v>39</v>
      </c>
      <c r="L165" s="1042" t="s">
        <v>281</v>
      </c>
      <c r="M165" s="1042" t="s">
        <v>284</v>
      </c>
      <c r="N165" s="1050">
        <v>45371</v>
      </c>
    </row>
    <row r="166" spans="1:14">
      <c r="A166" s="1042" t="s">
        <v>231</v>
      </c>
      <c r="B166" s="1042" t="s">
        <v>236</v>
      </c>
      <c r="C166" s="1042" t="s">
        <v>238</v>
      </c>
      <c r="D166" s="1042" t="s">
        <v>176</v>
      </c>
      <c r="E166" s="1047" t="s">
        <v>52</v>
      </c>
      <c r="F166" s="1047" t="s">
        <v>39</v>
      </c>
      <c r="G166" s="1047" t="s">
        <v>39</v>
      </c>
      <c r="H166" s="1047">
        <v>24</v>
      </c>
      <c r="I166" s="1047">
        <v>2024</v>
      </c>
      <c r="J166" s="1047" t="s">
        <v>233</v>
      </c>
      <c r="K166" s="1047" t="s">
        <v>39</v>
      </c>
      <c r="L166" s="1042" t="s">
        <v>281</v>
      </c>
      <c r="M166" s="1042" t="s">
        <v>285</v>
      </c>
      <c r="N166" s="1050">
        <v>45371</v>
      </c>
    </row>
    <row r="167" spans="1:14">
      <c r="A167" s="1042" t="s">
        <v>231</v>
      </c>
      <c r="B167" s="1042" t="s">
        <v>241</v>
      </c>
      <c r="C167" s="1042" t="s">
        <v>242</v>
      </c>
      <c r="D167" s="1042" t="s">
        <v>180</v>
      </c>
      <c r="E167" s="1047" t="s">
        <v>144</v>
      </c>
      <c r="F167" s="1047" t="s">
        <v>39</v>
      </c>
      <c r="G167" s="1047" t="s">
        <v>39</v>
      </c>
      <c r="H167" s="1047">
        <v>81</v>
      </c>
      <c r="I167" s="1047">
        <v>2024</v>
      </c>
      <c r="J167" s="1047" t="s">
        <v>233</v>
      </c>
      <c r="K167" s="1047" t="s">
        <v>39</v>
      </c>
      <c r="L167" s="1042" t="s">
        <v>281</v>
      </c>
      <c r="M167" s="1042" t="s">
        <v>286</v>
      </c>
      <c r="N167" s="1050">
        <v>45371</v>
      </c>
    </row>
    <row r="168" spans="1:14">
      <c r="A168" s="1042" t="s">
        <v>231</v>
      </c>
      <c r="B168" s="1042" t="s">
        <v>241</v>
      </c>
      <c r="C168" s="1042" t="s">
        <v>249</v>
      </c>
      <c r="D168" s="1042" t="s">
        <v>188</v>
      </c>
      <c r="E168" s="1047" t="s">
        <v>144</v>
      </c>
      <c r="F168" s="1047" t="s">
        <v>39</v>
      </c>
      <c r="G168" s="1047" t="s">
        <v>39</v>
      </c>
      <c r="H168" s="1047">
        <v>346</v>
      </c>
      <c r="I168" s="1047">
        <v>2024</v>
      </c>
      <c r="J168" s="1047" t="s">
        <v>233</v>
      </c>
      <c r="K168" s="1047" t="s">
        <v>39</v>
      </c>
      <c r="L168" s="1042" t="s">
        <v>281</v>
      </c>
      <c r="M168" s="1042" t="s">
        <v>292</v>
      </c>
      <c r="N168" s="1050">
        <v>45371</v>
      </c>
    </row>
    <row r="169" spans="1:14">
      <c r="A169" s="1042" t="s">
        <v>231</v>
      </c>
      <c r="B169" s="1042" t="s">
        <v>241</v>
      </c>
      <c r="C169" s="1042" t="s">
        <v>249</v>
      </c>
      <c r="D169" s="1042" t="s">
        <v>188</v>
      </c>
      <c r="E169" s="1047" t="s">
        <v>92</v>
      </c>
      <c r="F169" s="1047" t="s">
        <v>39</v>
      </c>
      <c r="G169" s="1047" t="s">
        <v>39</v>
      </c>
      <c r="H169" s="1047">
        <v>212</v>
      </c>
      <c r="I169" s="1047">
        <v>2024</v>
      </c>
      <c r="J169" s="1047" t="s">
        <v>233</v>
      </c>
      <c r="K169" s="1047" t="s">
        <v>39</v>
      </c>
      <c r="L169" s="1042" t="s">
        <v>281</v>
      </c>
      <c r="M169" s="1042" t="s">
        <v>292</v>
      </c>
      <c r="N169" s="1050">
        <v>45371</v>
      </c>
    </row>
    <row r="170" spans="1:14">
      <c r="A170" s="1042" t="s">
        <v>231</v>
      </c>
      <c r="B170" s="1042" t="s">
        <v>241</v>
      </c>
      <c r="C170" s="1042" t="s">
        <v>249</v>
      </c>
      <c r="D170" s="1042" t="s">
        <v>188</v>
      </c>
      <c r="E170" s="1047" t="s">
        <v>46</v>
      </c>
      <c r="F170" s="1047" t="s">
        <v>39</v>
      </c>
      <c r="G170" s="1047" t="s">
        <v>39</v>
      </c>
      <c r="H170" s="1047">
        <v>134</v>
      </c>
      <c r="I170" s="1047">
        <v>2024</v>
      </c>
      <c r="J170" s="1047" t="s">
        <v>233</v>
      </c>
      <c r="K170" s="1047" t="s">
        <v>39</v>
      </c>
      <c r="L170" s="1042" t="s">
        <v>281</v>
      </c>
      <c r="M170" s="1042" t="s">
        <v>292</v>
      </c>
      <c r="N170" s="1050">
        <v>45371</v>
      </c>
    </row>
    <row r="171" spans="1:14">
      <c r="A171" s="1042" t="s">
        <v>231</v>
      </c>
      <c r="B171" s="1042" t="s">
        <v>232</v>
      </c>
      <c r="C171" s="1042" t="s">
        <v>251</v>
      </c>
      <c r="D171" s="1049" t="s">
        <v>190</v>
      </c>
      <c r="E171" s="1047" t="s">
        <v>144</v>
      </c>
      <c r="F171" s="1047" t="s">
        <v>39</v>
      </c>
      <c r="G171" s="1047" t="s">
        <v>39</v>
      </c>
      <c r="H171" s="1047">
        <v>2474736300</v>
      </c>
      <c r="I171" s="1047">
        <v>2019</v>
      </c>
      <c r="J171" s="1047" t="s">
        <v>233</v>
      </c>
      <c r="K171" s="1047" t="s">
        <v>39</v>
      </c>
      <c r="L171" s="1042" t="s">
        <v>281</v>
      </c>
      <c r="M171" s="1042" t="s">
        <v>283</v>
      </c>
      <c r="N171" s="1050">
        <v>45371</v>
      </c>
    </row>
    <row r="172" spans="1:14">
      <c r="A172" s="1042" t="s">
        <v>231</v>
      </c>
      <c r="B172" s="1042" t="s">
        <v>232</v>
      </c>
      <c r="C172" s="1042" t="s">
        <v>252</v>
      </c>
      <c r="D172" s="1049" t="s">
        <v>191</v>
      </c>
      <c r="E172" s="1047" t="s">
        <v>144</v>
      </c>
      <c r="F172" s="1047" t="s">
        <v>39</v>
      </c>
      <c r="G172" s="1047" t="s">
        <v>39</v>
      </c>
      <c r="H172" s="1047">
        <v>28640506612.815582</v>
      </c>
      <c r="I172" s="1047">
        <v>2019</v>
      </c>
      <c r="J172" s="1047" t="s">
        <v>233</v>
      </c>
      <c r="K172" s="1047" t="s">
        <v>39</v>
      </c>
      <c r="L172" s="1042" t="s">
        <v>281</v>
      </c>
      <c r="M172" s="1042" t="s">
        <v>283</v>
      </c>
      <c r="N172" s="1050">
        <v>45371</v>
      </c>
    </row>
    <row r="173" spans="1:14">
      <c r="A173" s="1042" t="s">
        <v>231</v>
      </c>
      <c r="B173" s="1042" t="s">
        <v>236</v>
      </c>
      <c r="C173" s="1042" t="s">
        <v>253</v>
      </c>
      <c r="D173" s="1042" t="s">
        <v>192</v>
      </c>
      <c r="E173" s="1047" t="s">
        <v>144</v>
      </c>
      <c r="F173" s="1047" t="s">
        <v>39</v>
      </c>
      <c r="G173" s="1047" t="s">
        <v>39</v>
      </c>
      <c r="H173" s="1047">
        <v>0</v>
      </c>
      <c r="I173" s="1047">
        <v>2019</v>
      </c>
      <c r="J173" s="1047" t="s">
        <v>233</v>
      </c>
      <c r="K173" s="1047" t="s">
        <v>39</v>
      </c>
      <c r="L173" s="1042" t="s">
        <v>281</v>
      </c>
      <c r="M173" s="1042" t="s">
        <v>284</v>
      </c>
      <c r="N173" s="1050">
        <v>45371</v>
      </c>
    </row>
    <row r="174" spans="1:14">
      <c r="A174" s="1042" t="s">
        <v>231</v>
      </c>
      <c r="B174" s="1042" t="s">
        <v>236</v>
      </c>
      <c r="C174" s="1042" t="s">
        <v>253</v>
      </c>
      <c r="D174" s="1042" t="s">
        <v>192</v>
      </c>
      <c r="E174" s="1047" t="s">
        <v>37</v>
      </c>
      <c r="F174" s="1047" t="s">
        <v>39</v>
      </c>
      <c r="G174" s="1047" t="s">
        <v>39</v>
      </c>
      <c r="H174" s="1047">
        <v>915</v>
      </c>
      <c r="I174" s="1047">
        <v>2019</v>
      </c>
      <c r="J174" s="1047" t="s">
        <v>233</v>
      </c>
      <c r="K174" s="1047" t="s">
        <v>39</v>
      </c>
      <c r="L174" s="1042" t="s">
        <v>281</v>
      </c>
      <c r="M174" s="1042" t="s">
        <v>284</v>
      </c>
      <c r="N174" s="1050">
        <v>45371</v>
      </c>
    </row>
    <row r="175" spans="1:14">
      <c r="A175" s="1042" t="s">
        <v>231</v>
      </c>
      <c r="B175" s="1042" t="s">
        <v>236</v>
      </c>
      <c r="C175" s="1042" t="s">
        <v>254</v>
      </c>
      <c r="D175" s="1042" t="s">
        <v>193</v>
      </c>
      <c r="E175" s="1047" t="s">
        <v>144</v>
      </c>
      <c r="F175" s="1047" t="s">
        <v>39</v>
      </c>
      <c r="G175" s="1047" t="s">
        <v>39</v>
      </c>
      <c r="H175" s="1047">
        <v>50</v>
      </c>
      <c r="I175" s="1047">
        <v>2019</v>
      </c>
      <c r="J175" s="1047" t="s">
        <v>233</v>
      </c>
      <c r="K175" s="1047" t="s">
        <v>39</v>
      </c>
      <c r="L175" s="1042" t="s">
        <v>281</v>
      </c>
      <c r="M175" s="1042" t="s">
        <v>285</v>
      </c>
      <c r="N175" s="1050">
        <v>45371</v>
      </c>
    </row>
    <row r="176" spans="1:14">
      <c r="A176" s="1042" t="s">
        <v>231</v>
      </c>
      <c r="B176" s="1042" t="s">
        <v>236</v>
      </c>
      <c r="C176" s="1042" t="s">
        <v>254</v>
      </c>
      <c r="D176" s="1042" t="s">
        <v>193</v>
      </c>
      <c r="E176" s="1047" t="s">
        <v>43</v>
      </c>
      <c r="F176" s="1047" t="s">
        <v>39</v>
      </c>
      <c r="G176" s="1047" t="s">
        <v>39</v>
      </c>
      <c r="H176" s="1047">
        <v>50</v>
      </c>
      <c r="I176" s="1047">
        <v>2019</v>
      </c>
      <c r="J176" s="1047" t="s">
        <v>233</v>
      </c>
      <c r="K176" s="1047" t="s">
        <v>39</v>
      </c>
      <c r="L176" s="1042" t="s">
        <v>281</v>
      </c>
      <c r="M176" s="1042" t="s">
        <v>285</v>
      </c>
      <c r="N176" s="1050">
        <v>45371</v>
      </c>
    </row>
    <row r="177" spans="1:14">
      <c r="A177" s="1042" t="s">
        <v>231</v>
      </c>
      <c r="B177" s="1042" t="s">
        <v>236</v>
      </c>
      <c r="C177" s="1042" t="s">
        <v>254</v>
      </c>
      <c r="D177" s="1042" t="s">
        <v>193</v>
      </c>
      <c r="E177" s="1047" t="s">
        <v>44</v>
      </c>
      <c r="F177" s="1047" t="s">
        <v>39</v>
      </c>
      <c r="G177" s="1047" t="s">
        <v>39</v>
      </c>
      <c r="H177" s="1047">
        <v>0</v>
      </c>
      <c r="I177" s="1047">
        <v>2019</v>
      </c>
      <c r="J177" s="1047" t="s">
        <v>233</v>
      </c>
      <c r="K177" s="1047" t="s">
        <v>39</v>
      </c>
      <c r="L177" s="1042" t="s">
        <v>281</v>
      </c>
      <c r="M177" s="1042" t="s">
        <v>285</v>
      </c>
      <c r="N177" s="1050">
        <v>45371</v>
      </c>
    </row>
    <row r="178" spans="1:14">
      <c r="A178" s="1042" t="s">
        <v>231</v>
      </c>
      <c r="B178" s="1042" t="s">
        <v>236</v>
      </c>
      <c r="C178" s="1042" t="s">
        <v>254</v>
      </c>
      <c r="D178" s="1042" t="s">
        <v>193</v>
      </c>
      <c r="E178" s="1047" t="s">
        <v>45</v>
      </c>
      <c r="F178" s="1047" t="s">
        <v>39</v>
      </c>
      <c r="G178" s="1047" t="s">
        <v>39</v>
      </c>
      <c r="H178" s="1047">
        <v>0</v>
      </c>
      <c r="I178" s="1047">
        <v>2019</v>
      </c>
      <c r="J178" s="1047" t="s">
        <v>233</v>
      </c>
      <c r="K178" s="1047" t="s">
        <v>39</v>
      </c>
      <c r="L178" s="1042" t="s">
        <v>281</v>
      </c>
      <c r="M178" s="1042" t="s">
        <v>285</v>
      </c>
      <c r="N178" s="1050">
        <v>45371</v>
      </c>
    </row>
    <row r="179" spans="1:14">
      <c r="A179" s="1042" t="s">
        <v>231</v>
      </c>
      <c r="B179" s="1042" t="s">
        <v>236</v>
      </c>
      <c r="C179" s="1042" t="s">
        <v>255</v>
      </c>
      <c r="D179" s="1042" t="s">
        <v>194</v>
      </c>
      <c r="E179" s="1047" t="s">
        <v>144</v>
      </c>
      <c r="F179" s="1047" t="s">
        <v>39</v>
      </c>
      <c r="G179" s="1047" t="s">
        <v>39</v>
      </c>
      <c r="H179" s="1047">
        <v>98369909</v>
      </c>
      <c r="I179" s="1047">
        <v>2019</v>
      </c>
      <c r="J179" s="1047" t="s">
        <v>233</v>
      </c>
      <c r="K179" s="1047" t="s">
        <v>39</v>
      </c>
      <c r="L179" s="1042" t="s">
        <v>281</v>
      </c>
      <c r="M179" s="1042" t="s">
        <v>283</v>
      </c>
      <c r="N179" s="1050">
        <v>45371</v>
      </c>
    </row>
    <row r="180" spans="1:14">
      <c r="A180" s="1042" t="s">
        <v>231</v>
      </c>
      <c r="B180" s="1042" t="s">
        <v>236</v>
      </c>
      <c r="C180" s="1042" t="s">
        <v>255</v>
      </c>
      <c r="D180" s="1042" t="s">
        <v>194</v>
      </c>
      <c r="E180" s="1047" t="s">
        <v>55</v>
      </c>
      <c r="F180" s="1047" t="s">
        <v>39</v>
      </c>
      <c r="G180" s="1047" t="s">
        <v>39</v>
      </c>
      <c r="H180" s="1047">
        <v>32789969.666666664</v>
      </c>
      <c r="I180" s="1047">
        <v>2019</v>
      </c>
      <c r="J180" s="1047" t="s">
        <v>233</v>
      </c>
      <c r="K180" s="1047" t="s">
        <v>39</v>
      </c>
      <c r="L180" s="1042" t="s">
        <v>281</v>
      </c>
      <c r="M180" s="1042" t="s">
        <v>283</v>
      </c>
      <c r="N180" s="1050">
        <v>45371</v>
      </c>
    </row>
    <row r="181" spans="1:14">
      <c r="A181" s="1042" t="s">
        <v>231</v>
      </c>
      <c r="B181" s="1042" t="s">
        <v>236</v>
      </c>
      <c r="C181" s="1042" t="s">
        <v>255</v>
      </c>
      <c r="D181" s="1042" t="s">
        <v>194</v>
      </c>
      <c r="E181" s="1047" t="s">
        <v>44</v>
      </c>
      <c r="F181" s="1047" t="s">
        <v>39</v>
      </c>
      <c r="G181" s="1047" t="s">
        <v>39</v>
      </c>
      <c r="H181" s="1047">
        <v>22741430.575268816</v>
      </c>
      <c r="I181" s="1047">
        <v>2019</v>
      </c>
      <c r="J181" s="1047" t="s">
        <v>233</v>
      </c>
      <c r="K181" s="1047" t="s">
        <v>39</v>
      </c>
      <c r="L181" s="1042" t="s">
        <v>281</v>
      </c>
      <c r="M181" s="1042" t="s">
        <v>283</v>
      </c>
      <c r="N181" s="1050">
        <v>45371</v>
      </c>
    </row>
    <row r="182" spans="1:14">
      <c r="A182" s="1042" t="s">
        <v>231</v>
      </c>
      <c r="B182" s="1042" t="s">
        <v>236</v>
      </c>
      <c r="C182" s="1042" t="s">
        <v>255</v>
      </c>
      <c r="D182" s="1042" t="s">
        <v>194</v>
      </c>
      <c r="E182" s="1047" t="s">
        <v>45</v>
      </c>
      <c r="F182" s="1047" t="s">
        <v>39</v>
      </c>
      <c r="G182" s="1047" t="s">
        <v>39</v>
      </c>
      <c r="H182" s="1047">
        <v>42838508.758064516</v>
      </c>
      <c r="I182" s="1047">
        <v>2019</v>
      </c>
      <c r="J182" s="1047" t="s">
        <v>233</v>
      </c>
      <c r="K182" s="1047" t="s">
        <v>39</v>
      </c>
      <c r="L182" s="1042" t="s">
        <v>281</v>
      </c>
      <c r="M182" s="1042" t="s">
        <v>283</v>
      </c>
      <c r="N182" s="1050">
        <v>45371</v>
      </c>
    </row>
    <row r="183" spans="1:14">
      <c r="A183" s="1042" t="s">
        <v>231</v>
      </c>
      <c r="B183" s="1042" t="s">
        <v>236</v>
      </c>
      <c r="C183" s="1042" t="s">
        <v>256</v>
      </c>
      <c r="D183" s="1042" t="s">
        <v>195</v>
      </c>
      <c r="E183" s="1047" t="s">
        <v>144</v>
      </c>
      <c r="F183" s="1047" t="s">
        <v>39</v>
      </c>
      <c r="G183" s="1047" t="s">
        <v>39</v>
      </c>
      <c r="H183" s="1047">
        <v>400</v>
      </c>
      <c r="I183" s="1047">
        <v>2019</v>
      </c>
      <c r="J183" s="1047" t="s">
        <v>233</v>
      </c>
      <c r="K183" s="1047" t="s">
        <v>39</v>
      </c>
      <c r="L183" s="1042" t="s">
        <v>281</v>
      </c>
      <c r="M183" s="1042" t="s">
        <v>284</v>
      </c>
      <c r="N183" s="1050">
        <v>45371</v>
      </c>
    </row>
    <row r="184" spans="1:14">
      <c r="A184" s="1042" t="s">
        <v>231</v>
      </c>
      <c r="B184" s="1042" t="s">
        <v>236</v>
      </c>
      <c r="C184" s="1042" t="s">
        <v>256</v>
      </c>
      <c r="D184" s="1042" t="s">
        <v>196</v>
      </c>
      <c r="E184" s="1047" t="s">
        <v>144</v>
      </c>
      <c r="F184" s="1047" t="s">
        <v>39</v>
      </c>
      <c r="G184" s="1047" t="s">
        <v>39</v>
      </c>
      <c r="H184" s="1047">
        <v>353</v>
      </c>
      <c r="I184" s="1047">
        <v>2019</v>
      </c>
      <c r="J184" s="1047" t="s">
        <v>233</v>
      </c>
      <c r="K184" s="1047" t="s">
        <v>39</v>
      </c>
      <c r="L184" s="1042" t="s">
        <v>281</v>
      </c>
      <c r="M184" s="1042" t="s">
        <v>284</v>
      </c>
      <c r="N184" s="1050">
        <v>45371</v>
      </c>
    </row>
    <row r="185" spans="1:14">
      <c r="A185" s="1042" t="s">
        <v>231</v>
      </c>
      <c r="B185" s="1042" t="s">
        <v>236</v>
      </c>
      <c r="C185" s="1042" t="s">
        <v>256</v>
      </c>
      <c r="D185" s="1042" t="s">
        <v>196</v>
      </c>
      <c r="E185" s="1047" t="s">
        <v>61</v>
      </c>
      <c r="F185" s="1047" t="s">
        <v>39</v>
      </c>
      <c r="G185" s="1047" t="s">
        <v>39</v>
      </c>
      <c r="H185" s="1047">
        <v>356</v>
      </c>
      <c r="I185" s="1047">
        <v>2019</v>
      </c>
      <c r="J185" s="1047" t="s">
        <v>233</v>
      </c>
      <c r="K185" s="1047" t="s">
        <v>39</v>
      </c>
      <c r="L185" s="1042" t="s">
        <v>281</v>
      </c>
      <c r="M185" s="1042" t="s">
        <v>284</v>
      </c>
      <c r="N185" s="1050">
        <v>45371</v>
      </c>
    </row>
    <row r="186" spans="1:14">
      <c r="A186" s="1042" t="s">
        <v>231</v>
      </c>
      <c r="B186" s="1042" t="s">
        <v>241</v>
      </c>
      <c r="C186" s="1042" t="s">
        <v>257</v>
      </c>
      <c r="D186" s="1042" t="s">
        <v>197</v>
      </c>
      <c r="E186" s="1047" t="s">
        <v>144</v>
      </c>
      <c r="F186" s="1047" t="s">
        <v>39</v>
      </c>
      <c r="G186" s="1047" t="s">
        <v>39</v>
      </c>
      <c r="H186" s="1047">
        <v>80</v>
      </c>
      <c r="I186" s="1047">
        <v>2019</v>
      </c>
      <c r="J186" s="1047" t="s">
        <v>233</v>
      </c>
      <c r="K186" s="1047" t="s">
        <v>39</v>
      </c>
      <c r="L186" s="1042" t="s">
        <v>281</v>
      </c>
      <c r="M186" s="1042" t="s">
        <v>286</v>
      </c>
      <c r="N186" s="1050">
        <v>45371</v>
      </c>
    </row>
    <row r="187" spans="1:14">
      <c r="A187" s="1042" t="s">
        <v>231</v>
      </c>
      <c r="B187" s="1042" t="s">
        <v>241</v>
      </c>
      <c r="C187" s="1042" t="s">
        <v>258</v>
      </c>
      <c r="D187" s="1042" t="s">
        <v>198</v>
      </c>
      <c r="E187" s="1047" t="s">
        <v>144</v>
      </c>
      <c r="F187" s="1047" t="s">
        <v>39</v>
      </c>
      <c r="G187" s="1047" t="s">
        <v>39</v>
      </c>
      <c r="H187" s="1047">
        <v>154</v>
      </c>
      <c r="I187" s="1047">
        <v>2019</v>
      </c>
      <c r="J187" s="1047" t="s">
        <v>233</v>
      </c>
      <c r="K187" s="1047" t="s">
        <v>39</v>
      </c>
      <c r="L187" s="1042" t="s">
        <v>281</v>
      </c>
      <c r="M187" s="1042" t="s">
        <v>287</v>
      </c>
      <c r="N187" s="1050">
        <v>45371</v>
      </c>
    </row>
    <row r="188" spans="1:14">
      <c r="A188" s="1042" t="s">
        <v>231</v>
      </c>
      <c r="B188" s="1042" t="s">
        <v>241</v>
      </c>
      <c r="C188" s="1042" t="s">
        <v>259</v>
      </c>
      <c r="D188" s="1042" t="s">
        <v>199</v>
      </c>
      <c r="E188" s="1047" t="s">
        <v>144</v>
      </c>
      <c r="F188" s="1047" t="s">
        <v>39</v>
      </c>
      <c r="G188" s="1047" t="s">
        <v>39</v>
      </c>
      <c r="H188" s="1047">
        <v>600</v>
      </c>
      <c r="I188" s="1047">
        <v>2019</v>
      </c>
      <c r="J188" s="1047" t="s">
        <v>233</v>
      </c>
      <c r="K188" s="1047" t="s">
        <v>39</v>
      </c>
      <c r="L188" s="1042" t="s">
        <v>281</v>
      </c>
      <c r="M188" s="1042" t="s">
        <v>284</v>
      </c>
      <c r="N188" s="1050">
        <v>45371</v>
      </c>
    </row>
    <row r="189" spans="1:14">
      <c r="A189" s="1042" t="s">
        <v>231</v>
      </c>
      <c r="B189" s="1042" t="s">
        <v>241</v>
      </c>
      <c r="C189" s="1042" t="s">
        <v>260</v>
      </c>
      <c r="D189" s="1042" t="s">
        <v>200</v>
      </c>
      <c r="E189" s="1047" t="s">
        <v>144</v>
      </c>
      <c r="F189" s="1047" t="s">
        <v>39</v>
      </c>
      <c r="G189" s="1047" t="s">
        <v>39</v>
      </c>
      <c r="H189" s="1047">
        <v>60</v>
      </c>
      <c r="I189" s="1047">
        <v>2019</v>
      </c>
      <c r="J189" s="1047" t="s">
        <v>233</v>
      </c>
      <c r="K189" s="1047" t="s">
        <v>39</v>
      </c>
      <c r="L189" s="1042" t="s">
        <v>281</v>
      </c>
      <c r="M189" s="1042" t="s">
        <v>288</v>
      </c>
      <c r="N189" s="1050">
        <v>45371</v>
      </c>
    </row>
    <row r="190" spans="1:14">
      <c r="A190" s="1042" t="s">
        <v>231</v>
      </c>
      <c r="B190" s="1042" t="s">
        <v>241</v>
      </c>
      <c r="C190" s="1042" t="s">
        <v>261</v>
      </c>
      <c r="D190" s="1042" t="s">
        <v>201</v>
      </c>
      <c r="E190" s="1047" t="s">
        <v>144</v>
      </c>
      <c r="F190" s="1047" t="s">
        <v>39</v>
      </c>
      <c r="G190" s="1047" t="s">
        <v>39</v>
      </c>
      <c r="H190" s="1047">
        <v>25</v>
      </c>
      <c r="I190" s="1047">
        <v>2019</v>
      </c>
      <c r="J190" s="1047" t="s">
        <v>233</v>
      </c>
      <c r="K190" s="1047" t="s">
        <v>39</v>
      </c>
      <c r="L190" s="1042" t="s">
        <v>281</v>
      </c>
      <c r="M190" s="1042" t="s">
        <v>289</v>
      </c>
      <c r="N190" s="1050">
        <v>45371</v>
      </c>
    </row>
    <row r="191" spans="1:14">
      <c r="A191" s="1042" t="s">
        <v>231</v>
      </c>
      <c r="B191" s="1042" t="s">
        <v>232</v>
      </c>
      <c r="C191" s="1042" t="s">
        <v>251</v>
      </c>
      <c r="D191" s="1049" t="s">
        <v>190</v>
      </c>
      <c r="E191" s="1047" t="s">
        <v>144</v>
      </c>
      <c r="F191" s="1047" t="s">
        <v>39</v>
      </c>
      <c r="G191" s="1047" t="s">
        <v>39</v>
      </c>
      <c r="H191" s="1047">
        <v>4846208400</v>
      </c>
      <c r="I191" s="1047">
        <v>2020</v>
      </c>
      <c r="J191" s="1047" t="s">
        <v>233</v>
      </c>
      <c r="K191" s="1047" t="s">
        <v>39</v>
      </c>
      <c r="L191" s="1042" t="s">
        <v>281</v>
      </c>
      <c r="M191" s="1042" t="s">
        <v>283</v>
      </c>
      <c r="N191" s="1050">
        <v>45371</v>
      </c>
    </row>
    <row r="192" spans="1:14">
      <c r="A192" s="1042" t="s">
        <v>231</v>
      </c>
      <c r="B192" s="1042" t="s">
        <v>232</v>
      </c>
      <c r="C192" s="1042" t="s">
        <v>252</v>
      </c>
      <c r="D192" s="1049" t="s">
        <v>191</v>
      </c>
      <c r="E192" s="1047" t="s">
        <v>144</v>
      </c>
      <c r="F192" s="1047" t="s">
        <v>39</v>
      </c>
      <c r="G192" s="1047" t="s">
        <v>39</v>
      </c>
      <c r="H192" s="1047">
        <v>17279111700</v>
      </c>
      <c r="I192" s="1047">
        <v>2020</v>
      </c>
      <c r="J192" s="1047" t="s">
        <v>233</v>
      </c>
      <c r="K192" s="1047" t="s">
        <v>39</v>
      </c>
      <c r="L192" s="1042" t="s">
        <v>281</v>
      </c>
      <c r="M192" s="1042" t="s">
        <v>283</v>
      </c>
      <c r="N192" s="1050">
        <v>45371</v>
      </c>
    </row>
    <row r="193" spans="1:14">
      <c r="A193" s="1042" t="s">
        <v>231</v>
      </c>
      <c r="B193" s="1042" t="s">
        <v>236</v>
      </c>
      <c r="C193" s="1042" t="s">
        <v>253</v>
      </c>
      <c r="D193" s="1042" t="s">
        <v>192</v>
      </c>
      <c r="E193" s="1047" t="s">
        <v>144</v>
      </c>
      <c r="F193" s="1047" t="s">
        <v>39</v>
      </c>
      <c r="G193" s="1047" t="s">
        <v>39</v>
      </c>
      <c r="H193" s="1047">
        <v>0</v>
      </c>
      <c r="I193" s="1047">
        <v>2020</v>
      </c>
      <c r="J193" s="1047" t="s">
        <v>233</v>
      </c>
      <c r="K193" s="1047" t="s">
        <v>39</v>
      </c>
      <c r="L193" s="1042" t="s">
        <v>281</v>
      </c>
      <c r="M193" s="1042" t="s">
        <v>284</v>
      </c>
      <c r="N193" s="1050">
        <v>45371</v>
      </c>
    </row>
    <row r="194" spans="1:14">
      <c r="A194" s="1042" t="s">
        <v>231</v>
      </c>
      <c r="B194" s="1042" t="s">
        <v>236</v>
      </c>
      <c r="C194" s="1042" t="s">
        <v>253</v>
      </c>
      <c r="D194" s="1042" t="s">
        <v>192</v>
      </c>
      <c r="E194" s="1047" t="s">
        <v>37</v>
      </c>
      <c r="F194" s="1047" t="s">
        <v>39</v>
      </c>
      <c r="G194" s="1047" t="s">
        <v>39</v>
      </c>
      <c r="H194" s="1047">
        <v>915</v>
      </c>
      <c r="I194" s="1047">
        <v>2020</v>
      </c>
      <c r="J194" s="1047" t="s">
        <v>233</v>
      </c>
      <c r="K194" s="1047" t="s">
        <v>39</v>
      </c>
      <c r="L194" s="1042" t="s">
        <v>281</v>
      </c>
      <c r="M194" s="1042" t="s">
        <v>284</v>
      </c>
      <c r="N194" s="1050">
        <v>45371</v>
      </c>
    </row>
    <row r="195" spans="1:14">
      <c r="A195" s="1042" t="s">
        <v>231</v>
      </c>
      <c r="B195" s="1042" t="s">
        <v>236</v>
      </c>
      <c r="C195" s="1042" t="s">
        <v>262</v>
      </c>
      <c r="D195" s="1042" t="s">
        <v>202</v>
      </c>
      <c r="E195" s="1047" t="s">
        <v>144</v>
      </c>
      <c r="F195" s="1047" t="s">
        <v>39</v>
      </c>
      <c r="G195" s="1047" t="s">
        <v>39</v>
      </c>
      <c r="H195" s="1047">
        <v>282</v>
      </c>
      <c r="I195" s="1047">
        <v>2020</v>
      </c>
      <c r="J195" s="1047" t="s">
        <v>233</v>
      </c>
      <c r="K195" s="1047" t="s">
        <v>39</v>
      </c>
      <c r="L195" s="1042" t="s">
        <v>281</v>
      </c>
      <c r="M195" s="1042" t="s">
        <v>285</v>
      </c>
      <c r="N195" s="1050">
        <v>45371</v>
      </c>
    </row>
    <row r="196" spans="1:14">
      <c r="A196" s="1042" t="s">
        <v>231</v>
      </c>
      <c r="B196" s="1042" t="s">
        <v>236</v>
      </c>
      <c r="C196" s="1042" t="s">
        <v>262</v>
      </c>
      <c r="D196" s="1042" t="s">
        <v>202</v>
      </c>
      <c r="E196" s="1047" t="s">
        <v>43</v>
      </c>
      <c r="F196" s="1047" t="s">
        <v>39</v>
      </c>
      <c r="G196" s="1047" t="s">
        <v>39</v>
      </c>
      <c r="H196" s="1047">
        <v>80</v>
      </c>
      <c r="I196" s="1047">
        <v>2020</v>
      </c>
      <c r="J196" s="1047" t="s">
        <v>233</v>
      </c>
      <c r="K196" s="1047" t="s">
        <v>39</v>
      </c>
      <c r="L196" s="1042" t="s">
        <v>281</v>
      </c>
      <c r="M196" s="1042" t="s">
        <v>285</v>
      </c>
      <c r="N196" s="1050">
        <v>45371</v>
      </c>
    </row>
    <row r="197" spans="1:14">
      <c r="A197" s="1042" t="s">
        <v>231</v>
      </c>
      <c r="B197" s="1042" t="s">
        <v>236</v>
      </c>
      <c r="C197" s="1042" t="s">
        <v>262</v>
      </c>
      <c r="D197" s="1042" t="s">
        <v>202</v>
      </c>
      <c r="E197" s="1047" t="s">
        <v>45</v>
      </c>
      <c r="F197" s="1047" t="s">
        <v>39</v>
      </c>
      <c r="G197" s="1047" t="s">
        <v>39</v>
      </c>
      <c r="H197" s="1047">
        <v>202</v>
      </c>
      <c r="I197" s="1047">
        <v>2020</v>
      </c>
      <c r="J197" s="1047" t="s">
        <v>233</v>
      </c>
      <c r="K197" s="1047" t="s">
        <v>39</v>
      </c>
      <c r="L197" s="1042" t="s">
        <v>281</v>
      </c>
      <c r="M197" s="1042" t="s">
        <v>285</v>
      </c>
      <c r="N197" s="1050">
        <v>45371</v>
      </c>
    </row>
    <row r="198" spans="1:14">
      <c r="A198" s="1042" t="s">
        <v>231</v>
      </c>
      <c r="B198" s="1042" t="s">
        <v>236</v>
      </c>
      <c r="C198" s="1042" t="s">
        <v>254</v>
      </c>
      <c r="D198" s="1042" t="s">
        <v>193</v>
      </c>
      <c r="E198" s="1047" t="s">
        <v>144</v>
      </c>
      <c r="F198" s="1047" t="s">
        <v>39</v>
      </c>
      <c r="G198" s="1047" t="s">
        <v>39</v>
      </c>
      <c r="H198" s="1047">
        <v>581</v>
      </c>
      <c r="I198" s="1047">
        <v>2020</v>
      </c>
      <c r="J198" s="1047" t="s">
        <v>233</v>
      </c>
      <c r="K198" s="1047" t="s">
        <v>39</v>
      </c>
      <c r="L198" s="1042" t="s">
        <v>281</v>
      </c>
      <c r="M198" s="1042" t="s">
        <v>285</v>
      </c>
      <c r="N198" s="1050">
        <v>45371</v>
      </c>
    </row>
    <row r="199" spans="1:14">
      <c r="A199" s="1042" t="s">
        <v>231</v>
      </c>
      <c r="B199" s="1042" t="s">
        <v>236</v>
      </c>
      <c r="C199" s="1042" t="s">
        <v>254</v>
      </c>
      <c r="D199" s="1042" t="s">
        <v>193</v>
      </c>
      <c r="E199" s="1047" t="s">
        <v>43</v>
      </c>
      <c r="F199" s="1047" t="s">
        <v>39</v>
      </c>
      <c r="G199" s="1047" t="s">
        <v>39</v>
      </c>
      <c r="H199" s="1047">
        <v>70</v>
      </c>
      <c r="I199" s="1047">
        <v>2020</v>
      </c>
      <c r="J199" s="1047" t="s">
        <v>233</v>
      </c>
      <c r="K199" s="1047" t="s">
        <v>39</v>
      </c>
      <c r="L199" s="1042" t="s">
        <v>281</v>
      </c>
      <c r="M199" s="1042" t="s">
        <v>285</v>
      </c>
      <c r="N199" s="1050">
        <v>45371</v>
      </c>
    </row>
    <row r="200" spans="1:14">
      <c r="A200" s="1042" t="s">
        <v>231</v>
      </c>
      <c r="B200" s="1042" t="s">
        <v>236</v>
      </c>
      <c r="C200" s="1042" t="s">
        <v>254</v>
      </c>
      <c r="D200" s="1042" t="s">
        <v>193</v>
      </c>
      <c r="E200" s="1047" t="s">
        <v>44</v>
      </c>
      <c r="F200" s="1047" t="s">
        <v>39</v>
      </c>
      <c r="G200" s="1047" t="s">
        <v>39</v>
      </c>
      <c r="H200" s="1047">
        <v>110</v>
      </c>
      <c r="I200" s="1047">
        <v>2020</v>
      </c>
      <c r="J200" s="1047" t="s">
        <v>233</v>
      </c>
      <c r="K200" s="1047" t="s">
        <v>39</v>
      </c>
      <c r="L200" s="1042" t="s">
        <v>281</v>
      </c>
      <c r="M200" s="1042" t="s">
        <v>285</v>
      </c>
      <c r="N200" s="1050">
        <v>45371</v>
      </c>
    </row>
    <row r="201" spans="1:14">
      <c r="A201" s="1042" t="s">
        <v>231</v>
      </c>
      <c r="B201" s="1042" t="s">
        <v>236</v>
      </c>
      <c r="C201" s="1042" t="s">
        <v>254</v>
      </c>
      <c r="D201" s="1042" t="s">
        <v>193</v>
      </c>
      <c r="E201" s="1047" t="s">
        <v>45</v>
      </c>
      <c r="F201" s="1047" t="s">
        <v>39</v>
      </c>
      <c r="G201" s="1047" t="s">
        <v>39</v>
      </c>
      <c r="H201" s="1047">
        <v>401</v>
      </c>
      <c r="I201" s="1047">
        <v>2020</v>
      </c>
      <c r="J201" s="1047" t="s">
        <v>233</v>
      </c>
      <c r="K201" s="1047" t="s">
        <v>39</v>
      </c>
      <c r="L201" s="1042" t="s">
        <v>281</v>
      </c>
      <c r="M201" s="1042" t="s">
        <v>285</v>
      </c>
      <c r="N201" s="1050">
        <v>45371</v>
      </c>
    </row>
    <row r="202" spans="1:14">
      <c r="A202" s="1042" t="s">
        <v>231</v>
      </c>
      <c r="B202" s="1042" t="s">
        <v>236</v>
      </c>
      <c r="C202" s="1042" t="s">
        <v>255</v>
      </c>
      <c r="D202" s="1042" t="s">
        <v>194</v>
      </c>
      <c r="E202" s="1047" t="s">
        <v>144</v>
      </c>
      <c r="F202" s="1047" t="s">
        <v>39</v>
      </c>
      <c r="G202" s="1047" t="s">
        <v>39</v>
      </c>
      <c r="H202" s="1047">
        <v>2167175500</v>
      </c>
      <c r="I202" s="1047">
        <v>2020</v>
      </c>
      <c r="J202" s="1047" t="s">
        <v>233</v>
      </c>
      <c r="K202" s="1047" t="s">
        <v>39</v>
      </c>
      <c r="L202" s="1042" t="s">
        <v>281</v>
      </c>
      <c r="M202" s="1042" t="s">
        <v>283</v>
      </c>
      <c r="N202" s="1050">
        <v>45371</v>
      </c>
    </row>
    <row r="203" spans="1:14">
      <c r="A203" s="1042" t="s">
        <v>231</v>
      </c>
      <c r="B203" s="1042" t="s">
        <v>236</v>
      </c>
      <c r="C203" s="1042" t="s">
        <v>255</v>
      </c>
      <c r="D203" s="1042" t="s">
        <v>194</v>
      </c>
      <c r="E203" s="1047" t="s">
        <v>55</v>
      </c>
      <c r="F203" s="1047" t="s">
        <v>39</v>
      </c>
      <c r="G203" s="1047" t="s">
        <v>39</v>
      </c>
      <c r="H203" s="1047">
        <v>548934477.31650901</v>
      </c>
      <c r="I203" s="1047">
        <v>2020</v>
      </c>
      <c r="J203" s="1047" t="s">
        <v>233</v>
      </c>
      <c r="K203" s="1047" t="s">
        <v>39</v>
      </c>
      <c r="L203" s="1042" t="s">
        <v>281</v>
      </c>
      <c r="M203" s="1042" t="s">
        <v>283</v>
      </c>
      <c r="N203" s="1050">
        <v>45371</v>
      </c>
    </row>
    <row r="204" spans="1:14">
      <c r="A204" s="1042" t="s">
        <v>231</v>
      </c>
      <c r="B204" s="1042" t="s">
        <v>236</v>
      </c>
      <c r="C204" s="1042" t="s">
        <v>255</v>
      </c>
      <c r="D204" s="1042" t="s">
        <v>194</v>
      </c>
      <c r="E204" s="1047" t="s">
        <v>44</v>
      </c>
      <c r="F204" s="1047" t="s">
        <v>39</v>
      </c>
      <c r="G204" s="1047" t="s">
        <v>39</v>
      </c>
      <c r="H204" s="1047">
        <v>307777203.07778049</v>
      </c>
      <c r="I204" s="1047">
        <v>2020</v>
      </c>
      <c r="J204" s="1047" t="s">
        <v>233</v>
      </c>
      <c r="K204" s="1047" t="s">
        <v>39</v>
      </c>
      <c r="L204" s="1042" t="s">
        <v>281</v>
      </c>
      <c r="M204" s="1042" t="s">
        <v>283</v>
      </c>
      <c r="N204" s="1050">
        <v>45371</v>
      </c>
    </row>
    <row r="205" spans="1:14">
      <c r="A205" s="1042" t="s">
        <v>231</v>
      </c>
      <c r="B205" s="1042" t="s">
        <v>236</v>
      </c>
      <c r="C205" s="1042" t="s">
        <v>255</v>
      </c>
      <c r="D205" s="1042" t="s">
        <v>194</v>
      </c>
      <c r="E205" s="1047" t="s">
        <v>45</v>
      </c>
      <c r="F205" s="1047" t="s">
        <v>39</v>
      </c>
      <c r="G205" s="1047" t="s">
        <v>39</v>
      </c>
      <c r="H205" s="1047">
        <v>888274633.69560504</v>
      </c>
      <c r="I205" s="1047">
        <v>2020</v>
      </c>
      <c r="J205" s="1047" t="s">
        <v>233</v>
      </c>
      <c r="K205" s="1047" t="s">
        <v>39</v>
      </c>
      <c r="L205" s="1042" t="s">
        <v>281</v>
      </c>
      <c r="M205" s="1042" t="s">
        <v>283</v>
      </c>
      <c r="N205" s="1050">
        <v>45371</v>
      </c>
    </row>
    <row r="206" spans="1:14">
      <c r="A206" s="1042" t="s">
        <v>231</v>
      </c>
      <c r="B206" s="1042" t="s">
        <v>236</v>
      </c>
      <c r="C206" s="1042" t="s">
        <v>255</v>
      </c>
      <c r="D206" s="1042" t="s">
        <v>194</v>
      </c>
      <c r="E206" s="1047" t="s">
        <v>56</v>
      </c>
      <c r="F206" s="1047" t="s">
        <v>39</v>
      </c>
      <c r="G206" s="1047" t="s">
        <v>39</v>
      </c>
      <c r="H206" s="1047">
        <v>423693292.54863286</v>
      </c>
      <c r="I206" s="1047">
        <v>2020</v>
      </c>
      <c r="J206" s="1047" t="s">
        <v>233</v>
      </c>
      <c r="K206" s="1047" t="s">
        <v>39</v>
      </c>
      <c r="L206" s="1042" t="s">
        <v>281</v>
      </c>
      <c r="M206" s="1042" t="s">
        <v>283</v>
      </c>
      <c r="N206" s="1050">
        <v>45371</v>
      </c>
    </row>
    <row r="207" spans="1:14">
      <c r="A207" s="1042" t="s">
        <v>231</v>
      </c>
      <c r="B207" s="1042" t="s">
        <v>236</v>
      </c>
      <c r="C207" s="1042" t="s">
        <v>256</v>
      </c>
      <c r="D207" s="1042" t="s">
        <v>195</v>
      </c>
      <c r="E207" s="1047" t="s">
        <v>144</v>
      </c>
      <c r="F207" s="1047" t="s">
        <v>39</v>
      </c>
      <c r="G207" s="1047" t="s">
        <v>39</v>
      </c>
      <c r="H207" s="1047">
        <v>250</v>
      </c>
      <c r="I207" s="1047">
        <v>2020</v>
      </c>
      <c r="J207" s="1047" t="s">
        <v>233</v>
      </c>
      <c r="K207" s="1047" t="s">
        <v>39</v>
      </c>
      <c r="L207" s="1042" t="s">
        <v>281</v>
      </c>
      <c r="M207" s="1042" t="s">
        <v>284</v>
      </c>
      <c r="N207" s="1050">
        <v>45371</v>
      </c>
    </row>
    <row r="208" spans="1:14">
      <c r="A208" s="1042" t="s">
        <v>231</v>
      </c>
      <c r="B208" s="1042" t="s">
        <v>236</v>
      </c>
      <c r="C208" s="1042" t="s">
        <v>256</v>
      </c>
      <c r="D208" s="1042" t="s">
        <v>196</v>
      </c>
      <c r="E208" s="1047" t="s">
        <v>144</v>
      </c>
      <c r="F208" s="1047" t="s">
        <v>39</v>
      </c>
      <c r="G208" s="1047" t="s">
        <v>39</v>
      </c>
      <c r="H208" s="1047">
        <v>346</v>
      </c>
      <c r="I208" s="1047">
        <v>2020</v>
      </c>
      <c r="J208" s="1047" t="s">
        <v>233</v>
      </c>
      <c r="K208" s="1047" t="s">
        <v>39</v>
      </c>
      <c r="L208" s="1042" t="s">
        <v>281</v>
      </c>
      <c r="M208" s="1042" t="s">
        <v>284</v>
      </c>
      <c r="N208" s="1050">
        <v>45371</v>
      </c>
    </row>
    <row r="209" spans="1:14">
      <c r="A209" s="1042" t="s">
        <v>231</v>
      </c>
      <c r="B209" s="1042" t="s">
        <v>236</v>
      </c>
      <c r="C209" s="1042" t="s">
        <v>256</v>
      </c>
      <c r="D209" s="1042" t="s">
        <v>196</v>
      </c>
      <c r="E209" s="1047" t="s">
        <v>61</v>
      </c>
      <c r="F209" s="1047" t="s">
        <v>39</v>
      </c>
      <c r="G209" s="1047" t="s">
        <v>39</v>
      </c>
      <c r="H209" s="1047">
        <v>561</v>
      </c>
      <c r="I209" s="1047">
        <v>2020</v>
      </c>
      <c r="J209" s="1047" t="s">
        <v>233</v>
      </c>
      <c r="K209" s="1047" t="s">
        <v>39</v>
      </c>
      <c r="L209" s="1042" t="s">
        <v>281</v>
      </c>
      <c r="M209" s="1042" t="s">
        <v>284</v>
      </c>
      <c r="N209" s="1050">
        <v>45371</v>
      </c>
    </row>
    <row r="210" spans="1:14">
      <c r="A210" s="1042" t="s">
        <v>231</v>
      </c>
      <c r="B210" s="1042" t="s">
        <v>248</v>
      </c>
      <c r="C210" s="1042" t="s">
        <v>253</v>
      </c>
      <c r="D210" s="1042" t="s">
        <v>203</v>
      </c>
      <c r="E210" s="1047" t="s">
        <v>144</v>
      </c>
      <c r="F210" s="1047" t="s">
        <v>39</v>
      </c>
      <c r="G210" s="1047" t="s">
        <v>39</v>
      </c>
      <c r="H210" s="1047">
        <v>8</v>
      </c>
      <c r="I210" s="1047">
        <v>2020</v>
      </c>
      <c r="J210" s="1047" t="s">
        <v>233</v>
      </c>
      <c r="K210" s="1047" t="s">
        <v>39</v>
      </c>
      <c r="L210" s="1042" t="s">
        <v>281</v>
      </c>
      <c r="M210" s="1042" t="s">
        <v>290</v>
      </c>
      <c r="N210" s="1050">
        <v>45371</v>
      </c>
    </row>
    <row r="211" spans="1:14">
      <c r="A211" s="1042" t="s">
        <v>231</v>
      </c>
      <c r="B211" s="1042" t="s">
        <v>248</v>
      </c>
      <c r="C211" s="1042" t="s">
        <v>253</v>
      </c>
      <c r="D211" s="1042" t="s">
        <v>203</v>
      </c>
      <c r="E211" s="1047" t="s">
        <v>37</v>
      </c>
      <c r="F211" s="1047" t="s">
        <v>39</v>
      </c>
      <c r="G211" s="1047" t="s">
        <v>39</v>
      </c>
      <c r="H211" s="1047">
        <v>8</v>
      </c>
      <c r="I211" s="1047">
        <v>2020</v>
      </c>
      <c r="J211" s="1047" t="s">
        <v>233</v>
      </c>
      <c r="K211" s="1047" t="s">
        <v>39</v>
      </c>
      <c r="L211" s="1042" t="s">
        <v>281</v>
      </c>
      <c r="M211" s="1042" t="s">
        <v>290</v>
      </c>
      <c r="N211" s="1050">
        <v>45371</v>
      </c>
    </row>
    <row r="212" spans="1:14">
      <c r="A212" s="1042" t="s">
        <v>231</v>
      </c>
      <c r="B212" s="1042" t="s">
        <v>248</v>
      </c>
      <c r="C212" s="1042" t="s">
        <v>254</v>
      </c>
      <c r="D212" s="1042" t="s">
        <v>204</v>
      </c>
      <c r="E212" s="1047" t="s">
        <v>144</v>
      </c>
      <c r="F212" s="1047" t="s">
        <v>39</v>
      </c>
      <c r="G212" s="1047" t="s">
        <v>39</v>
      </c>
      <c r="H212" s="1047">
        <v>20</v>
      </c>
      <c r="I212" s="1047">
        <v>2020</v>
      </c>
      <c r="J212" s="1047" t="s">
        <v>233</v>
      </c>
      <c r="K212" s="1047" t="s">
        <v>39</v>
      </c>
      <c r="L212" s="1042" t="s">
        <v>281</v>
      </c>
      <c r="M212" s="1042" t="s">
        <v>291</v>
      </c>
      <c r="N212" s="1050">
        <v>45371</v>
      </c>
    </row>
    <row r="213" spans="1:14">
      <c r="A213" s="1042" t="s">
        <v>231</v>
      </c>
      <c r="B213" s="1042" t="s">
        <v>248</v>
      </c>
      <c r="C213" s="1042" t="s">
        <v>254</v>
      </c>
      <c r="D213" s="1042" t="s">
        <v>204</v>
      </c>
      <c r="E213" s="1047" t="s">
        <v>75</v>
      </c>
      <c r="F213" s="1047" t="s">
        <v>39</v>
      </c>
      <c r="G213" s="1047" t="s">
        <v>39</v>
      </c>
      <c r="H213" s="1047">
        <v>20</v>
      </c>
      <c r="I213" s="1047">
        <v>2020</v>
      </c>
      <c r="J213" s="1047" t="s">
        <v>233</v>
      </c>
      <c r="K213" s="1047" t="s">
        <v>39</v>
      </c>
      <c r="L213" s="1042" t="s">
        <v>281</v>
      </c>
      <c r="M213" s="1042" t="s">
        <v>291</v>
      </c>
      <c r="N213" s="1050">
        <v>45371</v>
      </c>
    </row>
    <row r="214" spans="1:14">
      <c r="A214" s="1042" t="s">
        <v>231</v>
      </c>
      <c r="B214" s="1042" t="s">
        <v>241</v>
      </c>
      <c r="C214" s="1042" t="s">
        <v>257</v>
      </c>
      <c r="D214" s="1042" t="s">
        <v>197</v>
      </c>
      <c r="E214" s="1047" t="s">
        <v>144</v>
      </c>
      <c r="F214" s="1047" t="s">
        <v>39</v>
      </c>
      <c r="G214" s="1047" t="s">
        <v>39</v>
      </c>
      <c r="H214" s="1047">
        <v>80</v>
      </c>
      <c r="I214" s="1047">
        <v>2020</v>
      </c>
      <c r="J214" s="1047" t="s">
        <v>233</v>
      </c>
      <c r="K214" s="1047" t="s">
        <v>39</v>
      </c>
      <c r="L214" s="1042" t="s">
        <v>281</v>
      </c>
      <c r="M214" s="1042" t="s">
        <v>286</v>
      </c>
      <c r="N214" s="1050">
        <v>45371</v>
      </c>
    </row>
    <row r="215" spans="1:14">
      <c r="A215" s="1042" t="s">
        <v>231</v>
      </c>
      <c r="B215" s="1042" t="s">
        <v>241</v>
      </c>
      <c r="C215" s="1042" t="s">
        <v>258</v>
      </c>
      <c r="D215" s="1042" t="s">
        <v>198</v>
      </c>
      <c r="E215" s="1047" t="s">
        <v>144</v>
      </c>
      <c r="F215" s="1047" t="s">
        <v>39</v>
      </c>
      <c r="G215" s="1047" t="s">
        <v>39</v>
      </c>
      <c r="H215" s="1047">
        <v>278</v>
      </c>
      <c r="I215" s="1047">
        <v>2020</v>
      </c>
      <c r="J215" s="1047" t="s">
        <v>233</v>
      </c>
      <c r="K215" s="1047" t="s">
        <v>39</v>
      </c>
      <c r="L215" s="1042" t="s">
        <v>281</v>
      </c>
      <c r="M215" s="1042" t="s">
        <v>287</v>
      </c>
      <c r="N215" s="1050">
        <v>45371</v>
      </c>
    </row>
    <row r="216" spans="1:14">
      <c r="A216" s="1042" t="s">
        <v>231</v>
      </c>
      <c r="B216" s="1042" t="s">
        <v>241</v>
      </c>
      <c r="C216" s="1042" t="s">
        <v>259</v>
      </c>
      <c r="D216" s="1042" t="s">
        <v>199</v>
      </c>
      <c r="E216" s="1047" t="s">
        <v>144</v>
      </c>
      <c r="F216" s="1047" t="s">
        <v>39</v>
      </c>
      <c r="G216" s="1047" t="s">
        <v>39</v>
      </c>
      <c r="H216" s="1047">
        <v>600</v>
      </c>
      <c r="I216" s="1047">
        <v>2020</v>
      </c>
      <c r="J216" s="1047" t="s">
        <v>233</v>
      </c>
      <c r="K216" s="1047" t="s">
        <v>39</v>
      </c>
      <c r="L216" s="1042" t="s">
        <v>281</v>
      </c>
      <c r="M216" s="1042" t="s">
        <v>284</v>
      </c>
      <c r="N216" s="1050">
        <v>45371</v>
      </c>
    </row>
    <row r="217" spans="1:14">
      <c r="A217" s="1042" t="s">
        <v>231</v>
      </c>
      <c r="B217" s="1042" t="s">
        <v>241</v>
      </c>
      <c r="C217" s="1042" t="s">
        <v>263</v>
      </c>
      <c r="D217" s="1042" t="s">
        <v>205</v>
      </c>
      <c r="E217" s="1047" t="s">
        <v>144</v>
      </c>
      <c r="F217" s="1047" t="s">
        <v>39</v>
      </c>
      <c r="G217" s="1047" t="s">
        <v>39</v>
      </c>
      <c r="H217" s="1047">
        <v>61</v>
      </c>
      <c r="I217" s="1047">
        <v>2020</v>
      </c>
      <c r="J217" s="1047" t="s">
        <v>233</v>
      </c>
      <c r="K217" s="1047" t="s">
        <v>39</v>
      </c>
      <c r="L217" s="1042" t="s">
        <v>281</v>
      </c>
      <c r="M217" s="1042" t="s">
        <v>292</v>
      </c>
      <c r="N217" s="1050">
        <v>45371</v>
      </c>
    </row>
    <row r="218" spans="1:14">
      <c r="A218" s="1042" t="s">
        <v>231</v>
      </c>
      <c r="B218" s="1042" t="s">
        <v>241</v>
      </c>
      <c r="C218" s="1042" t="s">
        <v>263</v>
      </c>
      <c r="D218" s="1042" t="s">
        <v>205</v>
      </c>
      <c r="E218" s="1047" t="s">
        <v>92</v>
      </c>
      <c r="F218" s="1047" t="s">
        <v>39</v>
      </c>
      <c r="G218" s="1047" t="s">
        <v>39</v>
      </c>
      <c r="H218" s="1047">
        <v>61</v>
      </c>
      <c r="I218" s="1047">
        <v>2020</v>
      </c>
      <c r="J218" s="1047" t="s">
        <v>233</v>
      </c>
      <c r="K218" s="1047" t="s">
        <v>39</v>
      </c>
      <c r="L218" s="1042" t="s">
        <v>281</v>
      </c>
      <c r="M218" s="1042" t="s">
        <v>292</v>
      </c>
      <c r="N218" s="1050">
        <v>45371</v>
      </c>
    </row>
    <row r="219" spans="1:14">
      <c r="A219" s="1042" t="s">
        <v>231</v>
      </c>
      <c r="B219" s="1042" t="s">
        <v>241</v>
      </c>
      <c r="C219" s="1042" t="s">
        <v>260</v>
      </c>
      <c r="D219" s="1042" t="s">
        <v>200</v>
      </c>
      <c r="E219" s="1047" t="s">
        <v>144</v>
      </c>
      <c r="F219" s="1047" t="s">
        <v>39</v>
      </c>
      <c r="G219" s="1047" t="s">
        <v>39</v>
      </c>
      <c r="H219" s="1047">
        <v>60</v>
      </c>
      <c r="I219" s="1047">
        <v>2020</v>
      </c>
      <c r="J219" s="1047" t="s">
        <v>233</v>
      </c>
      <c r="K219" s="1047" t="s">
        <v>39</v>
      </c>
      <c r="L219" s="1042" t="s">
        <v>281</v>
      </c>
      <c r="M219" s="1042" t="s">
        <v>288</v>
      </c>
      <c r="N219" s="1050">
        <v>45371</v>
      </c>
    </row>
    <row r="220" spans="1:14">
      <c r="A220" s="1042" t="s">
        <v>231</v>
      </c>
      <c r="B220" s="1042" t="s">
        <v>241</v>
      </c>
      <c r="C220" s="1042" t="s">
        <v>261</v>
      </c>
      <c r="D220" s="1042" t="s">
        <v>201</v>
      </c>
      <c r="E220" s="1047" t="s">
        <v>144</v>
      </c>
      <c r="F220" s="1047" t="s">
        <v>39</v>
      </c>
      <c r="G220" s="1047" t="s">
        <v>39</v>
      </c>
      <c r="H220" s="1047">
        <v>27</v>
      </c>
      <c r="I220" s="1047">
        <v>2020</v>
      </c>
      <c r="J220" s="1047" t="s">
        <v>233</v>
      </c>
      <c r="K220" s="1047" t="s">
        <v>39</v>
      </c>
      <c r="L220" s="1042" t="s">
        <v>281</v>
      </c>
      <c r="M220" s="1042" t="s">
        <v>289</v>
      </c>
      <c r="N220" s="1050">
        <v>45371</v>
      </c>
    </row>
    <row r="221" spans="1:14">
      <c r="A221" s="1042" t="s">
        <v>231</v>
      </c>
      <c r="B221" s="1042" t="s">
        <v>232</v>
      </c>
      <c r="C221" s="1042" t="s">
        <v>251</v>
      </c>
      <c r="D221" s="1049" t="s">
        <v>190</v>
      </c>
      <c r="E221" s="1047" t="s">
        <v>144</v>
      </c>
      <c r="F221" s="1047" t="s">
        <v>39</v>
      </c>
      <c r="G221" s="1047" t="s">
        <v>39</v>
      </c>
      <c r="H221" s="1047">
        <v>4333062600</v>
      </c>
      <c r="I221" s="1047">
        <v>2021</v>
      </c>
      <c r="J221" s="1047" t="s">
        <v>233</v>
      </c>
      <c r="K221" s="1047" t="s">
        <v>39</v>
      </c>
      <c r="L221" s="1042" t="s">
        <v>281</v>
      </c>
      <c r="M221" s="1042" t="s">
        <v>283</v>
      </c>
      <c r="N221" s="1050">
        <v>45371</v>
      </c>
    </row>
    <row r="222" spans="1:14">
      <c r="A222" s="1042" t="s">
        <v>231</v>
      </c>
      <c r="B222" s="1042" t="s">
        <v>232</v>
      </c>
      <c r="C222" s="1042" t="s">
        <v>252</v>
      </c>
      <c r="D222" s="1049" t="s">
        <v>191</v>
      </c>
      <c r="E222" s="1047" t="s">
        <v>144</v>
      </c>
      <c r="F222" s="1047" t="s">
        <v>39</v>
      </c>
      <c r="G222" s="1047" t="s">
        <v>39</v>
      </c>
      <c r="H222" s="1047">
        <v>10395118800</v>
      </c>
      <c r="I222" s="1047">
        <v>2021</v>
      </c>
      <c r="J222" s="1047" t="s">
        <v>233</v>
      </c>
      <c r="K222" s="1047" t="s">
        <v>39</v>
      </c>
      <c r="L222" s="1042" t="s">
        <v>281</v>
      </c>
      <c r="M222" s="1042" t="s">
        <v>283</v>
      </c>
      <c r="N222" s="1050">
        <v>45371</v>
      </c>
    </row>
    <row r="223" spans="1:14">
      <c r="A223" s="1042" t="s">
        <v>231</v>
      </c>
      <c r="B223" s="1042" t="s">
        <v>236</v>
      </c>
      <c r="C223" s="1042" t="s">
        <v>253</v>
      </c>
      <c r="D223" s="1042" t="s">
        <v>192</v>
      </c>
      <c r="E223" s="1047" t="s">
        <v>144</v>
      </c>
      <c r="F223" s="1047" t="s">
        <v>39</v>
      </c>
      <c r="G223" s="1047" t="s">
        <v>39</v>
      </c>
      <c r="H223" s="1047">
        <v>0</v>
      </c>
      <c r="I223" s="1047">
        <v>2021</v>
      </c>
      <c r="J223" s="1047" t="s">
        <v>233</v>
      </c>
      <c r="K223" s="1047" t="s">
        <v>39</v>
      </c>
      <c r="L223" s="1042" t="s">
        <v>281</v>
      </c>
      <c r="M223" s="1042" t="s">
        <v>284</v>
      </c>
      <c r="N223" s="1050">
        <v>45371</v>
      </c>
    </row>
    <row r="224" spans="1:14">
      <c r="A224" s="1042" t="s">
        <v>231</v>
      </c>
      <c r="B224" s="1042" t="s">
        <v>236</v>
      </c>
      <c r="C224" s="1042" t="s">
        <v>253</v>
      </c>
      <c r="D224" s="1042" t="s">
        <v>192</v>
      </c>
      <c r="E224" s="1047" t="s">
        <v>37</v>
      </c>
      <c r="F224" s="1047" t="s">
        <v>39</v>
      </c>
      <c r="G224" s="1047" t="s">
        <v>39</v>
      </c>
      <c r="H224" s="1047">
        <v>915</v>
      </c>
      <c r="I224" s="1047">
        <v>2021</v>
      </c>
      <c r="J224" s="1047" t="s">
        <v>233</v>
      </c>
      <c r="K224" s="1047" t="s">
        <v>39</v>
      </c>
      <c r="L224" s="1042" t="s">
        <v>281</v>
      </c>
      <c r="M224" s="1042" t="s">
        <v>284</v>
      </c>
      <c r="N224" s="1050">
        <v>45371</v>
      </c>
    </row>
    <row r="225" spans="1:14">
      <c r="A225" s="1042" t="s">
        <v>231</v>
      </c>
      <c r="B225" s="1042" t="s">
        <v>236</v>
      </c>
      <c r="C225" s="1042" t="s">
        <v>253</v>
      </c>
      <c r="D225" s="1042" t="s">
        <v>192</v>
      </c>
      <c r="E225" s="1047" t="s">
        <v>40</v>
      </c>
      <c r="F225" s="1047" t="s">
        <v>39</v>
      </c>
      <c r="G225" s="1047" t="s">
        <v>39</v>
      </c>
      <c r="H225" s="1047">
        <v>80</v>
      </c>
      <c r="I225" s="1047">
        <v>2021</v>
      </c>
      <c r="J225" s="1047" t="s">
        <v>233</v>
      </c>
      <c r="K225" s="1047" t="s">
        <v>39</v>
      </c>
      <c r="L225" s="1042" t="s">
        <v>281</v>
      </c>
      <c r="M225" s="1042" t="s">
        <v>284</v>
      </c>
      <c r="N225" s="1050">
        <v>45371</v>
      </c>
    </row>
    <row r="226" spans="1:14">
      <c r="A226" s="1042" t="s">
        <v>231</v>
      </c>
      <c r="B226" s="1042" t="s">
        <v>236</v>
      </c>
      <c r="C226" s="1042" t="s">
        <v>262</v>
      </c>
      <c r="D226" s="1042" t="s">
        <v>202</v>
      </c>
      <c r="E226" s="1047" t="s">
        <v>144</v>
      </c>
      <c r="F226" s="1047" t="s">
        <v>39</v>
      </c>
      <c r="G226" s="1047" t="s">
        <v>39</v>
      </c>
      <c r="H226" s="1047">
        <v>242</v>
      </c>
      <c r="I226" s="1047">
        <v>2021</v>
      </c>
      <c r="J226" s="1047" t="s">
        <v>233</v>
      </c>
      <c r="K226" s="1047" t="s">
        <v>39</v>
      </c>
      <c r="L226" s="1042" t="s">
        <v>281</v>
      </c>
      <c r="M226" s="1042" t="s">
        <v>285</v>
      </c>
      <c r="N226" s="1050">
        <v>45371</v>
      </c>
    </row>
    <row r="227" spans="1:14">
      <c r="A227" s="1042" t="s">
        <v>231</v>
      </c>
      <c r="B227" s="1042" t="s">
        <v>236</v>
      </c>
      <c r="C227" s="1042" t="s">
        <v>262</v>
      </c>
      <c r="D227" s="1042" t="s">
        <v>202</v>
      </c>
      <c r="E227" s="1047" t="s">
        <v>43</v>
      </c>
      <c r="F227" s="1047" t="s">
        <v>39</v>
      </c>
      <c r="G227" s="1047" t="s">
        <v>39</v>
      </c>
      <c r="H227" s="1047">
        <v>24</v>
      </c>
      <c r="I227" s="1047">
        <v>2021</v>
      </c>
      <c r="J227" s="1047" t="s">
        <v>233</v>
      </c>
      <c r="K227" s="1047" t="s">
        <v>39</v>
      </c>
      <c r="L227" s="1042" t="s">
        <v>281</v>
      </c>
      <c r="M227" s="1042" t="s">
        <v>285</v>
      </c>
      <c r="N227" s="1050">
        <v>45371</v>
      </c>
    </row>
    <row r="228" spans="1:14">
      <c r="A228" s="1042" t="s">
        <v>231</v>
      </c>
      <c r="B228" s="1042" t="s">
        <v>236</v>
      </c>
      <c r="C228" s="1042" t="s">
        <v>262</v>
      </c>
      <c r="D228" s="1042" t="s">
        <v>202</v>
      </c>
      <c r="E228" s="1047" t="s">
        <v>45</v>
      </c>
      <c r="F228" s="1047" t="s">
        <v>39</v>
      </c>
      <c r="G228" s="1047" t="s">
        <v>39</v>
      </c>
      <c r="H228" s="1047">
        <v>218</v>
      </c>
      <c r="I228" s="1047">
        <v>2021</v>
      </c>
      <c r="J228" s="1047" t="s">
        <v>233</v>
      </c>
      <c r="K228" s="1047" t="s">
        <v>39</v>
      </c>
      <c r="L228" s="1042" t="s">
        <v>281</v>
      </c>
      <c r="M228" s="1042" t="s">
        <v>285</v>
      </c>
      <c r="N228" s="1050">
        <v>45371</v>
      </c>
    </row>
    <row r="229" spans="1:14">
      <c r="A229" s="1042" t="s">
        <v>231</v>
      </c>
      <c r="B229" s="1042" t="s">
        <v>236</v>
      </c>
      <c r="C229" s="1042" t="s">
        <v>254</v>
      </c>
      <c r="D229" s="1042" t="s">
        <v>193</v>
      </c>
      <c r="E229" s="1047" t="s">
        <v>144</v>
      </c>
      <c r="F229" s="1047" t="s">
        <v>39</v>
      </c>
      <c r="G229" s="1047" t="s">
        <v>39</v>
      </c>
      <c r="H229" s="1047">
        <v>400</v>
      </c>
      <c r="I229" s="1047">
        <v>2021</v>
      </c>
      <c r="J229" s="1047" t="s">
        <v>233</v>
      </c>
      <c r="K229" s="1047" t="s">
        <v>39</v>
      </c>
      <c r="L229" s="1042" t="s">
        <v>281</v>
      </c>
      <c r="M229" s="1042" t="s">
        <v>285</v>
      </c>
      <c r="N229" s="1050">
        <v>45371</v>
      </c>
    </row>
    <row r="230" spans="1:14">
      <c r="A230" s="1042" t="s">
        <v>231</v>
      </c>
      <c r="B230" s="1042" t="s">
        <v>236</v>
      </c>
      <c r="C230" s="1042" t="s">
        <v>254</v>
      </c>
      <c r="D230" s="1042" t="s">
        <v>193</v>
      </c>
      <c r="E230" s="1047" t="s">
        <v>46</v>
      </c>
      <c r="F230" s="1047" t="s">
        <v>39</v>
      </c>
      <c r="G230" s="1047" t="s">
        <v>39</v>
      </c>
      <c r="H230" s="1047">
        <v>230</v>
      </c>
      <c r="I230" s="1047">
        <v>2021</v>
      </c>
      <c r="J230" s="1047" t="s">
        <v>233</v>
      </c>
      <c r="K230" s="1047" t="s">
        <v>39</v>
      </c>
      <c r="L230" s="1042" t="s">
        <v>281</v>
      </c>
      <c r="M230" s="1042" t="s">
        <v>285</v>
      </c>
      <c r="N230" s="1050">
        <v>45371</v>
      </c>
    </row>
    <row r="231" spans="1:14">
      <c r="A231" s="1042" t="s">
        <v>231</v>
      </c>
      <c r="B231" s="1042" t="s">
        <v>236</v>
      </c>
      <c r="C231" s="1042" t="s">
        <v>254</v>
      </c>
      <c r="D231" s="1042" t="s">
        <v>193</v>
      </c>
      <c r="E231" s="1047" t="s">
        <v>50</v>
      </c>
      <c r="F231" s="1047" t="s">
        <v>39</v>
      </c>
      <c r="G231" s="1047" t="s">
        <v>39</v>
      </c>
      <c r="H231" s="1047">
        <v>170</v>
      </c>
      <c r="I231" s="1047">
        <v>2021</v>
      </c>
      <c r="J231" s="1047" t="s">
        <v>233</v>
      </c>
      <c r="K231" s="1047" t="s">
        <v>39</v>
      </c>
      <c r="L231" s="1042" t="s">
        <v>281</v>
      </c>
      <c r="M231" s="1042" t="s">
        <v>285</v>
      </c>
      <c r="N231" s="1050">
        <v>45371</v>
      </c>
    </row>
    <row r="232" spans="1:14">
      <c r="A232" s="1042" t="s">
        <v>231</v>
      </c>
      <c r="B232" s="1042" t="s">
        <v>236</v>
      </c>
      <c r="C232" s="1042" t="s">
        <v>255</v>
      </c>
      <c r="D232" s="1042" t="s">
        <v>194</v>
      </c>
      <c r="E232" s="1047" t="s">
        <v>144</v>
      </c>
      <c r="F232" s="1047" t="s">
        <v>39</v>
      </c>
      <c r="G232" s="1047" t="s">
        <v>39</v>
      </c>
      <c r="H232" s="1047">
        <v>2915684102</v>
      </c>
      <c r="I232" s="1047">
        <v>2021</v>
      </c>
      <c r="J232" s="1047" t="s">
        <v>233</v>
      </c>
      <c r="K232" s="1047" t="s">
        <v>39</v>
      </c>
      <c r="L232" s="1042" t="s">
        <v>281</v>
      </c>
      <c r="M232" s="1042" t="s">
        <v>283</v>
      </c>
      <c r="N232" s="1050">
        <v>45371</v>
      </c>
    </row>
    <row r="233" spans="1:14">
      <c r="A233" s="1042" t="s">
        <v>231</v>
      </c>
      <c r="B233" s="1042" t="s">
        <v>236</v>
      </c>
      <c r="C233" s="1042" t="s">
        <v>255</v>
      </c>
      <c r="D233" s="1042" t="s">
        <v>194</v>
      </c>
      <c r="E233" s="1047" t="s">
        <v>55</v>
      </c>
      <c r="F233" s="1047" t="s">
        <v>39</v>
      </c>
      <c r="G233" s="1047" t="s">
        <v>39</v>
      </c>
      <c r="H233" s="1047">
        <v>929050127</v>
      </c>
      <c r="I233" s="1047">
        <v>2021</v>
      </c>
      <c r="J233" s="1047" t="s">
        <v>233</v>
      </c>
      <c r="K233" s="1047" t="s">
        <v>39</v>
      </c>
      <c r="L233" s="1042" t="s">
        <v>281</v>
      </c>
      <c r="M233" s="1042" t="s">
        <v>283</v>
      </c>
      <c r="N233" s="1050">
        <v>45371</v>
      </c>
    </row>
    <row r="234" spans="1:14">
      <c r="A234" s="1042" t="s">
        <v>231</v>
      </c>
      <c r="B234" s="1042" t="s">
        <v>236</v>
      </c>
      <c r="C234" s="1042" t="s">
        <v>255</v>
      </c>
      <c r="D234" s="1042" t="s">
        <v>194</v>
      </c>
      <c r="E234" s="1047" t="s">
        <v>44</v>
      </c>
      <c r="F234" s="1047" t="s">
        <v>39</v>
      </c>
      <c r="G234" s="1047" t="s">
        <v>39</v>
      </c>
      <c r="H234" s="1047">
        <v>454037416</v>
      </c>
      <c r="I234" s="1047">
        <v>2021</v>
      </c>
      <c r="J234" s="1047" t="s">
        <v>233</v>
      </c>
      <c r="K234" s="1047" t="s">
        <v>39</v>
      </c>
      <c r="L234" s="1042" t="s">
        <v>281</v>
      </c>
      <c r="M234" s="1042" t="s">
        <v>283</v>
      </c>
      <c r="N234" s="1050">
        <v>45371</v>
      </c>
    </row>
    <row r="235" spans="1:14">
      <c r="A235" s="1042" t="s">
        <v>231</v>
      </c>
      <c r="B235" s="1042" t="s">
        <v>236</v>
      </c>
      <c r="C235" s="1042" t="s">
        <v>255</v>
      </c>
      <c r="D235" s="1042" t="s">
        <v>194</v>
      </c>
      <c r="E235" s="1047" t="s">
        <v>45</v>
      </c>
      <c r="F235" s="1047" t="s">
        <v>39</v>
      </c>
      <c r="G235" s="1047" t="s">
        <v>39</v>
      </c>
      <c r="H235" s="1047">
        <v>1308608515</v>
      </c>
      <c r="I235" s="1047">
        <v>2021</v>
      </c>
      <c r="J235" s="1047" t="s">
        <v>233</v>
      </c>
      <c r="K235" s="1047" t="s">
        <v>39</v>
      </c>
      <c r="L235" s="1042" t="s">
        <v>281</v>
      </c>
      <c r="M235" s="1042" t="s">
        <v>283</v>
      </c>
      <c r="N235" s="1050">
        <v>45371</v>
      </c>
    </row>
    <row r="236" spans="1:14">
      <c r="A236" s="1042" t="s">
        <v>231</v>
      </c>
      <c r="B236" s="1042" t="s">
        <v>236</v>
      </c>
      <c r="C236" s="1042" t="s">
        <v>255</v>
      </c>
      <c r="D236" s="1042" t="s">
        <v>194</v>
      </c>
      <c r="E236" s="1047" t="s">
        <v>56</v>
      </c>
      <c r="F236" s="1047" t="s">
        <v>39</v>
      </c>
      <c r="G236" s="1047" t="s">
        <v>39</v>
      </c>
      <c r="H236" s="1047">
        <v>625038521</v>
      </c>
      <c r="I236" s="1047">
        <v>2021</v>
      </c>
      <c r="J236" s="1047" t="s">
        <v>233</v>
      </c>
      <c r="K236" s="1047" t="s">
        <v>39</v>
      </c>
      <c r="L236" s="1042" t="s">
        <v>281</v>
      </c>
      <c r="M236" s="1042" t="s">
        <v>283</v>
      </c>
      <c r="N236" s="1050">
        <v>45371</v>
      </c>
    </row>
    <row r="237" spans="1:14">
      <c r="A237" s="1042" t="s">
        <v>231</v>
      </c>
      <c r="B237" s="1042" t="s">
        <v>236</v>
      </c>
      <c r="C237" s="1042" t="s">
        <v>256</v>
      </c>
      <c r="D237" s="1042" t="s">
        <v>195</v>
      </c>
      <c r="E237" s="1047" t="s">
        <v>144</v>
      </c>
      <c r="F237" s="1047" t="s">
        <v>39</v>
      </c>
      <c r="G237" s="1047" t="s">
        <v>39</v>
      </c>
      <c r="H237" s="1047">
        <v>540</v>
      </c>
      <c r="I237" s="1047">
        <v>2021</v>
      </c>
      <c r="J237" s="1047" t="s">
        <v>233</v>
      </c>
      <c r="K237" s="1047" t="s">
        <v>39</v>
      </c>
      <c r="L237" s="1042" t="s">
        <v>281</v>
      </c>
      <c r="M237" s="1042" t="s">
        <v>284</v>
      </c>
      <c r="N237" s="1050">
        <v>45371</v>
      </c>
    </row>
    <row r="238" spans="1:14">
      <c r="A238" s="1042" t="s">
        <v>231</v>
      </c>
      <c r="B238" s="1042" t="s">
        <v>236</v>
      </c>
      <c r="C238" s="1042" t="s">
        <v>256</v>
      </c>
      <c r="D238" s="1042" t="s">
        <v>196</v>
      </c>
      <c r="E238" s="1047" t="s">
        <v>144</v>
      </c>
      <c r="F238" s="1047" t="s">
        <v>39</v>
      </c>
      <c r="G238" s="1047" t="s">
        <v>39</v>
      </c>
      <c r="H238" s="1047">
        <v>329</v>
      </c>
      <c r="I238" s="1047">
        <v>2021</v>
      </c>
      <c r="J238" s="1047" t="s">
        <v>233</v>
      </c>
      <c r="K238" s="1047" t="s">
        <v>39</v>
      </c>
      <c r="L238" s="1042" t="s">
        <v>281</v>
      </c>
      <c r="M238" s="1042" t="s">
        <v>284</v>
      </c>
      <c r="N238" s="1050">
        <v>45371</v>
      </c>
    </row>
    <row r="239" spans="1:14">
      <c r="A239" s="1042" t="s">
        <v>231</v>
      </c>
      <c r="B239" s="1042" t="s">
        <v>236</v>
      </c>
      <c r="C239" s="1042" t="s">
        <v>256</v>
      </c>
      <c r="D239" s="1042" t="s">
        <v>196</v>
      </c>
      <c r="E239" s="1047" t="s">
        <v>61</v>
      </c>
      <c r="F239" s="1047" t="s">
        <v>39</v>
      </c>
      <c r="G239" s="1047" t="s">
        <v>39</v>
      </c>
      <c r="H239" s="1047">
        <v>844</v>
      </c>
      <c r="I239" s="1047">
        <v>2021</v>
      </c>
      <c r="J239" s="1047" t="s">
        <v>233</v>
      </c>
      <c r="K239" s="1047" t="s">
        <v>39</v>
      </c>
      <c r="L239" s="1042" t="s">
        <v>281</v>
      </c>
      <c r="M239" s="1042" t="s">
        <v>284</v>
      </c>
      <c r="N239" s="1050">
        <v>45371</v>
      </c>
    </row>
    <row r="240" spans="1:14">
      <c r="A240" s="1042" t="s">
        <v>231</v>
      </c>
      <c r="B240" s="1042" t="s">
        <v>248</v>
      </c>
      <c r="C240" s="1042" t="s">
        <v>253</v>
      </c>
      <c r="D240" s="1042" t="s">
        <v>203</v>
      </c>
      <c r="E240" s="1047" t="s">
        <v>144</v>
      </c>
      <c r="F240" s="1047" t="s">
        <v>39</v>
      </c>
      <c r="G240" s="1047" t="s">
        <v>39</v>
      </c>
      <c r="H240" s="1047">
        <v>3</v>
      </c>
      <c r="I240" s="1047">
        <v>2021</v>
      </c>
      <c r="J240" s="1047" t="s">
        <v>233</v>
      </c>
      <c r="K240" s="1047" t="s">
        <v>39</v>
      </c>
      <c r="L240" s="1042" t="s">
        <v>281</v>
      </c>
      <c r="M240" s="1042" t="s">
        <v>290</v>
      </c>
      <c r="N240" s="1050">
        <v>45371</v>
      </c>
    </row>
    <row r="241" spans="1:14">
      <c r="A241" s="1042" t="s">
        <v>231</v>
      </c>
      <c r="B241" s="1042" t="s">
        <v>248</v>
      </c>
      <c r="C241" s="1042" t="s">
        <v>253</v>
      </c>
      <c r="D241" s="1042" t="s">
        <v>203</v>
      </c>
      <c r="E241" s="1047" t="s">
        <v>37</v>
      </c>
      <c r="F241" s="1047" t="s">
        <v>39</v>
      </c>
      <c r="G241" s="1047" t="s">
        <v>39</v>
      </c>
      <c r="H241" s="1047">
        <v>3</v>
      </c>
      <c r="I241" s="1047">
        <v>2021</v>
      </c>
      <c r="J241" s="1047" t="s">
        <v>233</v>
      </c>
      <c r="K241" s="1047" t="s">
        <v>39</v>
      </c>
      <c r="L241" s="1042" t="s">
        <v>281</v>
      </c>
      <c r="M241" s="1042" t="s">
        <v>290</v>
      </c>
      <c r="N241" s="1050">
        <v>45371</v>
      </c>
    </row>
    <row r="242" spans="1:14">
      <c r="A242" s="1042" t="s">
        <v>231</v>
      </c>
      <c r="B242" s="1042" t="s">
        <v>248</v>
      </c>
      <c r="C242" s="1042" t="s">
        <v>253</v>
      </c>
      <c r="D242" s="1042" t="s">
        <v>203</v>
      </c>
      <c r="E242" s="1047" t="s">
        <v>40</v>
      </c>
      <c r="F242" s="1047" t="s">
        <v>39</v>
      </c>
      <c r="G242" s="1047" t="s">
        <v>39</v>
      </c>
      <c r="H242" s="1047">
        <v>0</v>
      </c>
      <c r="I242" s="1047">
        <v>2021</v>
      </c>
      <c r="J242" s="1047" t="s">
        <v>233</v>
      </c>
      <c r="K242" s="1047" t="s">
        <v>39</v>
      </c>
      <c r="L242" s="1042" t="s">
        <v>281</v>
      </c>
      <c r="M242" s="1042" t="s">
        <v>290</v>
      </c>
      <c r="N242" s="1050">
        <v>45371</v>
      </c>
    </row>
    <row r="243" spans="1:14">
      <c r="A243" s="1042" t="s">
        <v>231</v>
      </c>
      <c r="B243" s="1042" t="s">
        <v>248</v>
      </c>
      <c r="C243" s="1042" t="s">
        <v>254</v>
      </c>
      <c r="D243" s="1042" t="s">
        <v>204</v>
      </c>
      <c r="E243" s="1047" t="s">
        <v>144</v>
      </c>
      <c r="F243" s="1047" t="s">
        <v>39</v>
      </c>
      <c r="G243" s="1047" t="s">
        <v>39</v>
      </c>
      <c r="H243" s="1047">
        <v>38</v>
      </c>
      <c r="I243" s="1047">
        <v>2021</v>
      </c>
      <c r="J243" s="1047" t="s">
        <v>233</v>
      </c>
      <c r="K243" s="1047" t="s">
        <v>39</v>
      </c>
      <c r="L243" s="1042" t="s">
        <v>281</v>
      </c>
      <c r="M243" s="1042" t="s">
        <v>291</v>
      </c>
      <c r="N243" s="1050">
        <v>45371</v>
      </c>
    </row>
    <row r="244" spans="1:14">
      <c r="A244" s="1042" t="s">
        <v>231</v>
      </c>
      <c r="B244" s="1042" t="s">
        <v>248</v>
      </c>
      <c r="C244" s="1042" t="s">
        <v>254</v>
      </c>
      <c r="D244" s="1042" t="s">
        <v>204</v>
      </c>
      <c r="E244" s="1047" t="s">
        <v>75</v>
      </c>
      <c r="F244" s="1047" t="s">
        <v>39</v>
      </c>
      <c r="G244" s="1047" t="s">
        <v>39</v>
      </c>
      <c r="H244" s="1047">
        <v>20</v>
      </c>
      <c r="I244" s="1047">
        <v>2021</v>
      </c>
      <c r="J244" s="1047" t="s">
        <v>233</v>
      </c>
      <c r="K244" s="1047" t="s">
        <v>39</v>
      </c>
      <c r="L244" s="1042" t="s">
        <v>281</v>
      </c>
      <c r="M244" s="1042" t="s">
        <v>291</v>
      </c>
      <c r="N244" s="1050">
        <v>45371</v>
      </c>
    </row>
    <row r="245" spans="1:14">
      <c r="A245" s="1042" t="s">
        <v>231</v>
      </c>
      <c r="B245" s="1042" t="s">
        <v>248</v>
      </c>
      <c r="C245" s="1042" t="s">
        <v>254</v>
      </c>
      <c r="D245" s="1042" t="s">
        <v>204</v>
      </c>
      <c r="E245" s="1047" t="s">
        <v>76</v>
      </c>
      <c r="F245" s="1047" t="s">
        <v>39</v>
      </c>
      <c r="G245" s="1047" t="s">
        <v>39</v>
      </c>
      <c r="H245" s="1047">
        <v>18</v>
      </c>
      <c r="I245" s="1047">
        <v>2021</v>
      </c>
      <c r="J245" s="1047" t="s">
        <v>233</v>
      </c>
      <c r="K245" s="1047" t="s">
        <v>39</v>
      </c>
      <c r="L245" s="1042" t="s">
        <v>281</v>
      </c>
      <c r="M245" s="1042" t="s">
        <v>291</v>
      </c>
      <c r="N245" s="1050">
        <v>45371</v>
      </c>
    </row>
    <row r="246" spans="1:14">
      <c r="A246" s="1042" t="s">
        <v>231</v>
      </c>
      <c r="B246" s="1042" t="s">
        <v>241</v>
      </c>
      <c r="C246" s="1042" t="s">
        <v>257</v>
      </c>
      <c r="D246" s="1042" t="s">
        <v>197</v>
      </c>
      <c r="E246" s="1047" t="s">
        <v>144</v>
      </c>
      <c r="F246" s="1047" t="s">
        <v>39</v>
      </c>
      <c r="G246" s="1047" t="s">
        <v>39</v>
      </c>
      <c r="H246" s="1047">
        <v>80</v>
      </c>
      <c r="I246" s="1047">
        <v>2021</v>
      </c>
      <c r="J246" s="1047" t="s">
        <v>233</v>
      </c>
      <c r="K246" s="1047" t="s">
        <v>39</v>
      </c>
      <c r="L246" s="1042" t="s">
        <v>281</v>
      </c>
      <c r="M246" s="1042" t="s">
        <v>286</v>
      </c>
      <c r="N246" s="1050">
        <v>45371</v>
      </c>
    </row>
    <row r="247" spans="1:14">
      <c r="A247" s="1042" t="s">
        <v>231</v>
      </c>
      <c r="B247" s="1042" t="s">
        <v>241</v>
      </c>
      <c r="C247" s="1042" t="s">
        <v>258</v>
      </c>
      <c r="D247" s="1042" t="s">
        <v>198</v>
      </c>
      <c r="E247" s="1047" t="s">
        <v>144</v>
      </c>
      <c r="F247" s="1047" t="s">
        <v>39</v>
      </c>
      <c r="G247" s="1047" t="s">
        <v>39</v>
      </c>
      <c r="H247" s="1047">
        <v>278</v>
      </c>
      <c r="I247" s="1047">
        <v>2021</v>
      </c>
      <c r="J247" s="1047" t="s">
        <v>233</v>
      </c>
      <c r="K247" s="1047" t="s">
        <v>39</v>
      </c>
      <c r="L247" s="1042" t="s">
        <v>281</v>
      </c>
      <c r="M247" s="1042" t="s">
        <v>287</v>
      </c>
      <c r="N247" s="1050">
        <v>45371</v>
      </c>
    </row>
    <row r="248" spans="1:14">
      <c r="A248" s="1042" t="s">
        <v>231</v>
      </c>
      <c r="B248" s="1042" t="s">
        <v>241</v>
      </c>
      <c r="C248" s="1042" t="s">
        <v>259</v>
      </c>
      <c r="D248" s="1042" t="s">
        <v>199</v>
      </c>
      <c r="E248" s="1047" t="s">
        <v>144</v>
      </c>
      <c r="F248" s="1047" t="s">
        <v>39</v>
      </c>
      <c r="G248" s="1047" t="s">
        <v>39</v>
      </c>
      <c r="H248" s="1047">
        <v>600</v>
      </c>
      <c r="I248" s="1047">
        <v>2021</v>
      </c>
      <c r="J248" s="1047" t="s">
        <v>233</v>
      </c>
      <c r="K248" s="1047" t="s">
        <v>39</v>
      </c>
      <c r="L248" s="1042" t="s">
        <v>281</v>
      </c>
      <c r="M248" s="1042" t="s">
        <v>284</v>
      </c>
      <c r="N248" s="1050">
        <v>45371</v>
      </c>
    </row>
    <row r="249" spans="1:14">
      <c r="A249" s="1042" t="s">
        <v>231</v>
      </c>
      <c r="B249" s="1042" t="s">
        <v>241</v>
      </c>
      <c r="C249" s="1042" t="s">
        <v>263</v>
      </c>
      <c r="D249" s="1042" t="s">
        <v>205</v>
      </c>
      <c r="E249" s="1047" t="s">
        <v>144</v>
      </c>
      <c r="F249" s="1047" t="s">
        <v>39</v>
      </c>
      <c r="G249" s="1047" t="s">
        <v>39</v>
      </c>
      <c r="H249" s="1047">
        <v>63</v>
      </c>
      <c r="I249" s="1047">
        <v>2021</v>
      </c>
      <c r="J249" s="1047" t="s">
        <v>233</v>
      </c>
      <c r="K249" s="1047" t="s">
        <v>39</v>
      </c>
      <c r="L249" s="1042" t="s">
        <v>281</v>
      </c>
      <c r="M249" s="1042" t="s">
        <v>292</v>
      </c>
      <c r="N249" s="1050">
        <v>45371</v>
      </c>
    </row>
    <row r="250" spans="1:14">
      <c r="A250" s="1042" t="s">
        <v>231</v>
      </c>
      <c r="B250" s="1042" t="s">
        <v>241</v>
      </c>
      <c r="C250" s="1042" t="s">
        <v>263</v>
      </c>
      <c r="D250" s="1042" t="s">
        <v>205</v>
      </c>
      <c r="E250" s="1047" t="s">
        <v>92</v>
      </c>
      <c r="F250" s="1047" t="s">
        <v>39</v>
      </c>
      <c r="G250" s="1047" t="s">
        <v>39</v>
      </c>
      <c r="H250" s="1047">
        <v>63</v>
      </c>
      <c r="I250" s="1047">
        <v>2021</v>
      </c>
      <c r="J250" s="1047" t="s">
        <v>233</v>
      </c>
      <c r="K250" s="1047" t="s">
        <v>39</v>
      </c>
      <c r="L250" s="1042" t="s">
        <v>281</v>
      </c>
      <c r="M250" s="1042" t="s">
        <v>292</v>
      </c>
      <c r="N250" s="1050">
        <v>45371</v>
      </c>
    </row>
    <row r="251" spans="1:14">
      <c r="A251" s="1042" t="s">
        <v>231</v>
      </c>
      <c r="B251" s="1042" t="s">
        <v>241</v>
      </c>
      <c r="C251" s="1042" t="s">
        <v>260</v>
      </c>
      <c r="D251" s="1042" t="s">
        <v>200</v>
      </c>
      <c r="E251" s="1047" t="s">
        <v>144</v>
      </c>
      <c r="F251" s="1047" t="s">
        <v>39</v>
      </c>
      <c r="G251" s="1047" t="s">
        <v>39</v>
      </c>
      <c r="H251" s="1047">
        <v>0</v>
      </c>
      <c r="I251" s="1047">
        <v>2021</v>
      </c>
      <c r="J251" s="1047" t="s">
        <v>233</v>
      </c>
      <c r="K251" s="1047" t="s">
        <v>39</v>
      </c>
      <c r="L251" s="1042" t="s">
        <v>281</v>
      </c>
      <c r="M251" s="1042" t="s">
        <v>288</v>
      </c>
      <c r="N251" s="1050">
        <v>45371</v>
      </c>
    </row>
    <row r="252" spans="1:14">
      <c r="A252" s="1042" t="s">
        <v>231</v>
      </c>
      <c r="B252" s="1042" t="s">
        <v>241</v>
      </c>
      <c r="C252" s="1042" t="s">
        <v>261</v>
      </c>
      <c r="D252" s="1042" t="s">
        <v>201</v>
      </c>
      <c r="E252" s="1047" t="s">
        <v>144</v>
      </c>
      <c r="F252" s="1047" t="s">
        <v>39</v>
      </c>
      <c r="G252" s="1047" t="s">
        <v>39</v>
      </c>
      <c r="H252" s="1047">
        <v>25</v>
      </c>
      <c r="I252" s="1047">
        <v>2021</v>
      </c>
      <c r="J252" s="1047" t="s">
        <v>233</v>
      </c>
      <c r="K252" s="1047" t="s">
        <v>39</v>
      </c>
      <c r="L252" s="1042" t="s">
        <v>281</v>
      </c>
      <c r="M252" s="1042" t="s">
        <v>289</v>
      </c>
      <c r="N252" s="1050">
        <v>45371</v>
      </c>
    </row>
    <row r="253" spans="1:14">
      <c r="A253" s="1042" t="s">
        <v>231</v>
      </c>
      <c r="B253" s="1042" t="s">
        <v>241</v>
      </c>
      <c r="C253" s="1042" t="s">
        <v>264</v>
      </c>
      <c r="D253" s="1042" t="s">
        <v>206</v>
      </c>
      <c r="E253" s="1047" t="s">
        <v>144</v>
      </c>
      <c r="F253" s="1047" t="s">
        <v>39</v>
      </c>
      <c r="G253" s="1047" t="s">
        <v>39</v>
      </c>
      <c r="H253" s="1047">
        <v>556</v>
      </c>
      <c r="I253" s="1047">
        <v>2021</v>
      </c>
      <c r="J253" s="1047" t="s">
        <v>233</v>
      </c>
      <c r="K253" s="1047" t="s">
        <v>39</v>
      </c>
      <c r="L253" s="1042" t="s">
        <v>281</v>
      </c>
      <c r="M253" s="1042" t="s">
        <v>284</v>
      </c>
      <c r="N253" s="1050">
        <v>45371</v>
      </c>
    </row>
    <row r="254" spans="1:14">
      <c r="A254" s="1042" t="s">
        <v>231</v>
      </c>
      <c r="B254" s="1042" t="s">
        <v>241</v>
      </c>
      <c r="C254" s="1042" t="s">
        <v>264</v>
      </c>
      <c r="D254" s="1042" t="s">
        <v>206</v>
      </c>
      <c r="E254" s="1047" t="s">
        <v>92</v>
      </c>
      <c r="F254" s="1047" t="s">
        <v>39</v>
      </c>
      <c r="G254" s="1047" t="s">
        <v>39</v>
      </c>
      <c r="H254" s="1047">
        <v>430</v>
      </c>
      <c r="I254" s="1047">
        <v>2021</v>
      </c>
      <c r="J254" s="1047" t="s">
        <v>233</v>
      </c>
      <c r="K254" s="1047" t="s">
        <v>39</v>
      </c>
      <c r="L254" s="1042" t="s">
        <v>281</v>
      </c>
      <c r="M254" s="1042" t="s">
        <v>284</v>
      </c>
      <c r="N254" s="1050">
        <v>45371</v>
      </c>
    </row>
    <row r="255" spans="1:14">
      <c r="A255" s="1042" t="s">
        <v>231</v>
      </c>
      <c r="B255" s="1042" t="s">
        <v>241</v>
      </c>
      <c r="C255" s="1042" t="s">
        <v>264</v>
      </c>
      <c r="D255" s="1042" t="s">
        <v>206</v>
      </c>
      <c r="E255" s="1047" t="s">
        <v>46</v>
      </c>
      <c r="F255" s="1047" t="s">
        <v>39</v>
      </c>
      <c r="G255" s="1047" t="s">
        <v>39</v>
      </c>
      <c r="H255" s="1047">
        <v>126</v>
      </c>
      <c r="I255" s="1047">
        <v>2021</v>
      </c>
      <c r="J255" s="1047" t="s">
        <v>233</v>
      </c>
      <c r="K255" s="1047" t="s">
        <v>39</v>
      </c>
      <c r="L255" s="1042" t="s">
        <v>281</v>
      </c>
      <c r="M255" s="1042" t="s">
        <v>284</v>
      </c>
      <c r="N255" s="1050">
        <v>45371</v>
      </c>
    </row>
    <row r="256" spans="1:14">
      <c r="A256" s="1042" t="s">
        <v>231</v>
      </c>
      <c r="B256" s="1042" t="s">
        <v>232</v>
      </c>
      <c r="C256" s="1042" t="s">
        <v>251</v>
      </c>
      <c r="D256" s="1049" t="s">
        <v>190</v>
      </c>
      <c r="E256" s="1047" t="s">
        <v>144</v>
      </c>
      <c r="F256" s="1047" t="s">
        <v>39</v>
      </c>
      <c r="G256" s="1047" t="s">
        <v>39</v>
      </c>
      <c r="H256" s="1047">
        <v>3117285000</v>
      </c>
      <c r="I256" s="1047">
        <v>2022</v>
      </c>
      <c r="J256" s="1047" t="s">
        <v>233</v>
      </c>
      <c r="K256" s="1047" t="s">
        <v>39</v>
      </c>
      <c r="L256" s="1042" t="s">
        <v>281</v>
      </c>
      <c r="M256" s="1042" t="s">
        <v>283</v>
      </c>
      <c r="N256" s="1050">
        <v>45371</v>
      </c>
    </row>
    <row r="257" spans="1:14">
      <c r="A257" s="1042" t="s">
        <v>231</v>
      </c>
      <c r="B257" s="1042" t="s">
        <v>232</v>
      </c>
      <c r="C257" s="1042" t="s">
        <v>252</v>
      </c>
      <c r="D257" s="1049" t="s">
        <v>191</v>
      </c>
      <c r="E257" s="1047" t="s">
        <v>144</v>
      </c>
      <c r="F257" s="1047" t="s">
        <v>39</v>
      </c>
      <c r="G257" s="1047" t="s">
        <v>39</v>
      </c>
      <c r="H257" s="1048">
        <v>10335758032</v>
      </c>
      <c r="I257" s="1047">
        <v>2022</v>
      </c>
      <c r="J257" s="1047" t="s">
        <v>233</v>
      </c>
      <c r="K257" s="1047" t="s">
        <v>39</v>
      </c>
      <c r="L257" s="1042" t="s">
        <v>281</v>
      </c>
      <c r="M257" s="1042" t="s">
        <v>283</v>
      </c>
      <c r="N257" s="1050">
        <v>45371</v>
      </c>
    </row>
    <row r="258" spans="1:14">
      <c r="A258" s="1042" t="s">
        <v>231</v>
      </c>
      <c r="B258" s="1042" t="s">
        <v>236</v>
      </c>
      <c r="C258" s="1042" t="s">
        <v>253</v>
      </c>
      <c r="D258" s="1042" t="s">
        <v>192</v>
      </c>
      <c r="E258" s="1047" t="s">
        <v>144</v>
      </c>
      <c r="F258" s="1047" t="s">
        <v>39</v>
      </c>
      <c r="G258" s="1047" t="s">
        <v>39</v>
      </c>
      <c r="H258" s="1047">
        <v>0</v>
      </c>
      <c r="I258" s="1047">
        <v>2022</v>
      </c>
      <c r="J258" s="1047" t="s">
        <v>233</v>
      </c>
      <c r="K258" s="1047" t="s">
        <v>39</v>
      </c>
      <c r="L258" s="1042" t="s">
        <v>281</v>
      </c>
      <c r="M258" s="1042" t="s">
        <v>284</v>
      </c>
      <c r="N258" s="1050">
        <v>45371</v>
      </c>
    </row>
    <row r="259" spans="1:14">
      <c r="A259" s="1042" t="s">
        <v>231</v>
      </c>
      <c r="B259" s="1042" t="s">
        <v>236</v>
      </c>
      <c r="C259" s="1042" t="s">
        <v>253</v>
      </c>
      <c r="D259" s="1042" t="s">
        <v>192</v>
      </c>
      <c r="E259" s="1047" t="s">
        <v>37</v>
      </c>
      <c r="F259" s="1047" t="s">
        <v>39</v>
      </c>
      <c r="G259" s="1047" t="s">
        <v>39</v>
      </c>
      <c r="H259" s="1047">
        <v>915</v>
      </c>
      <c r="I259" s="1047">
        <v>2022</v>
      </c>
      <c r="J259" s="1047" t="s">
        <v>233</v>
      </c>
      <c r="K259" s="1047" t="s">
        <v>39</v>
      </c>
      <c r="L259" s="1042" t="s">
        <v>281</v>
      </c>
      <c r="M259" s="1042" t="s">
        <v>284</v>
      </c>
      <c r="N259" s="1050">
        <v>45371</v>
      </c>
    </row>
    <row r="260" spans="1:14">
      <c r="A260" s="1042" t="s">
        <v>231</v>
      </c>
      <c r="B260" s="1042" t="s">
        <v>236</v>
      </c>
      <c r="C260" s="1042" t="s">
        <v>253</v>
      </c>
      <c r="D260" s="1042" t="s">
        <v>192</v>
      </c>
      <c r="E260" s="1047" t="s">
        <v>40</v>
      </c>
      <c r="F260" s="1047" t="s">
        <v>39</v>
      </c>
      <c r="G260" s="1047" t="s">
        <v>39</v>
      </c>
      <c r="H260" s="1047">
        <v>20</v>
      </c>
      <c r="I260" s="1047">
        <v>2022</v>
      </c>
      <c r="J260" s="1047" t="s">
        <v>233</v>
      </c>
      <c r="K260" s="1047" t="s">
        <v>39</v>
      </c>
      <c r="L260" s="1042" t="s">
        <v>281</v>
      </c>
      <c r="M260" s="1042" t="s">
        <v>284</v>
      </c>
      <c r="N260" s="1050">
        <v>45371</v>
      </c>
    </row>
    <row r="261" spans="1:14">
      <c r="A261" s="1042" t="s">
        <v>231</v>
      </c>
      <c r="B261" s="1042" t="s">
        <v>236</v>
      </c>
      <c r="C261" s="1042" t="s">
        <v>262</v>
      </c>
      <c r="D261" s="1042" t="s">
        <v>202</v>
      </c>
      <c r="E261" s="1047" t="s">
        <v>144</v>
      </c>
      <c r="F261" s="1047" t="s">
        <v>39</v>
      </c>
      <c r="G261" s="1047" t="s">
        <v>39</v>
      </c>
      <c r="H261" s="1047">
        <v>80</v>
      </c>
      <c r="I261" s="1047">
        <v>2022</v>
      </c>
      <c r="J261" s="1047" t="s">
        <v>233</v>
      </c>
      <c r="K261" s="1047" t="s">
        <v>39</v>
      </c>
      <c r="L261" s="1042" t="s">
        <v>281</v>
      </c>
      <c r="M261" s="1042" t="s">
        <v>285</v>
      </c>
      <c r="N261" s="1050">
        <v>45371</v>
      </c>
    </row>
    <row r="262" spans="1:14">
      <c r="A262" s="1042" t="s">
        <v>231</v>
      </c>
      <c r="B262" s="1042" t="s">
        <v>236</v>
      </c>
      <c r="C262" s="1042" t="s">
        <v>262</v>
      </c>
      <c r="D262" s="1042" t="s">
        <v>202</v>
      </c>
      <c r="E262" s="1047" t="s">
        <v>43</v>
      </c>
      <c r="F262" s="1047" t="s">
        <v>39</v>
      </c>
      <c r="G262" s="1047" t="s">
        <v>39</v>
      </c>
      <c r="H262" s="1047">
        <v>0</v>
      </c>
      <c r="I262" s="1047">
        <v>2022</v>
      </c>
      <c r="J262" s="1047" t="s">
        <v>233</v>
      </c>
      <c r="K262" s="1047" t="s">
        <v>39</v>
      </c>
      <c r="L262" s="1042" t="s">
        <v>281</v>
      </c>
      <c r="M262" s="1042" t="s">
        <v>285</v>
      </c>
      <c r="N262" s="1050">
        <v>45371</v>
      </c>
    </row>
    <row r="263" spans="1:14">
      <c r="A263" s="1042" t="s">
        <v>231</v>
      </c>
      <c r="B263" s="1042" t="s">
        <v>236</v>
      </c>
      <c r="C263" s="1042" t="s">
        <v>262</v>
      </c>
      <c r="D263" s="1042" t="s">
        <v>202</v>
      </c>
      <c r="E263" s="1047" t="s">
        <v>45</v>
      </c>
      <c r="F263" s="1047" t="s">
        <v>39</v>
      </c>
      <c r="G263" s="1047" t="s">
        <v>39</v>
      </c>
      <c r="H263" s="1047">
        <v>0</v>
      </c>
      <c r="I263" s="1047">
        <v>2022</v>
      </c>
      <c r="J263" s="1047" t="s">
        <v>233</v>
      </c>
      <c r="K263" s="1047" t="s">
        <v>39</v>
      </c>
      <c r="L263" s="1042" t="s">
        <v>281</v>
      </c>
      <c r="M263" s="1042" t="s">
        <v>285</v>
      </c>
      <c r="N263" s="1050">
        <v>45371</v>
      </c>
    </row>
    <row r="264" spans="1:14">
      <c r="A264" s="1042" t="s">
        <v>231</v>
      </c>
      <c r="B264" s="1042" t="s">
        <v>236</v>
      </c>
      <c r="C264" s="1042" t="s">
        <v>262</v>
      </c>
      <c r="D264" s="1042" t="s">
        <v>202</v>
      </c>
      <c r="E264" s="1047" t="s">
        <v>50</v>
      </c>
      <c r="F264" s="1047" t="s">
        <v>39</v>
      </c>
      <c r="G264" s="1047" t="s">
        <v>39</v>
      </c>
      <c r="H264" s="1047">
        <v>80</v>
      </c>
      <c r="I264" s="1047">
        <v>2022</v>
      </c>
      <c r="J264" s="1047" t="s">
        <v>233</v>
      </c>
      <c r="K264" s="1047" t="s">
        <v>39</v>
      </c>
      <c r="L264" s="1042" t="s">
        <v>281</v>
      </c>
      <c r="M264" s="1042" t="s">
        <v>285</v>
      </c>
      <c r="N264" s="1050">
        <v>45371</v>
      </c>
    </row>
    <row r="265" spans="1:14">
      <c r="A265" s="1042" t="s">
        <v>231</v>
      </c>
      <c r="B265" s="1042" t="s">
        <v>236</v>
      </c>
      <c r="C265" s="1042" t="s">
        <v>254</v>
      </c>
      <c r="D265" s="1042" t="s">
        <v>193</v>
      </c>
      <c r="E265" s="1047" t="s">
        <v>144</v>
      </c>
      <c r="F265" s="1047" t="s">
        <v>39</v>
      </c>
      <c r="G265" s="1047" t="s">
        <v>39</v>
      </c>
      <c r="H265" s="1047">
        <v>120</v>
      </c>
      <c r="I265" s="1047">
        <v>2022</v>
      </c>
      <c r="J265" s="1047" t="s">
        <v>233</v>
      </c>
      <c r="K265" s="1047" t="s">
        <v>39</v>
      </c>
      <c r="L265" s="1042" t="s">
        <v>281</v>
      </c>
      <c r="M265" s="1042" t="s">
        <v>285</v>
      </c>
      <c r="N265" s="1050">
        <v>45371</v>
      </c>
    </row>
    <row r="266" spans="1:14">
      <c r="A266" s="1042" t="s">
        <v>231</v>
      </c>
      <c r="B266" s="1042" t="s">
        <v>236</v>
      </c>
      <c r="C266" s="1042" t="s">
        <v>254</v>
      </c>
      <c r="D266" s="1042" t="s">
        <v>193</v>
      </c>
      <c r="E266" s="1047" t="s">
        <v>46</v>
      </c>
      <c r="F266" s="1047" t="s">
        <v>39</v>
      </c>
      <c r="G266" s="1047" t="s">
        <v>39</v>
      </c>
      <c r="H266" s="1047">
        <v>120</v>
      </c>
      <c r="I266" s="1047">
        <v>2022</v>
      </c>
      <c r="J266" s="1047" t="s">
        <v>233</v>
      </c>
      <c r="K266" s="1047" t="s">
        <v>39</v>
      </c>
      <c r="L266" s="1042" t="s">
        <v>281</v>
      </c>
      <c r="M266" s="1042" t="s">
        <v>285</v>
      </c>
      <c r="N266" s="1050">
        <v>45371</v>
      </c>
    </row>
    <row r="267" spans="1:14">
      <c r="A267" s="1042" t="s">
        <v>231</v>
      </c>
      <c r="B267" s="1042" t="s">
        <v>236</v>
      </c>
      <c r="C267" s="1042" t="s">
        <v>255</v>
      </c>
      <c r="D267" s="1042" t="s">
        <v>194</v>
      </c>
      <c r="E267" s="1047" t="s">
        <v>144</v>
      </c>
      <c r="F267" s="1047" t="s">
        <v>39</v>
      </c>
      <c r="G267" s="1047" t="s">
        <v>39</v>
      </c>
      <c r="H267" s="1047">
        <v>3662733297</v>
      </c>
      <c r="I267" s="1047">
        <v>2022</v>
      </c>
      <c r="J267" s="1047" t="s">
        <v>233</v>
      </c>
      <c r="K267" s="1047" t="s">
        <v>39</v>
      </c>
      <c r="L267" s="1042" t="s">
        <v>281</v>
      </c>
      <c r="M267" s="1042" t="s">
        <v>283</v>
      </c>
      <c r="N267" s="1050">
        <v>45371</v>
      </c>
    </row>
    <row r="268" spans="1:14">
      <c r="A268" s="1042" t="s">
        <v>231</v>
      </c>
      <c r="B268" s="1042" t="s">
        <v>236</v>
      </c>
      <c r="C268" s="1042" t="s">
        <v>255</v>
      </c>
      <c r="D268" s="1042" t="s">
        <v>194</v>
      </c>
      <c r="E268" s="1047" t="s">
        <v>55</v>
      </c>
      <c r="F268" s="1047" t="s">
        <v>39</v>
      </c>
      <c r="G268" s="1047" t="s">
        <v>39</v>
      </c>
      <c r="H268" s="1047">
        <v>1542582778.4100001</v>
      </c>
      <c r="I268" s="1047">
        <v>2022</v>
      </c>
      <c r="J268" s="1047" t="s">
        <v>233</v>
      </c>
      <c r="K268" s="1047" t="s">
        <v>39</v>
      </c>
      <c r="L268" s="1042" t="s">
        <v>281</v>
      </c>
      <c r="M268" s="1042" t="s">
        <v>283</v>
      </c>
      <c r="N268" s="1050">
        <v>45371</v>
      </c>
    </row>
    <row r="269" spans="1:14">
      <c r="A269" s="1042" t="s">
        <v>231</v>
      </c>
      <c r="B269" s="1042" t="s">
        <v>236</v>
      </c>
      <c r="C269" s="1042" t="s">
        <v>255</v>
      </c>
      <c r="D269" s="1042" t="s">
        <v>194</v>
      </c>
      <c r="E269" s="1047" t="s">
        <v>44</v>
      </c>
      <c r="F269" s="1047" t="s">
        <v>39</v>
      </c>
      <c r="G269" s="1047" t="s">
        <v>39</v>
      </c>
      <c r="H269" s="1047">
        <v>180000000</v>
      </c>
      <c r="I269" s="1047">
        <v>2022</v>
      </c>
      <c r="J269" s="1047" t="s">
        <v>233</v>
      </c>
      <c r="K269" s="1047" t="s">
        <v>39</v>
      </c>
      <c r="L269" s="1042" t="s">
        <v>281</v>
      </c>
      <c r="M269" s="1042" t="s">
        <v>283</v>
      </c>
      <c r="N269" s="1050">
        <v>45371</v>
      </c>
    </row>
    <row r="270" spans="1:14">
      <c r="A270" s="1042" t="s">
        <v>231</v>
      </c>
      <c r="B270" s="1042" t="s">
        <v>236</v>
      </c>
      <c r="C270" s="1042" t="s">
        <v>255</v>
      </c>
      <c r="D270" s="1042" t="s">
        <v>194</v>
      </c>
      <c r="E270" s="1047" t="s">
        <v>45</v>
      </c>
      <c r="F270" s="1047" t="s">
        <v>39</v>
      </c>
      <c r="G270" s="1047" t="s">
        <v>39</v>
      </c>
      <c r="H270" s="1047">
        <v>1739798316</v>
      </c>
      <c r="I270" s="1047">
        <v>2022</v>
      </c>
      <c r="J270" s="1047" t="s">
        <v>233</v>
      </c>
      <c r="K270" s="1047" t="s">
        <v>39</v>
      </c>
      <c r="L270" s="1042" t="s">
        <v>281</v>
      </c>
      <c r="M270" s="1042" t="s">
        <v>283</v>
      </c>
      <c r="N270" s="1050">
        <v>45371</v>
      </c>
    </row>
    <row r="271" spans="1:14">
      <c r="A271" s="1042" t="s">
        <v>231</v>
      </c>
      <c r="B271" s="1042" t="s">
        <v>236</v>
      </c>
      <c r="C271" s="1042" t="s">
        <v>255</v>
      </c>
      <c r="D271" s="1042" t="s">
        <v>194</v>
      </c>
      <c r="E271" s="1047" t="s">
        <v>56</v>
      </c>
      <c r="F271" s="1047" t="s">
        <v>39</v>
      </c>
      <c r="G271" s="1047" t="s">
        <v>39</v>
      </c>
      <c r="H271" s="1047">
        <v>552546660</v>
      </c>
      <c r="I271" s="1047">
        <v>2022</v>
      </c>
      <c r="J271" s="1047" t="s">
        <v>233</v>
      </c>
      <c r="K271" s="1047" t="s">
        <v>39</v>
      </c>
      <c r="L271" s="1042" t="s">
        <v>281</v>
      </c>
      <c r="M271" s="1042" t="s">
        <v>283</v>
      </c>
      <c r="N271" s="1050">
        <v>45371</v>
      </c>
    </row>
    <row r="272" spans="1:14">
      <c r="A272" s="1042" t="s">
        <v>231</v>
      </c>
      <c r="B272" s="1042" t="s">
        <v>236</v>
      </c>
      <c r="C272" s="1042" t="s">
        <v>256</v>
      </c>
      <c r="D272" s="1042" t="s">
        <v>195</v>
      </c>
      <c r="E272" s="1047" t="s">
        <v>144</v>
      </c>
      <c r="F272" s="1047" t="s">
        <v>39</v>
      </c>
      <c r="G272" s="1047" t="s">
        <v>39</v>
      </c>
      <c r="H272" s="1047">
        <v>630</v>
      </c>
      <c r="I272" s="1047">
        <v>2022</v>
      </c>
      <c r="J272" s="1047" t="s">
        <v>233</v>
      </c>
      <c r="K272" s="1047" t="s">
        <v>39</v>
      </c>
      <c r="L272" s="1042" t="s">
        <v>281</v>
      </c>
      <c r="M272" s="1042" t="s">
        <v>284</v>
      </c>
      <c r="N272" s="1050">
        <v>45371</v>
      </c>
    </row>
    <row r="273" spans="1:14">
      <c r="A273" s="1042" t="s">
        <v>231</v>
      </c>
      <c r="B273" s="1042" t="s">
        <v>236</v>
      </c>
      <c r="C273" s="1042" t="s">
        <v>256</v>
      </c>
      <c r="D273" s="1042" t="s">
        <v>195</v>
      </c>
      <c r="E273" s="1047" t="s">
        <v>59</v>
      </c>
      <c r="F273" s="1047" t="s">
        <v>39</v>
      </c>
      <c r="G273" s="1047" t="s">
        <v>39</v>
      </c>
      <c r="H273" s="1047">
        <v>80</v>
      </c>
      <c r="I273" s="1047">
        <v>2022</v>
      </c>
      <c r="J273" s="1047" t="s">
        <v>233</v>
      </c>
      <c r="K273" s="1047" t="s">
        <v>39</v>
      </c>
      <c r="L273" s="1042" t="s">
        <v>281</v>
      </c>
      <c r="M273" s="1042" t="s">
        <v>284</v>
      </c>
      <c r="N273" s="1050">
        <v>45371</v>
      </c>
    </row>
    <row r="274" spans="1:14">
      <c r="A274" s="1042" t="s">
        <v>231</v>
      </c>
      <c r="B274" s="1042" t="s">
        <v>236</v>
      </c>
      <c r="C274" s="1042" t="s">
        <v>256</v>
      </c>
      <c r="D274" s="1042" t="s">
        <v>196</v>
      </c>
      <c r="E274" s="1047" t="s">
        <v>144</v>
      </c>
      <c r="F274" s="1047" t="s">
        <v>39</v>
      </c>
      <c r="G274" s="1047" t="s">
        <v>39</v>
      </c>
      <c r="H274" s="1047">
        <v>443</v>
      </c>
      <c r="I274" s="1047">
        <v>2022</v>
      </c>
      <c r="J274" s="1047" t="s">
        <v>233</v>
      </c>
      <c r="K274" s="1047" t="s">
        <v>39</v>
      </c>
      <c r="L274" s="1042" t="s">
        <v>281</v>
      </c>
      <c r="M274" s="1042" t="s">
        <v>284</v>
      </c>
      <c r="N274" s="1050">
        <v>45371</v>
      </c>
    </row>
    <row r="275" spans="1:14">
      <c r="A275" s="1042" t="s">
        <v>231</v>
      </c>
      <c r="B275" s="1042" t="s">
        <v>236</v>
      </c>
      <c r="C275" s="1042" t="s">
        <v>256</v>
      </c>
      <c r="D275" s="1042" t="s">
        <v>196</v>
      </c>
      <c r="E275" s="1047" t="s">
        <v>61</v>
      </c>
      <c r="F275" s="1047" t="s">
        <v>39</v>
      </c>
      <c r="G275" s="1047" t="s">
        <v>39</v>
      </c>
      <c r="H275" s="1047">
        <v>1082</v>
      </c>
      <c r="I275" s="1047">
        <v>2022</v>
      </c>
      <c r="J275" s="1047" t="s">
        <v>233</v>
      </c>
      <c r="K275" s="1047" t="s">
        <v>39</v>
      </c>
      <c r="L275" s="1042" t="s">
        <v>281</v>
      </c>
      <c r="M275" s="1042" t="s">
        <v>284</v>
      </c>
      <c r="N275" s="1050">
        <v>45371</v>
      </c>
    </row>
    <row r="276" spans="1:14">
      <c r="A276" s="1042" t="s">
        <v>231</v>
      </c>
      <c r="B276" s="1042" t="s">
        <v>248</v>
      </c>
      <c r="C276" s="1042" t="s">
        <v>253</v>
      </c>
      <c r="D276" s="1042" t="s">
        <v>203</v>
      </c>
      <c r="E276" s="1047" t="s">
        <v>144</v>
      </c>
      <c r="F276" s="1047" t="s">
        <v>39</v>
      </c>
      <c r="G276" s="1047" t="s">
        <v>39</v>
      </c>
      <c r="H276" s="1047">
        <v>4</v>
      </c>
      <c r="I276" s="1047">
        <v>2022</v>
      </c>
      <c r="J276" s="1047" t="s">
        <v>233</v>
      </c>
      <c r="K276" s="1047" t="s">
        <v>39</v>
      </c>
      <c r="L276" s="1042" t="s">
        <v>281</v>
      </c>
      <c r="M276" s="1042" t="s">
        <v>290</v>
      </c>
      <c r="N276" s="1050">
        <v>45371</v>
      </c>
    </row>
    <row r="277" spans="1:14">
      <c r="A277" s="1042" t="s">
        <v>231</v>
      </c>
      <c r="B277" s="1042" t="s">
        <v>248</v>
      </c>
      <c r="C277" s="1042" t="s">
        <v>253</v>
      </c>
      <c r="D277" s="1042" t="s">
        <v>203</v>
      </c>
      <c r="E277" s="1047" t="s">
        <v>37</v>
      </c>
      <c r="F277" s="1047" t="s">
        <v>39</v>
      </c>
      <c r="G277" s="1047" t="s">
        <v>39</v>
      </c>
      <c r="H277" s="1047">
        <v>4</v>
      </c>
      <c r="I277" s="1047">
        <v>2022</v>
      </c>
      <c r="J277" s="1047" t="s">
        <v>233</v>
      </c>
      <c r="K277" s="1047" t="s">
        <v>39</v>
      </c>
      <c r="L277" s="1042" t="s">
        <v>281</v>
      </c>
      <c r="M277" s="1042" t="s">
        <v>290</v>
      </c>
      <c r="N277" s="1050">
        <v>45371</v>
      </c>
    </row>
    <row r="278" spans="1:14">
      <c r="A278" s="1042" t="s">
        <v>231</v>
      </c>
      <c r="B278" s="1042" t="s">
        <v>248</v>
      </c>
      <c r="C278" s="1042" t="s">
        <v>253</v>
      </c>
      <c r="D278" s="1042" t="s">
        <v>203</v>
      </c>
      <c r="E278" s="1047" t="s">
        <v>40</v>
      </c>
      <c r="F278" s="1047" t="s">
        <v>39</v>
      </c>
      <c r="G278" s="1047" t="s">
        <v>39</v>
      </c>
      <c r="H278" s="1047">
        <v>1</v>
      </c>
      <c r="I278" s="1047">
        <v>2022</v>
      </c>
      <c r="J278" s="1047" t="s">
        <v>233</v>
      </c>
      <c r="K278" s="1047" t="s">
        <v>39</v>
      </c>
      <c r="L278" s="1042" t="s">
        <v>281</v>
      </c>
      <c r="M278" s="1042" t="s">
        <v>290</v>
      </c>
      <c r="N278" s="1050">
        <v>45371</v>
      </c>
    </row>
    <row r="279" spans="1:14">
      <c r="A279" s="1042" t="s">
        <v>231</v>
      </c>
      <c r="B279" s="1042" t="s">
        <v>248</v>
      </c>
      <c r="C279" s="1042" t="s">
        <v>254</v>
      </c>
      <c r="D279" s="1042" t="s">
        <v>204</v>
      </c>
      <c r="E279" s="1047" t="s">
        <v>144</v>
      </c>
      <c r="F279" s="1047" t="s">
        <v>39</v>
      </c>
      <c r="G279" s="1047" t="s">
        <v>39</v>
      </c>
      <c r="H279" s="1047">
        <v>50</v>
      </c>
      <c r="I279" s="1047">
        <v>2022</v>
      </c>
      <c r="J279" s="1047" t="s">
        <v>233</v>
      </c>
      <c r="K279" s="1047" t="s">
        <v>39</v>
      </c>
      <c r="L279" s="1042" t="s">
        <v>281</v>
      </c>
      <c r="M279" s="1042" t="s">
        <v>291</v>
      </c>
      <c r="N279" s="1050">
        <v>45371</v>
      </c>
    </row>
    <row r="280" spans="1:14">
      <c r="A280" s="1042" t="s">
        <v>231</v>
      </c>
      <c r="B280" s="1042" t="s">
        <v>248</v>
      </c>
      <c r="C280" s="1042" t="s">
        <v>254</v>
      </c>
      <c r="D280" s="1042" t="s">
        <v>204</v>
      </c>
      <c r="E280" s="1047" t="s">
        <v>75</v>
      </c>
      <c r="F280" s="1047" t="s">
        <v>39</v>
      </c>
      <c r="G280" s="1047" t="s">
        <v>39</v>
      </c>
      <c r="H280" s="1047">
        <v>20</v>
      </c>
      <c r="I280" s="1047">
        <v>2022</v>
      </c>
      <c r="J280" s="1047" t="s">
        <v>233</v>
      </c>
      <c r="K280" s="1047" t="s">
        <v>39</v>
      </c>
      <c r="L280" s="1042" t="s">
        <v>281</v>
      </c>
      <c r="M280" s="1042" t="s">
        <v>291</v>
      </c>
      <c r="N280" s="1050">
        <v>45371</v>
      </c>
    </row>
    <row r="281" spans="1:14">
      <c r="A281" s="1042" t="s">
        <v>231</v>
      </c>
      <c r="B281" s="1042" t="s">
        <v>248</v>
      </c>
      <c r="C281" s="1042" t="s">
        <v>254</v>
      </c>
      <c r="D281" s="1042" t="s">
        <v>204</v>
      </c>
      <c r="E281" s="1047" t="s">
        <v>76</v>
      </c>
      <c r="F281" s="1047" t="s">
        <v>39</v>
      </c>
      <c r="G281" s="1047" t="s">
        <v>39</v>
      </c>
      <c r="H281" s="1047">
        <v>30</v>
      </c>
      <c r="I281" s="1047">
        <v>2022</v>
      </c>
      <c r="J281" s="1047" t="s">
        <v>233</v>
      </c>
      <c r="K281" s="1047" t="s">
        <v>39</v>
      </c>
      <c r="L281" s="1042" t="s">
        <v>281</v>
      </c>
      <c r="M281" s="1042" t="s">
        <v>291</v>
      </c>
      <c r="N281" s="1050">
        <v>45371</v>
      </c>
    </row>
    <row r="282" spans="1:14">
      <c r="A282" s="1042" t="s">
        <v>231</v>
      </c>
      <c r="B282" s="1042" t="s">
        <v>241</v>
      </c>
      <c r="C282" s="1042" t="s">
        <v>257</v>
      </c>
      <c r="D282" s="1042" t="s">
        <v>197</v>
      </c>
      <c r="E282" s="1047" t="s">
        <v>144</v>
      </c>
      <c r="F282" s="1047" t="s">
        <v>39</v>
      </c>
      <c r="G282" s="1047" t="s">
        <v>39</v>
      </c>
      <c r="H282" s="1047">
        <v>80</v>
      </c>
      <c r="I282" s="1047">
        <v>2022</v>
      </c>
      <c r="J282" s="1047" t="s">
        <v>233</v>
      </c>
      <c r="K282" s="1047" t="s">
        <v>39</v>
      </c>
      <c r="L282" s="1042" t="s">
        <v>281</v>
      </c>
      <c r="M282" s="1042" t="s">
        <v>286</v>
      </c>
      <c r="N282" s="1050">
        <v>45371</v>
      </c>
    </row>
    <row r="283" spans="1:14">
      <c r="A283" s="1042" t="s">
        <v>231</v>
      </c>
      <c r="B283" s="1042" t="s">
        <v>241</v>
      </c>
      <c r="C283" s="1042" t="s">
        <v>258</v>
      </c>
      <c r="D283" s="1042" t="s">
        <v>198</v>
      </c>
      <c r="E283" s="1047" t="s">
        <v>144</v>
      </c>
      <c r="F283" s="1047" t="s">
        <v>39</v>
      </c>
      <c r="G283" s="1047" t="s">
        <v>39</v>
      </c>
      <c r="H283" s="1047">
        <v>278</v>
      </c>
      <c r="I283" s="1047">
        <v>2022</v>
      </c>
      <c r="J283" s="1047" t="s">
        <v>233</v>
      </c>
      <c r="K283" s="1047" t="s">
        <v>39</v>
      </c>
      <c r="L283" s="1042" t="s">
        <v>281</v>
      </c>
      <c r="M283" s="1042" t="s">
        <v>287</v>
      </c>
      <c r="N283" s="1050">
        <v>45371</v>
      </c>
    </row>
    <row r="284" spans="1:14">
      <c r="A284" s="1042" t="s">
        <v>231</v>
      </c>
      <c r="B284" s="1042" t="s">
        <v>241</v>
      </c>
      <c r="C284" s="1042" t="s">
        <v>259</v>
      </c>
      <c r="D284" s="1042" t="s">
        <v>199</v>
      </c>
      <c r="E284" s="1047" t="s">
        <v>144</v>
      </c>
      <c r="F284" s="1047" t="s">
        <v>39</v>
      </c>
      <c r="G284" s="1047" t="s">
        <v>39</v>
      </c>
      <c r="H284" s="1047">
        <v>600</v>
      </c>
      <c r="I284" s="1047">
        <v>2022</v>
      </c>
      <c r="J284" s="1047" t="s">
        <v>233</v>
      </c>
      <c r="K284" s="1047" t="s">
        <v>39</v>
      </c>
      <c r="L284" s="1042" t="s">
        <v>281</v>
      </c>
      <c r="M284" s="1042" t="s">
        <v>284</v>
      </c>
      <c r="N284" s="1050">
        <v>45371</v>
      </c>
    </row>
    <row r="285" spans="1:14">
      <c r="A285" s="1042" t="s">
        <v>231</v>
      </c>
      <c r="B285" s="1042" t="s">
        <v>241</v>
      </c>
      <c r="C285" s="1042" t="s">
        <v>263</v>
      </c>
      <c r="D285" s="1042" t="s">
        <v>205</v>
      </c>
      <c r="E285" s="1047" t="s">
        <v>144</v>
      </c>
      <c r="F285" s="1047" t="s">
        <v>39</v>
      </c>
      <c r="G285" s="1047" t="s">
        <v>39</v>
      </c>
      <c r="H285" s="1047">
        <v>113</v>
      </c>
      <c r="I285" s="1047">
        <v>2022</v>
      </c>
      <c r="J285" s="1047" t="s">
        <v>233</v>
      </c>
      <c r="K285" s="1047" t="s">
        <v>39</v>
      </c>
      <c r="L285" s="1042" t="s">
        <v>281</v>
      </c>
      <c r="M285" s="1042" t="s">
        <v>292</v>
      </c>
      <c r="N285" s="1050">
        <v>45371</v>
      </c>
    </row>
    <row r="286" spans="1:14">
      <c r="A286" s="1042" t="s">
        <v>231</v>
      </c>
      <c r="B286" s="1042" t="s">
        <v>241</v>
      </c>
      <c r="C286" s="1042" t="s">
        <v>263</v>
      </c>
      <c r="D286" s="1042" t="s">
        <v>205</v>
      </c>
      <c r="E286" s="1047" t="s">
        <v>92</v>
      </c>
      <c r="F286" s="1047" t="s">
        <v>39</v>
      </c>
      <c r="G286" s="1047" t="s">
        <v>39</v>
      </c>
      <c r="H286" s="1047">
        <v>63</v>
      </c>
      <c r="I286" s="1047">
        <v>2022</v>
      </c>
      <c r="J286" s="1047" t="s">
        <v>233</v>
      </c>
      <c r="K286" s="1047" t="s">
        <v>39</v>
      </c>
      <c r="L286" s="1042" t="s">
        <v>281</v>
      </c>
      <c r="M286" s="1042" t="s">
        <v>292</v>
      </c>
      <c r="N286" s="1050">
        <v>45371</v>
      </c>
    </row>
    <row r="287" spans="1:14">
      <c r="A287" s="1042" t="s">
        <v>231</v>
      </c>
      <c r="B287" s="1042" t="s">
        <v>241</v>
      </c>
      <c r="C287" s="1042" t="s">
        <v>263</v>
      </c>
      <c r="D287" s="1042" t="s">
        <v>205</v>
      </c>
      <c r="E287" s="1047" t="s">
        <v>46</v>
      </c>
      <c r="F287" s="1047" t="s">
        <v>39</v>
      </c>
      <c r="G287" s="1047" t="s">
        <v>39</v>
      </c>
      <c r="H287" s="1047">
        <v>50</v>
      </c>
      <c r="I287" s="1047">
        <v>2022</v>
      </c>
      <c r="J287" s="1047" t="s">
        <v>233</v>
      </c>
      <c r="K287" s="1047" t="s">
        <v>39</v>
      </c>
      <c r="L287" s="1042" t="s">
        <v>281</v>
      </c>
      <c r="M287" s="1042" t="s">
        <v>292</v>
      </c>
      <c r="N287" s="1050">
        <v>45371</v>
      </c>
    </row>
    <row r="288" spans="1:14">
      <c r="A288" s="1042" t="s">
        <v>231</v>
      </c>
      <c r="B288" s="1042" t="s">
        <v>241</v>
      </c>
      <c r="C288" s="1042" t="s">
        <v>260</v>
      </c>
      <c r="D288" s="1042" t="s">
        <v>200</v>
      </c>
      <c r="E288" s="1047" t="s">
        <v>144</v>
      </c>
      <c r="F288" s="1047" t="s">
        <v>39</v>
      </c>
      <c r="G288" s="1047" t="s">
        <v>39</v>
      </c>
      <c r="H288" s="1047">
        <v>0</v>
      </c>
      <c r="I288" s="1047">
        <v>2022</v>
      </c>
      <c r="J288" s="1047" t="s">
        <v>233</v>
      </c>
      <c r="K288" s="1047" t="s">
        <v>39</v>
      </c>
      <c r="L288" s="1042" t="s">
        <v>281</v>
      </c>
      <c r="M288" s="1042" t="s">
        <v>288</v>
      </c>
      <c r="N288" s="1050">
        <v>45371</v>
      </c>
    </row>
    <row r="289" spans="1:14">
      <c r="A289" s="1042" t="s">
        <v>231</v>
      </c>
      <c r="B289" s="1042" t="s">
        <v>241</v>
      </c>
      <c r="C289" s="1042" t="s">
        <v>261</v>
      </c>
      <c r="D289" s="1042" t="s">
        <v>201</v>
      </c>
      <c r="E289" s="1047" t="s">
        <v>144</v>
      </c>
      <c r="F289" s="1047" t="s">
        <v>39</v>
      </c>
      <c r="G289" s="1047" t="s">
        <v>39</v>
      </c>
      <c r="H289" s="1047">
        <v>25</v>
      </c>
      <c r="I289" s="1047">
        <v>2022</v>
      </c>
      <c r="J289" s="1047" t="s">
        <v>233</v>
      </c>
      <c r="K289" s="1047" t="s">
        <v>39</v>
      </c>
      <c r="L289" s="1042" t="s">
        <v>281</v>
      </c>
      <c r="M289" s="1042" t="s">
        <v>289</v>
      </c>
      <c r="N289" s="1050">
        <v>45371</v>
      </c>
    </row>
    <row r="290" spans="1:14">
      <c r="A290" s="1042" t="s">
        <v>231</v>
      </c>
      <c r="B290" s="1042" t="s">
        <v>241</v>
      </c>
      <c r="C290" s="1042" t="s">
        <v>264</v>
      </c>
      <c r="D290" s="1042" t="s">
        <v>206</v>
      </c>
      <c r="E290" s="1047" t="s">
        <v>144</v>
      </c>
      <c r="F290" s="1047" t="s">
        <v>39</v>
      </c>
      <c r="G290" s="1047" t="s">
        <v>39</v>
      </c>
      <c r="H290" s="1047">
        <v>270</v>
      </c>
      <c r="I290" s="1047">
        <v>2022</v>
      </c>
      <c r="J290" s="1047" t="s">
        <v>233</v>
      </c>
      <c r="K290" s="1047" t="s">
        <v>39</v>
      </c>
      <c r="L290" s="1042" t="s">
        <v>281</v>
      </c>
      <c r="M290" s="1042" t="s">
        <v>284</v>
      </c>
      <c r="N290" s="1050">
        <v>45371</v>
      </c>
    </row>
    <row r="291" spans="1:14">
      <c r="A291" s="1042" t="s">
        <v>231</v>
      </c>
      <c r="B291" s="1042" t="s">
        <v>241</v>
      </c>
      <c r="C291" s="1042" t="s">
        <v>264</v>
      </c>
      <c r="D291" s="1042" t="s">
        <v>206</v>
      </c>
      <c r="E291" s="1047" t="s">
        <v>46</v>
      </c>
      <c r="F291" s="1047" t="s">
        <v>39</v>
      </c>
      <c r="G291" s="1047" t="s">
        <v>39</v>
      </c>
      <c r="H291" s="1047">
        <v>270</v>
      </c>
      <c r="I291" s="1047">
        <v>2022</v>
      </c>
      <c r="J291" s="1047" t="s">
        <v>233</v>
      </c>
      <c r="K291" s="1047" t="s">
        <v>39</v>
      </c>
      <c r="L291" s="1042" t="s">
        <v>281</v>
      </c>
      <c r="M291" s="1042" t="s">
        <v>284</v>
      </c>
      <c r="N291" s="1050">
        <v>45371</v>
      </c>
    </row>
    <row r="292" spans="1:14">
      <c r="A292" s="1042" t="s">
        <v>231</v>
      </c>
      <c r="B292" s="1042" t="s">
        <v>232</v>
      </c>
      <c r="C292" s="1042" t="s">
        <v>251</v>
      </c>
      <c r="D292" s="1049" t="s">
        <v>190</v>
      </c>
      <c r="E292" s="1047" t="s">
        <v>144</v>
      </c>
      <c r="F292" s="1047" t="s">
        <v>39</v>
      </c>
      <c r="G292" s="1047" t="s">
        <v>39</v>
      </c>
      <c r="H292" s="1047">
        <v>3381979500</v>
      </c>
      <c r="I292" s="1047">
        <v>2023</v>
      </c>
      <c r="J292" s="1047" t="s">
        <v>233</v>
      </c>
      <c r="K292" s="1047" t="s">
        <v>39</v>
      </c>
      <c r="L292" s="1042" t="s">
        <v>281</v>
      </c>
      <c r="M292" s="1042" t="s">
        <v>283</v>
      </c>
      <c r="N292" s="1050">
        <v>45371</v>
      </c>
    </row>
    <row r="293" spans="1:14">
      <c r="A293" s="1042" t="s">
        <v>231</v>
      </c>
      <c r="B293" s="1042" t="s">
        <v>232</v>
      </c>
      <c r="C293" s="1042" t="s">
        <v>252</v>
      </c>
      <c r="D293" s="1049" t="s">
        <v>191</v>
      </c>
      <c r="E293" s="1047" t="s">
        <v>144</v>
      </c>
      <c r="F293" s="1047" t="s">
        <v>39</v>
      </c>
      <c r="G293" s="1047" t="s">
        <v>39</v>
      </c>
      <c r="H293" s="1048">
        <v>10306005722</v>
      </c>
      <c r="I293" s="1047">
        <v>2023</v>
      </c>
      <c r="J293" s="1047" t="s">
        <v>233</v>
      </c>
      <c r="K293" s="1047" t="s">
        <v>39</v>
      </c>
      <c r="L293" s="1042" t="s">
        <v>281</v>
      </c>
      <c r="M293" s="1042" t="s">
        <v>283</v>
      </c>
      <c r="N293" s="1050">
        <v>45371</v>
      </c>
    </row>
    <row r="294" spans="1:14">
      <c r="A294" s="1042" t="s">
        <v>231</v>
      </c>
      <c r="B294" s="1042" t="s">
        <v>236</v>
      </c>
      <c r="C294" s="1042" t="s">
        <v>262</v>
      </c>
      <c r="D294" s="1042" t="s">
        <v>202</v>
      </c>
      <c r="E294" s="1047" t="s">
        <v>144</v>
      </c>
      <c r="F294" s="1047" t="s">
        <v>39</v>
      </c>
      <c r="G294" s="1047" t="s">
        <v>39</v>
      </c>
      <c r="H294" s="1047">
        <v>0</v>
      </c>
      <c r="I294" s="1047">
        <v>2023</v>
      </c>
      <c r="J294" s="1047" t="s">
        <v>233</v>
      </c>
      <c r="K294" s="1047" t="s">
        <v>39</v>
      </c>
      <c r="L294" s="1042" t="s">
        <v>281</v>
      </c>
      <c r="M294" s="1042" t="s">
        <v>285</v>
      </c>
      <c r="N294" s="1050">
        <v>45371</v>
      </c>
    </row>
    <row r="295" spans="1:14">
      <c r="A295" s="1042" t="s">
        <v>231</v>
      </c>
      <c r="B295" s="1042" t="s">
        <v>236</v>
      </c>
      <c r="C295" s="1042" t="s">
        <v>262</v>
      </c>
      <c r="D295" s="1042" t="s">
        <v>202</v>
      </c>
      <c r="E295" s="1047" t="s">
        <v>45</v>
      </c>
      <c r="F295" s="1047" t="s">
        <v>39</v>
      </c>
      <c r="G295" s="1047" t="s">
        <v>39</v>
      </c>
      <c r="H295" s="1047">
        <v>0</v>
      </c>
      <c r="I295" s="1047">
        <v>2023</v>
      </c>
      <c r="J295" s="1047" t="s">
        <v>233</v>
      </c>
      <c r="K295" s="1047" t="s">
        <v>39</v>
      </c>
      <c r="L295" s="1042" t="s">
        <v>281</v>
      </c>
      <c r="M295" s="1042" t="s">
        <v>285</v>
      </c>
      <c r="N295" s="1050">
        <v>45371</v>
      </c>
    </row>
    <row r="296" spans="1:14">
      <c r="A296" s="1042" t="s">
        <v>231</v>
      </c>
      <c r="B296" s="1042" t="s">
        <v>236</v>
      </c>
      <c r="C296" s="1042" t="s">
        <v>262</v>
      </c>
      <c r="D296" s="1042" t="s">
        <v>202</v>
      </c>
      <c r="E296" s="1047" t="s">
        <v>49</v>
      </c>
      <c r="F296" s="1047" t="s">
        <v>39</v>
      </c>
      <c r="G296" s="1047" t="s">
        <v>39</v>
      </c>
      <c r="H296" s="1047">
        <v>3</v>
      </c>
      <c r="I296" s="1047">
        <v>2023</v>
      </c>
      <c r="J296" s="1047" t="s">
        <v>233</v>
      </c>
      <c r="K296" s="1047" t="s">
        <v>39</v>
      </c>
      <c r="L296" s="1042" t="s">
        <v>281</v>
      </c>
      <c r="M296" s="1042" t="s">
        <v>285</v>
      </c>
      <c r="N296" s="1050">
        <v>45371</v>
      </c>
    </row>
    <row r="297" spans="1:14">
      <c r="A297" s="1042" t="s">
        <v>231</v>
      </c>
      <c r="B297" s="1042" t="s">
        <v>236</v>
      </c>
      <c r="C297" s="1042" t="s">
        <v>262</v>
      </c>
      <c r="D297" s="1042" t="s">
        <v>202</v>
      </c>
      <c r="E297" s="1047" t="s">
        <v>50</v>
      </c>
      <c r="F297" s="1047" t="s">
        <v>39</v>
      </c>
      <c r="G297" s="1047" t="s">
        <v>39</v>
      </c>
      <c r="H297" s="1047">
        <v>0</v>
      </c>
      <c r="I297" s="1047">
        <v>2023</v>
      </c>
      <c r="J297" s="1047" t="s">
        <v>233</v>
      </c>
      <c r="K297" s="1047" t="s">
        <v>39</v>
      </c>
      <c r="L297" s="1042" t="s">
        <v>281</v>
      </c>
      <c r="M297" s="1042" t="s">
        <v>285</v>
      </c>
      <c r="N297" s="1050">
        <v>45371</v>
      </c>
    </row>
    <row r="298" spans="1:14">
      <c r="A298" s="1042" t="s">
        <v>231</v>
      </c>
      <c r="B298" s="1042" t="s">
        <v>236</v>
      </c>
      <c r="C298" s="1042" t="s">
        <v>254</v>
      </c>
      <c r="D298" s="1042" t="s">
        <v>193</v>
      </c>
      <c r="E298" s="1047" t="s">
        <v>144</v>
      </c>
      <c r="F298" s="1047" t="s">
        <v>39</v>
      </c>
      <c r="G298" s="1047" t="s">
        <v>39</v>
      </c>
      <c r="H298" s="1047">
        <v>0</v>
      </c>
      <c r="I298" s="1047">
        <v>2023</v>
      </c>
      <c r="J298" s="1047" t="s">
        <v>233</v>
      </c>
      <c r="K298" s="1047" t="s">
        <v>39</v>
      </c>
      <c r="L298" s="1042" t="s">
        <v>281</v>
      </c>
      <c r="M298" s="1042" t="s">
        <v>285</v>
      </c>
      <c r="N298" s="1050">
        <v>45371</v>
      </c>
    </row>
    <row r="299" spans="1:14">
      <c r="A299" s="1042" t="s">
        <v>231</v>
      </c>
      <c r="B299" s="1042" t="s">
        <v>236</v>
      </c>
      <c r="C299" s="1042" t="s">
        <v>254</v>
      </c>
      <c r="D299" s="1042" t="s">
        <v>193</v>
      </c>
      <c r="E299" s="1047" t="s">
        <v>49</v>
      </c>
      <c r="F299" s="1047" t="s">
        <v>39</v>
      </c>
      <c r="G299" s="1047" t="s">
        <v>39</v>
      </c>
      <c r="H299" s="1047">
        <v>4.3</v>
      </c>
      <c r="I299" s="1047">
        <v>2023</v>
      </c>
      <c r="J299" s="1047" t="s">
        <v>233</v>
      </c>
      <c r="K299" s="1047" t="s">
        <v>39</v>
      </c>
      <c r="L299" s="1042" t="s">
        <v>281</v>
      </c>
      <c r="M299" s="1042" t="s">
        <v>285</v>
      </c>
      <c r="N299" s="1050">
        <v>45371</v>
      </c>
    </row>
    <row r="300" spans="1:14">
      <c r="A300" s="1042" t="s">
        <v>231</v>
      </c>
      <c r="B300" s="1042" t="s">
        <v>236</v>
      </c>
      <c r="C300" s="1042" t="s">
        <v>254</v>
      </c>
      <c r="D300" s="1042" t="s">
        <v>193</v>
      </c>
      <c r="E300" s="1047" t="s">
        <v>52</v>
      </c>
      <c r="F300" s="1047" t="s">
        <v>39</v>
      </c>
      <c r="G300" s="1047" t="s">
        <v>39</v>
      </c>
      <c r="H300" s="1047">
        <v>30</v>
      </c>
      <c r="I300" s="1047">
        <v>2023</v>
      </c>
      <c r="J300" s="1047" t="s">
        <v>233</v>
      </c>
      <c r="K300" s="1047" t="s">
        <v>39</v>
      </c>
      <c r="L300" s="1042" t="s">
        <v>281</v>
      </c>
      <c r="M300" s="1042" t="s">
        <v>285</v>
      </c>
      <c r="N300" s="1050">
        <v>45371</v>
      </c>
    </row>
    <row r="301" spans="1:14">
      <c r="A301" s="1042" t="s">
        <v>231</v>
      </c>
      <c r="B301" s="1042" t="s">
        <v>236</v>
      </c>
      <c r="C301" s="1042" t="s">
        <v>255</v>
      </c>
      <c r="D301" s="1042" t="s">
        <v>194</v>
      </c>
      <c r="E301" s="1047" t="s">
        <v>144</v>
      </c>
      <c r="F301" s="1047" t="s">
        <v>39</v>
      </c>
      <c r="G301" s="1047" t="s">
        <v>39</v>
      </c>
      <c r="H301" s="1047">
        <v>4784803425</v>
      </c>
      <c r="I301" s="1047">
        <v>2023</v>
      </c>
      <c r="J301" s="1047" t="s">
        <v>233</v>
      </c>
      <c r="K301" s="1047" t="s">
        <v>39</v>
      </c>
      <c r="L301" s="1042" t="s">
        <v>281</v>
      </c>
      <c r="M301" s="1042" t="s">
        <v>283</v>
      </c>
      <c r="N301" s="1050">
        <v>45371</v>
      </c>
    </row>
    <row r="302" spans="1:14">
      <c r="A302" s="1042" t="s">
        <v>231</v>
      </c>
      <c r="B302" s="1042" t="s">
        <v>236</v>
      </c>
      <c r="C302" s="1042" t="s">
        <v>255</v>
      </c>
      <c r="D302" s="1042" t="s">
        <v>194</v>
      </c>
      <c r="E302" s="1047" t="s">
        <v>55</v>
      </c>
      <c r="F302" s="1047" t="s">
        <v>39</v>
      </c>
      <c r="G302" s="1047" t="s">
        <v>39</v>
      </c>
      <c r="H302" s="1047">
        <v>1319803425</v>
      </c>
      <c r="I302" s="1047">
        <v>2023</v>
      </c>
      <c r="J302" s="1047" t="s">
        <v>233</v>
      </c>
      <c r="K302" s="1047" t="s">
        <v>39</v>
      </c>
      <c r="L302" s="1042" t="s">
        <v>281</v>
      </c>
      <c r="M302" s="1042" t="s">
        <v>283</v>
      </c>
      <c r="N302" s="1050">
        <v>45371</v>
      </c>
    </row>
    <row r="303" spans="1:14">
      <c r="A303" s="1042" t="s">
        <v>231</v>
      </c>
      <c r="B303" s="1042" t="s">
        <v>236</v>
      </c>
      <c r="C303" s="1042" t="s">
        <v>255</v>
      </c>
      <c r="D303" s="1042" t="s">
        <v>194</v>
      </c>
      <c r="E303" s="1047" t="s">
        <v>44</v>
      </c>
      <c r="F303" s="1047" t="s">
        <v>39</v>
      </c>
      <c r="G303" s="1047" t="s">
        <v>39</v>
      </c>
      <c r="H303" s="1047">
        <v>223000000</v>
      </c>
      <c r="I303" s="1047">
        <v>2023</v>
      </c>
      <c r="J303" s="1047" t="s">
        <v>233</v>
      </c>
      <c r="K303" s="1047" t="s">
        <v>39</v>
      </c>
      <c r="L303" s="1042" t="s">
        <v>281</v>
      </c>
      <c r="M303" s="1042" t="s">
        <v>283</v>
      </c>
      <c r="N303" s="1050">
        <v>45371</v>
      </c>
    </row>
    <row r="304" spans="1:14">
      <c r="A304" s="1042" t="s">
        <v>231</v>
      </c>
      <c r="B304" s="1042" t="s">
        <v>236</v>
      </c>
      <c r="C304" s="1042" t="s">
        <v>255</v>
      </c>
      <c r="D304" s="1042" t="s">
        <v>194</v>
      </c>
      <c r="E304" s="1047" t="s">
        <v>45</v>
      </c>
      <c r="F304" s="1047" t="s">
        <v>39</v>
      </c>
      <c r="G304" s="1047" t="s">
        <v>39</v>
      </c>
      <c r="H304" s="1047">
        <v>2000000000</v>
      </c>
      <c r="I304" s="1047">
        <v>2023</v>
      </c>
      <c r="J304" s="1047" t="s">
        <v>233</v>
      </c>
      <c r="K304" s="1047" t="s">
        <v>39</v>
      </c>
      <c r="L304" s="1042" t="s">
        <v>281</v>
      </c>
      <c r="M304" s="1042" t="s">
        <v>283</v>
      </c>
      <c r="N304" s="1050">
        <v>45371</v>
      </c>
    </row>
    <row r="305" spans="1:14">
      <c r="A305" s="1042" t="s">
        <v>231</v>
      </c>
      <c r="B305" s="1042" t="s">
        <v>236</v>
      </c>
      <c r="C305" s="1042" t="s">
        <v>255</v>
      </c>
      <c r="D305" s="1042" t="s">
        <v>194</v>
      </c>
      <c r="E305" s="1047" t="s">
        <v>56</v>
      </c>
      <c r="F305" s="1047" t="s">
        <v>39</v>
      </c>
      <c r="G305" s="1047" t="s">
        <v>39</v>
      </c>
      <c r="H305" s="1047">
        <v>1242000000</v>
      </c>
      <c r="I305" s="1047">
        <v>2023</v>
      </c>
      <c r="J305" s="1047" t="s">
        <v>233</v>
      </c>
      <c r="K305" s="1047" t="s">
        <v>39</v>
      </c>
      <c r="L305" s="1042" t="s">
        <v>281</v>
      </c>
      <c r="M305" s="1042" t="s">
        <v>283</v>
      </c>
      <c r="N305" s="1050">
        <v>45371</v>
      </c>
    </row>
    <row r="306" spans="1:14">
      <c r="A306" s="1042" t="s">
        <v>231</v>
      </c>
      <c r="B306" s="1042" t="s">
        <v>236</v>
      </c>
      <c r="C306" s="1042" t="s">
        <v>256</v>
      </c>
      <c r="D306" s="1042" t="s">
        <v>195</v>
      </c>
      <c r="E306" s="1047" t="s">
        <v>144</v>
      </c>
      <c r="F306" s="1047" t="s">
        <v>39</v>
      </c>
      <c r="G306" s="1047" t="s">
        <v>39</v>
      </c>
      <c r="H306" s="1047">
        <v>859</v>
      </c>
      <c r="I306" s="1047">
        <v>2023</v>
      </c>
      <c r="J306" s="1047" t="s">
        <v>233</v>
      </c>
      <c r="K306" s="1047" t="s">
        <v>39</v>
      </c>
      <c r="L306" s="1042" t="s">
        <v>281</v>
      </c>
      <c r="M306" s="1042" t="s">
        <v>284</v>
      </c>
      <c r="N306" s="1050">
        <v>45371</v>
      </c>
    </row>
    <row r="307" spans="1:14">
      <c r="A307" s="1042" t="s">
        <v>231</v>
      </c>
      <c r="B307" s="1042" t="s">
        <v>236</v>
      </c>
      <c r="C307" s="1042" t="s">
        <v>256</v>
      </c>
      <c r="D307" s="1042" t="s">
        <v>195</v>
      </c>
      <c r="E307" s="1047" t="s">
        <v>55</v>
      </c>
      <c r="F307" s="1047" t="s">
        <v>39</v>
      </c>
      <c r="G307" s="1047" t="s">
        <v>39</v>
      </c>
      <c r="H307" s="1047">
        <v>130</v>
      </c>
      <c r="I307" s="1047">
        <v>2023</v>
      </c>
      <c r="J307" s="1047" t="s">
        <v>233</v>
      </c>
      <c r="K307" s="1047" t="s">
        <v>39</v>
      </c>
      <c r="L307" s="1042" t="s">
        <v>281</v>
      </c>
      <c r="M307" s="1042" t="s">
        <v>284</v>
      </c>
      <c r="N307" s="1050">
        <v>45371</v>
      </c>
    </row>
    <row r="308" spans="1:14">
      <c r="A308" s="1042" t="s">
        <v>231</v>
      </c>
      <c r="B308" s="1042" t="s">
        <v>236</v>
      </c>
      <c r="C308" s="1042" t="s">
        <v>256</v>
      </c>
      <c r="D308" s="1042" t="s">
        <v>195</v>
      </c>
      <c r="E308" s="1047" t="s">
        <v>44</v>
      </c>
      <c r="F308" s="1047" t="s">
        <v>39</v>
      </c>
      <c r="G308" s="1047" t="s">
        <v>39</v>
      </c>
      <c r="H308" s="1047">
        <v>84</v>
      </c>
      <c r="I308" s="1047">
        <v>2023</v>
      </c>
      <c r="J308" s="1047" t="s">
        <v>233</v>
      </c>
      <c r="K308" s="1047" t="s">
        <v>39</v>
      </c>
      <c r="L308" s="1042" t="s">
        <v>281</v>
      </c>
      <c r="M308" s="1042" t="s">
        <v>284</v>
      </c>
      <c r="N308" s="1050">
        <v>45371</v>
      </c>
    </row>
    <row r="309" spans="1:14">
      <c r="A309" s="1042" t="s">
        <v>231</v>
      </c>
      <c r="B309" s="1042" t="s">
        <v>236</v>
      </c>
      <c r="C309" s="1042" t="s">
        <v>256</v>
      </c>
      <c r="D309" s="1042" t="s">
        <v>195</v>
      </c>
      <c r="E309" s="1047" t="s">
        <v>45</v>
      </c>
      <c r="F309" s="1047" t="s">
        <v>39</v>
      </c>
      <c r="G309" s="1047" t="s">
        <v>39</v>
      </c>
      <c r="H309" s="1047">
        <v>454</v>
      </c>
      <c r="I309" s="1047">
        <v>2023</v>
      </c>
      <c r="J309" s="1047" t="s">
        <v>233</v>
      </c>
      <c r="K309" s="1047" t="s">
        <v>39</v>
      </c>
      <c r="L309" s="1042" t="s">
        <v>281</v>
      </c>
      <c r="M309" s="1042" t="s">
        <v>284</v>
      </c>
      <c r="N309" s="1050">
        <v>45371</v>
      </c>
    </row>
    <row r="310" spans="1:14">
      <c r="A310" s="1042" t="s">
        <v>231</v>
      </c>
      <c r="B310" s="1042" t="s">
        <v>236</v>
      </c>
      <c r="C310" s="1042" t="s">
        <v>256</v>
      </c>
      <c r="D310" s="1042" t="s">
        <v>195</v>
      </c>
      <c r="E310" s="1047" t="s">
        <v>46</v>
      </c>
      <c r="F310" s="1047" t="s">
        <v>39</v>
      </c>
      <c r="G310" s="1047" t="s">
        <v>39</v>
      </c>
      <c r="H310" s="1047">
        <v>191</v>
      </c>
      <c r="I310" s="1047">
        <v>2023</v>
      </c>
      <c r="J310" s="1047" t="s">
        <v>233</v>
      </c>
      <c r="K310" s="1047" t="s">
        <v>39</v>
      </c>
      <c r="L310" s="1042" t="s">
        <v>281</v>
      </c>
      <c r="M310" s="1042" t="s">
        <v>284</v>
      </c>
      <c r="N310" s="1050">
        <v>45371</v>
      </c>
    </row>
    <row r="311" spans="1:14">
      <c r="A311" s="1042" t="s">
        <v>231</v>
      </c>
      <c r="B311" s="1042" t="s">
        <v>236</v>
      </c>
      <c r="C311" s="1042" t="s">
        <v>256</v>
      </c>
      <c r="D311" s="1042" t="s">
        <v>195</v>
      </c>
      <c r="E311" s="1047" t="s">
        <v>59</v>
      </c>
      <c r="F311" s="1047" t="s">
        <v>39</v>
      </c>
      <c r="G311" s="1047" t="s">
        <v>39</v>
      </c>
      <c r="H311" s="1047">
        <v>75</v>
      </c>
      <c r="I311" s="1047">
        <v>2023</v>
      </c>
      <c r="J311" s="1047" t="s">
        <v>233</v>
      </c>
      <c r="K311" s="1047" t="s">
        <v>39</v>
      </c>
      <c r="L311" s="1042" t="s">
        <v>281</v>
      </c>
      <c r="M311" s="1042" t="s">
        <v>284</v>
      </c>
      <c r="N311" s="1050">
        <v>45371</v>
      </c>
    </row>
    <row r="312" spans="1:14">
      <c r="A312" s="1042" t="s">
        <v>231</v>
      </c>
      <c r="B312" s="1042" t="s">
        <v>236</v>
      </c>
      <c r="C312" s="1042" t="s">
        <v>256</v>
      </c>
      <c r="D312" s="1042" t="s">
        <v>196</v>
      </c>
      <c r="E312" s="1047" t="s">
        <v>144</v>
      </c>
      <c r="F312" s="1047" t="s">
        <v>39</v>
      </c>
      <c r="G312" s="1047" t="s">
        <v>39</v>
      </c>
      <c r="H312" s="1047">
        <v>637</v>
      </c>
      <c r="I312" s="1047">
        <v>2023</v>
      </c>
      <c r="J312" s="1047" t="s">
        <v>233</v>
      </c>
      <c r="K312" s="1047" t="s">
        <v>39</v>
      </c>
      <c r="L312" s="1042" t="s">
        <v>281</v>
      </c>
      <c r="M312" s="1042" t="s">
        <v>284</v>
      </c>
      <c r="N312" s="1050">
        <v>45371</v>
      </c>
    </row>
    <row r="313" spans="1:14">
      <c r="A313" s="1042" t="s">
        <v>231</v>
      </c>
      <c r="B313" s="1042" t="s">
        <v>236</v>
      </c>
      <c r="C313" s="1042" t="s">
        <v>256</v>
      </c>
      <c r="D313" s="1042" t="s">
        <v>196</v>
      </c>
      <c r="E313" s="1047" t="s">
        <v>61</v>
      </c>
      <c r="F313" s="1047" t="s">
        <v>39</v>
      </c>
      <c r="G313" s="1047" t="s">
        <v>39</v>
      </c>
      <c r="H313" s="1047">
        <v>1305</v>
      </c>
      <c r="I313" s="1047">
        <v>2023</v>
      </c>
      <c r="J313" s="1047" t="s">
        <v>233</v>
      </c>
      <c r="K313" s="1047" t="s">
        <v>39</v>
      </c>
      <c r="L313" s="1042" t="s">
        <v>281</v>
      </c>
      <c r="M313" s="1042" t="s">
        <v>284</v>
      </c>
      <c r="N313" s="1050">
        <v>45371</v>
      </c>
    </row>
    <row r="314" spans="1:14">
      <c r="A314" s="1042" t="s">
        <v>231</v>
      </c>
      <c r="B314" s="1042" t="s">
        <v>236</v>
      </c>
      <c r="C314" s="1042" t="s">
        <v>256</v>
      </c>
      <c r="D314" s="1042" t="s">
        <v>196</v>
      </c>
      <c r="E314" s="1047" t="s">
        <v>43</v>
      </c>
      <c r="F314" s="1047" t="s">
        <v>39</v>
      </c>
      <c r="G314" s="1047" t="s">
        <v>39</v>
      </c>
      <c r="H314" s="1047">
        <v>637</v>
      </c>
      <c r="I314" s="1047">
        <v>2023</v>
      </c>
      <c r="J314" s="1047" t="s">
        <v>233</v>
      </c>
      <c r="K314" s="1047" t="s">
        <v>39</v>
      </c>
      <c r="L314" s="1042" t="s">
        <v>281</v>
      </c>
      <c r="M314" s="1042" t="s">
        <v>284</v>
      </c>
      <c r="N314" s="1050">
        <v>45371</v>
      </c>
    </row>
    <row r="315" spans="1:14">
      <c r="A315" s="1042" t="s">
        <v>231</v>
      </c>
      <c r="B315" s="1042" t="s">
        <v>236</v>
      </c>
      <c r="C315" s="1042" t="s">
        <v>256</v>
      </c>
      <c r="D315" s="1042" t="s">
        <v>196</v>
      </c>
      <c r="E315" s="1047" t="s">
        <v>44</v>
      </c>
      <c r="F315" s="1047" t="s">
        <v>39</v>
      </c>
      <c r="G315" s="1047" t="s">
        <v>39</v>
      </c>
      <c r="H315" s="1047">
        <v>637</v>
      </c>
      <c r="I315" s="1047">
        <v>2023</v>
      </c>
      <c r="J315" s="1047" t="s">
        <v>233</v>
      </c>
      <c r="K315" s="1047" t="s">
        <v>39</v>
      </c>
      <c r="L315" s="1042" t="s">
        <v>281</v>
      </c>
      <c r="M315" s="1042" t="s">
        <v>284</v>
      </c>
      <c r="N315" s="1050">
        <v>45371</v>
      </c>
    </row>
    <row r="316" spans="1:14">
      <c r="A316" s="1042" t="s">
        <v>231</v>
      </c>
      <c r="B316" s="1042" t="s">
        <v>236</v>
      </c>
      <c r="C316" s="1042" t="s">
        <v>256</v>
      </c>
      <c r="D316" s="1042" t="s">
        <v>196</v>
      </c>
      <c r="E316" s="1047" t="s">
        <v>45</v>
      </c>
      <c r="F316" s="1047" t="s">
        <v>39</v>
      </c>
      <c r="G316" s="1047" t="s">
        <v>39</v>
      </c>
      <c r="H316" s="1047">
        <v>637</v>
      </c>
      <c r="I316" s="1047">
        <v>2023</v>
      </c>
      <c r="J316" s="1047" t="s">
        <v>233</v>
      </c>
      <c r="K316" s="1047" t="s">
        <v>39</v>
      </c>
      <c r="L316" s="1042" t="s">
        <v>281</v>
      </c>
      <c r="M316" s="1042" t="s">
        <v>284</v>
      </c>
      <c r="N316" s="1050">
        <v>45371</v>
      </c>
    </row>
    <row r="317" spans="1:14">
      <c r="A317" s="1042" t="s">
        <v>231</v>
      </c>
      <c r="B317" s="1042" t="s">
        <v>236</v>
      </c>
      <c r="C317" s="1042" t="s">
        <v>256</v>
      </c>
      <c r="D317" s="1042" t="s">
        <v>196</v>
      </c>
      <c r="E317" s="1047" t="s">
        <v>46</v>
      </c>
      <c r="F317" s="1047" t="s">
        <v>39</v>
      </c>
      <c r="G317" s="1047" t="s">
        <v>39</v>
      </c>
      <c r="H317" s="1047">
        <v>637</v>
      </c>
      <c r="I317" s="1047">
        <v>2023</v>
      </c>
      <c r="J317" s="1047" t="s">
        <v>233</v>
      </c>
      <c r="K317" s="1047" t="s">
        <v>39</v>
      </c>
      <c r="L317" s="1042" t="s">
        <v>281</v>
      </c>
      <c r="M317" s="1042" t="s">
        <v>284</v>
      </c>
      <c r="N317" s="1050">
        <v>45371</v>
      </c>
    </row>
    <row r="318" spans="1:14">
      <c r="A318" s="1042" t="s">
        <v>231</v>
      </c>
      <c r="B318" s="1042" t="s">
        <v>248</v>
      </c>
      <c r="C318" s="1042" t="s">
        <v>253</v>
      </c>
      <c r="D318" s="1042" t="s">
        <v>203</v>
      </c>
      <c r="E318" s="1047" t="s">
        <v>144</v>
      </c>
      <c r="F318" s="1047" t="s">
        <v>39</v>
      </c>
      <c r="G318" s="1047" t="s">
        <v>39</v>
      </c>
      <c r="H318" s="1047">
        <v>3</v>
      </c>
      <c r="I318" s="1047">
        <v>2023</v>
      </c>
      <c r="J318" s="1047" t="s">
        <v>233</v>
      </c>
      <c r="K318" s="1047" t="s">
        <v>39</v>
      </c>
      <c r="L318" s="1042" t="s">
        <v>281</v>
      </c>
      <c r="M318" s="1042" t="s">
        <v>290</v>
      </c>
      <c r="N318" s="1050">
        <v>45371</v>
      </c>
    </row>
    <row r="319" spans="1:14">
      <c r="A319" s="1042" t="s">
        <v>231</v>
      </c>
      <c r="B319" s="1042" t="s">
        <v>248</v>
      </c>
      <c r="C319" s="1042" t="s">
        <v>253</v>
      </c>
      <c r="D319" s="1042" t="s">
        <v>203</v>
      </c>
      <c r="E319" s="1047" t="s">
        <v>37</v>
      </c>
      <c r="F319" s="1047" t="s">
        <v>39</v>
      </c>
      <c r="G319" s="1047" t="s">
        <v>39</v>
      </c>
      <c r="H319" s="1047">
        <v>2</v>
      </c>
      <c r="I319" s="1047">
        <v>2023</v>
      </c>
      <c r="J319" s="1047" t="s">
        <v>233</v>
      </c>
      <c r="K319" s="1047" t="s">
        <v>39</v>
      </c>
      <c r="L319" s="1042" t="s">
        <v>281</v>
      </c>
      <c r="M319" s="1042" t="s">
        <v>290</v>
      </c>
      <c r="N319" s="1050">
        <v>45371</v>
      </c>
    </row>
    <row r="320" spans="1:14">
      <c r="A320" s="1042" t="s">
        <v>231</v>
      </c>
      <c r="B320" s="1042" t="s">
        <v>248</v>
      </c>
      <c r="C320" s="1042" t="s">
        <v>253</v>
      </c>
      <c r="D320" s="1042" t="s">
        <v>203</v>
      </c>
      <c r="E320" s="1047" t="s">
        <v>40</v>
      </c>
      <c r="F320" s="1047" t="s">
        <v>39</v>
      </c>
      <c r="G320" s="1047" t="s">
        <v>39</v>
      </c>
      <c r="H320" s="1047">
        <v>1</v>
      </c>
      <c r="I320" s="1047">
        <v>2023</v>
      </c>
      <c r="J320" s="1047" t="s">
        <v>233</v>
      </c>
      <c r="K320" s="1047" t="s">
        <v>39</v>
      </c>
      <c r="L320" s="1042" t="s">
        <v>281</v>
      </c>
      <c r="M320" s="1042" t="s">
        <v>290</v>
      </c>
      <c r="N320" s="1050">
        <v>45371</v>
      </c>
    </row>
    <row r="321" spans="1:14">
      <c r="A321" s="1042" t="s">
        <v>231</v>
      </c>
      <c r="B321" s="1042" t="s">
        <v>248</v>
      </c>
      <c r="C321" s="1042" t="s">
        <v>254</v>
      </c>
      <c r="D321" s="1042" t="s">
        <v>204</v>
      </c>
      <c r="E321" s="1047" t="s">
        <v>144</v>
      </c>
      <c r="F321" s="1047" t="s">
        <v>39</v>
      </c>
      <c r="G321" s="1047" t="s">
        <v>39</v>
      </c>
      <c r="H321" s="1047">
        <v>40</v>
      </c>
      <c r="I321" s="1047">
        <v>2023</v>
      </c>
      <c r="J321" s="1047" t="s">
        <v>233</v>
      </c>
      <c r="K321" s="1047" t="s">
        <v>39</v>
      </c>
      <c r="L321" s="1042" t="s">
        <v>281</v>
      </c>
      <c r="M321" s="1042" t="s">
        <v>291</v>
      </c>
      <c r="N321" s="1050">
        <v>45371</v>
      </c>
    </row>
    <row r="322" spans="1:14">
      <c r="A322" s="1042" t="s">
        <v>231</v>
      </c>
      <c r="B322" s="1042" t="s">
        <v>248</v>
      </c>
      <c r="C322" s="1042" t="s">
        <v>254</v>
      </c>
      <c r="D322" s="1042" t="s">
        <v>204</v>
      </c>
      <c r="E322" s="1047" t="s">
        <v>75</v>
      </c>
      <c r="F322" s="1047" t="s">
        <v>39</v>
      </c>
      <c r="G322" s="1047" t="s">
        <v>39</v>
      </c>
      <c r="H322" s="1047">
        <v>20</v>
      </c>
      <c r="I322" s="1047">
        <v>2023</v>
      </c>
      <c r="J322" s="1047" t="s">
        <v>233</v>
      </c>
      <c r="K322" s="1047" t="s">
        <v>39</v>
      </c>
      <c r="L322" s="1042" t="s">
        <v>281</v>
      </c>
      <c r="M322" s="1042" t="s">
        <v>291</v>
      </c>
      <c r="N322" s="1050">
        <v>45371</v>
      </c>
    </row>
    <row r="323" spans="1:14">
      <c r="A323" s="1042" t="s">
        <v>231</v>
      </c>
      <c r="B323" s="1042" t="s">
        <v>248</v>
      </c>
      <c r="C323" s="1042" t="s">
        <v>254</v>
      </c>
      <c r="D323" s="1042" t="s">
        <v>204</v>
      </c>
      <c r="E323" s="1047" t="s">
        <v>76</v>
      </c>
      <c r="F323" s="1047" t="s">
        <v>39</v>
      </c>
      <c r="G323" s="1047" t="s">
        <v>39</v>
      </c>
      <c r="H323" s="1047">
        <v>20</v>
      </c>
      <c r="I323" s="1047">
        <v>2023</v>
      </c>
      <c r="J323" s="1047" t="s">
        <v>233</v>
      </c>
      <c r="K323" s="1047" t="s">
        <v>39</v>
      </c>
      <c r="L323" s="1042" t="s">
        <v>281</v>
      </c>
      <c r="M323" s="1042" t="s">
        <v>291</v>
      </c>
      <c r="N323" s="1050">
        <v>45371</v>
      </c>
    </row>
    <row r="324" spans="1:14">
      <c r="A324" s="1042" t="s">
        <v>231</v>
      </c>
      <c r="B324" s="1042" t="s">
        <v>241</v>
      </c>
      <c r="C324" s="1042" t="s">
        <v>257</v>
      </c>
      <c r="D324" s="1042" t="s">
        <v>197</v>
      </c>
      <c r="E324" s="1047" t="s">
        <v>144</v>
      </c>
      <c r="F324" s="1047" t="s">
        <v>39</v>
      </c>
      <c r="G324" s="1047" t="s">
        <v>39</v>
      </c>
      <c r="H324" s="1047">
        <v>80</v>
      </c>
      <c r="I324" s="1047">
        <v>2023</v>
      </c>
      <c r="J324" s="1047" t="s">
        <v>233</v>
      </c>
      <c r="K324" s="1047" t="s">
        <v>39</v>
      </c>
      <c r="L324" s="1042" t="s">
        <v>281</v>
      </c>
      <c r="M324" s="1042" t="s">
        <v>286</v>
      </c>
      <c r="N324" s="1050">
        <v>45371</v>
      </c>
    </row>
    <row r="325" spans="1:14">
      <c r="A325" s="1042" t="s">
        <v>231</v>
      </c>
      <c r="B325" s="1042" t="s">
        <v>241</v>
      </c>
      <c r="C325" s="1042" t="s">
        <v>258</v>
      </c>
      <c r="D325" s="1042" t="s">
        <v>198</v>
      </c>
      <c r="E325" s="1047" t="s">
        <v>144</v>
      </c>
      <c r="F325" s="1047" t="s">
        <v>39</v>
      </c>
      <c r="G325" s="1047" t="s">
        <v>39</v>
      </c>
      <c r="H325" s="1047">
        <v>278</v>
      </c>
      <c r="I325" s="1047">
        <v>2023</v>
      </c>
      <c r="J325" s="1047" t="s">
        <v>233</v>
      </c>
      <c r="K325" s="1047" t="s">
        <v>39</v>
      </c>
      <c r="L325" s="1042" t="s">
        <v>281</v>
      </c>
      <c r="M325" s="1042" t="s">
        <v>287</v>
      </c>
      <c r="N325" s="1050">
        <v>45371</v>
      </c>
    </row>
    <row r="326" spans="1:14">
      <c r="A326" s="1042" t="s">
        <v>231</v>
      </c>
      <c r="B326" s="1042" t="s">
        <v>241</v>
      </c>
      <c r="C326" s="1042" t="s">
        <v>259</v>
      </c>
      <c r="D326" s="1042" t="s">
        <v>199</v>
      </c>
      <c r="E326" s="1047" t="s">
        <v>144</v>
      </c>
      <c r="F326" s="1047" t="s">
        <v>39</v>
      </c>
      <c r="G326" s="1047" t="s">
        <v>39</v>
      </c>
      <c r="H326" s="1047">
        <v>600</v>
      </c>
      <c r="I326" s="1047">
        <v>2023</v>
      </c>
      <c r="J326" s="1047" t="s">
        <v>233</v>
      </c>
      <c r="K326" s="1047" t="s">
        <v>39</v>
      </c>
      <c r="L326" s="1042" t="s">
        <v>281</v>
      </c>
      <c r="M326" s="1042" t="s">
        <v>284</v>
      </c>
      <c r="N326" s="1050">
        <v>45371</v>
      </c>
    </row>
    <row r="327" spans="1:14">
      <c r="A327" s="1042" t="s">
        <v>231</v>
      </c>
      <c r="B327" s="1042" t="s">
        <v>241</v>
      </c>
      <c r="C327" s="1042" t="s">
        <v>263</v>
      </c>
      <c r="D327" s="1042" t="s">
        <v>205</v>
      </c>
      <c r="E327" s="1047" t="s">
        <v>144</v>
      </c>
      <c r="F327" s="1047" t="s">
        <v>39</v>
      </c>
      <c r="G327" s="1047" t="s">
        <v>39</v>
      </c>
      <c r="H327" s="1047">
        <v>163</v>
      </c>
      <c r="I327" s="1047">
        <v>2023</v>
      </c>
      <c r="J327" s="1047" t="s">
        <v>233</v>
      </c>
      <c r="K327" s="1047" t="s">
        <v>39</v>
      </c>
      <c r="L327" s="1042" t="s">
        <v>281</v>
      </c>
      <c r="M327" s="1042" t="s">
        <v>292</v>
      </c>
      <c r="N327" s="1050">
        <v>45371</v>
      </c>
    </row>
    <row r="328" spans="1:14">
      <c r="A328" s="1042" t="s">
        <v>231</v>
      </c>
      <c r="B328" s="1042" t="s">
        <v>241</v>
      </c>
      <c r="C328" s="1042" t="s">
        <v>263</v>
      </c>
      <c r="D328" s="1042" t="s">
        <v>205</v>
      </c>
      <c r="E328" s="1047" t="s">
        <v>92</v>
      </c>
      <c r="F328" s="1047" t="s">
        <v>39</v>
      </c>
      <c r="G328" s="1047" t="s">
        <v>39</v>
      </c>
      <c r="H328" s="1047">
        <v>63</v>
      </c>
      <c r="I328" s="1047">
        <v>2023</v>
      </c>
      <c r="J328" s="1047" t="s">
        <v>233</v>
      </c>
      <c r="K328" s="1047" t="s">
        <v>39</v>
      </c>
      <c r="L328" s="1042" t="s">
        <v>281</v>
      </c>
      <c r="M328" s="1042" t="s">
        <v>292</v>
      </c>
      <c r="N328" s="1050">
        <v>45371</v>
      </c>
    </row>
    <row r="329" spans="1:14">
      <c r="A329" s="1042" t="s">
        <v>231</v>
      </c>
      <c r="B329" s="1042" t="s">
        <v>241</v>
      </c>
      <c r="C329" s="1042" t="s">
        <v>263</v>
      </c>
      <c r="D329" s="1042" t="s">
        <v>205</v>
      </c>
      <c r="E329" s="1047" t="s">
        <v>46</v>
      </c>
      <c r="F329" s="1047" t="s">
        <v>39</v>
      </c>
      <c r="G329" s="1047" t="s">
        <v>39</v>
      </c>
      <c r="H329" s="1047">
        <v>100</v>
      </c>
      <c r="I329" s="1047">
        <v>2023</v>
      </c>
      <c r="J329" s="1047" t="s">
        <v>233</v>
      </c>
      <c r="K329" s="1047" t="s">
        <v>39</v>
      </c>
      <c r="L329" s="1042" t="s">
        <v>281</v>
      </c>
      <c r="M329" s="1042" t="s">
        <v>292</v>
      </c>
      <c r="N329" s="1050">
        <v>45371</v>
      </c>
    </row>
    <row r="330" spans="1:14">
      <c r="A330" s="1042" t="s">
        <v>231</v>
      </c>
      <c r="B330" s="1042" t="s">
        <v>241</v>
      </c>
      <c r="C330" s="1042" t="s">
        <v>261</v>
      </c>
      <c r="D330" s="1042" t="s">
        <v>201</v>
      </c>
      <c r="E330" s="1047" t="s">
        <v>144</v>
      </c>
      <c r="F330" s="1047" t="s">
        <v>39</v>
      </c>
      <c r="G330" s="1047" t="s">
        <v>39</v>
      </c>
      <c r="H330" s="1047">
        <v>25</v>
      </c>
      <c r="I330" s="1047">
        <v>2023</v>
      </c>
      <c r="J330" s="1047" t="s">
        <v>233</v>
      </c>
      <c r="K330" s="1047" t="s">
        <v>39</v>
      </c>
      <c r="L330" s="1042" t="s">
        <v>281</v>
      </c>
      <c r="M330" s="1042" t="s">
        <v>289</v>
      </c>
      <c r="N330" s="1050">
        <v>45371</v>
      </c>
    </row>
    <row r="331" spans="1:14">
      <c r="A331" s="1042" t="s">
        <v>231</v>
      </c>
      <c r="B331" s="1042" t="s">
        <v>241</v>
      </c>
      <c r="C331" s="1042" t="s">
        <v>264</v>
      </c>
      <c r="D331" s="1042" t="s">
        <v>206</v>
      </c>
      <c r="E331" s="1047" t="s">
        <v>144</v>
      </c>
      <c r="F331" s="1047" t="s">
        <v>39</v>
      </c>
      <c r="G331" s="1047" t="s">
        <v>39</v>
      </c>
      <c r="H331" s="1047">
        <v>130</v>
      </c>
      <c r="I331" s="1047">
        <v>2023</v>
      </c>
      <c r="J331" s="1047" t="s">
        <v>233</v>
      </c>
      <c r="K331" s="1047" t="s">
        <v>39</v>
      </c>
      <c r="L331" s="1042" t="s">
        <v>281</v>
      </c>
      <c r="M331" s="1042" t="s">
        <v>284</v>
      </c>
      <c r="N331" s="1050">
        <v>45371</v>
      </c>
    </row>
    <row r="332" spans="1:14">
      <c r="A332" s="1042" t="s">
        <v>231</v>
      </c>
      <c r="B332" s="1042" t="s">
        <v>241</v>
      </c>
      <c r="C332" s="1042" t="s">
        <v>264</v>
      </c>
      <c r="D332" s="1042" t="s">
        <v>206</v>
      </c>
      <c r="E332" s="1047" t="s">
        <v>92</v>
      </c>
      <c r="F332" s="1047" t="s">
        <v>39</v>
      </c>
      <c r="G332" s="1047" t="s">
        <v>39</v>
      </c>
      <c r="H332" s="1047">
        <v>200</v>
      </c>
      <c r="I332" s="1047">
        <v>2023</v>
      </c>
      <c r="J332" s="1047" t="s">
        <v>233</v>
      </c>
      <c r="K332" s="1047" t="s">
        <v>39</v>
      </c>
      <c r="L332" s="1042" t="s">
        <v>281</v>
      </c>
      <c r="M332" s="1042" t="s">
        <v>284</v>
      </c>
      <c r="N332" s="1050">
        <v>45371</v>
      </c>
    </row>
    <row r="333" spans="1:14">
      <c r="A333" s="1042" t="s">
        <v>231</v>
      </c>
      <c r="B333" s="1042" t="s">
        <v>241</v>
      </c>
      <c r="C333" s="1042" t="s">
        <v>264</v>
      </c>
      <c r="D333" s="1042" t="s">
        <v>206</v>
      </c>
      <c r="E333" s="1047" t="s">
        <v>46</v>
      </c>
      <c r="F333" s="1047" t="s">
        <v>39</v>
      </c>
      <c r="G333" s="1047" t="s">
        <v>39</v>
      </c>
      <c r="H333" s="1047">
        <v>130</v>
      </c>
      <c r="I333" s="1047">
        <v>2023</v>
      </c>
      <c r="J333" s="1047" t="s">
        <v>233</v>
      </c>
      <c r="K333" s="1047" t="s">
        <v>39</v>
      </c>
      <c r="L333" s="1042" t="s">
        <v>281</v>
      </c>
      <c r="M333" s="1042" t="s">
        <v>284</v>
      </c>
      <c r="N333" s="1050">
        <v>45371</v>
      </c>
    </row>
    <row r="334" spans="1:14">
      <c r="A334" s="1042" t="s">
        <v>231</v>
      </c>
      <c r="B334" s="1042" t="s">
        <v>236</v>
      </c>
      <c r="C334" s="1042" t="s">
        <v>254</v>
      </c>
      <c r="D334" s="1042" t="s">
        <v>193</v>
      </c>
      <c r="E334" s="1047" t="s">
        <v>52</v>
      </c>
      <c r="F334" s="1047" t="s">
        <v>39</v>
      </c>
      <c r="G334" s="1047" t="s">
        <v>39</v>
      </c>
      <c r="H334" s="1047">
        <v>0</v>
      </c>
      <c r="I334" s="1047">
        <v>2024</v>
      </c>
      <c r="J334" s="1047" t="s">
        <v>233</v>
      </c>
      <c r="K334" s="1047" t="s">
        <v>39</v>
      </c>
      <c r="L334" s="1042" t="s">
        <v>281</v>
      </c>
      <c r="M334" s="1042" t="s">
        <v>285</v>
      </c>
      <c r="N334" s="1050">
        <v>45371</v>
      </c>
    </row>
    <row r="335" spans="1:14">
      <c r="A335" s="1042" t="s">
        <v>231</v>
      </c>
      <c r="B335" s="1042" t="s">
        <v>241</v>
      </c>
      <c r="C335" s="1042" t="s">
        <v>257</v>
      </c>
      <c r="D335" s="1042" t="s">
        <v>197</v>
      </c>
      <c r="E335" s="1047" t="s">
        <v>144</v>
      </c>
      <c r="F335" s="1047" t="s">
        <v>39</v>
      </c>
      <c r="G335" s="1047" t="s">
        <v>39</v>
      </c>
      <c r="H335" s="1047">
        <v>0</v>
      </c>
      <c r="I335" s="1047">
        <v>2024</v>
      </c>
      <c r="J335" s="1047" t="s">
        <v>233</v>
      </c>
      <c r="K335" s="1047" t="s">
        <v>39</v>
      </c>
      <c r="L335" s="1042" t="s">
        <v>281</v>
      </c>
      <c r="M335" s="1042" t="s">
        <v>286</v>
      </c>
      <c r="N335" s="1050">
        <v>45371</v>
      </c>
    </row>
    <row r="336" spans="1:14">
      <c r="A336" s="1042" t="s">
        <v>231</v>
      </c>
      <c r="B336" s="1042" t="s">
        <v>241</v>
      </c>
      <c r="C336" s="1042" t="s">
        <v>263</v>
      </c>
      <c r="D336" s="1042" t="s">
        <v>205</v>
      </c>
      <c r="E336" s="1047" t="s">
        <v>144</v>
      </c>
      <c r="F336" s="1047" t="s">
        <v>39</v>
      </c>
      <c r="G336" s="1047" t="s">
        <v>39</v>
      </c>
      <c r="H336" s="1047">
        <v>0</v>
      </c>
      <c r="I336" s="1047">
        <v>2024</v>
      </c>
      <c r="J336" s="1047" t="s">
        <v>233</v>
      </c>
      <c r="K336" s="1047" t="s">
        <v>39</v>
      </c>
      <c r="L336" s="1042" t="s">
        <v>281</v>
      </c>
      <c r="M336" s="1042" t="s">
        <v>292</v>
      </c>
      <c r="N336" s="1050">
        <v>45371</v>
      </c>
    </row>
    <row r="337" spans="1:14">
      <c r="A337" s="1042" t="s">
        <v>231</v>
      </c>
      <c r="B337" s="1042" t="s">
        <v>241</v>
      </c>
      <c r="C337" s="1042" t="s">
        <v>263</v>
      </c>
      <c r="D337" s="1042" t="s">
        <v>205</v>
      </c>
      <c r="E337" s="1047" t="s">
        <v>92</v>
      </c>
      <c r="F337" s="1047" t="s">
        <v>39</v>
      </c>
      <c r="G337" s="1047" t="s">
        <v>39</v>
      </c>
      <c r="H337" s="1047">
        <v>0</v>
      </c>
      <c r="I337" s="1047">
        <v>2024</v>
      </c>
      <c r="J337" s="1047" t="s">
        <v>233</v>
      </c>
      <c r="K337" s="1047" t="s">
        <v>39</v>
      </c>
      <c r="L337" s="1042" t="s">
        <v>281</v>
      </c>
      <c r="M337" s="1042" t="s">
        <v>292</v>
      </c>
      <c r="N337" s="1050">
        <v>45371</v>
      </c>
    </row>
    <row r="338" spans="1:14">
      <c r="A338" s="1042" t="s">
        <v>231</v>
      </c>
      <c r="B338" s="1042" t="s">
        <v>241</v>
      </c>
      <c r="C338" s="1042" t="s">
        <v>263</v>
      </c>
      <c r="D338" s="1042" t="s">
        <v>205</v>
      </c>
      <c r="E338" s="1047" t="s">
        <v>46</v>
      </c>
      <c r="F338" s="1047" t="s">
        <v>39</v>
      </c>
      <c r="G338" s="1047" t="s">
        <v>39</v>
      </c>
      <c r="H338" s="1047">
        <v>0</v>
      </c>
      <c r="I338" s="1047">
        <v>2024</v>
      </c>
      <c r="J338" s="1047" t="s">
        <v>233</v>
      </c>
      <c r="K338" s="1047" t="s">
        <v>39</v>
      </c>
      <c r="L338" s="1042" t="s">
        <v>281</v>
      </c>
      <c r="M338" s="1042" t="s">
        <v>292</v>
      </c>
      <c r="N338" s="1050">
        <v>45371</v>
      </c>
    </row>
    <row r="339" spans="1:14">
      <c r="A339" s="1042" t="s">
        <v>231</v>
      </c>
      <c r="B339" s="1042" t="s">
        <v>232</v>
      </c>
      <c r="C339" s="1042" t="s">
        <v>265</v>
      </c>
      <c r="D339" s="1049" t="s">
        <v>207</v>
      </c>
      <c r="E339" s="1047" t="s">
        <v>144</v>
      </c>
      <c r="F339" s="1047" t="s">
        <v>39</v>
      </c>
      <c r="G339" s="1047" t="s">
        <v>39</v>
      </c>
      <c r="H339" s="1047">
        <v>67.906728001686474</v>
      </c>
      <c r="I339" s="1047">
        <v>2019</v>
      </c>
      <c r="J339" s="1047" t="s">
        <v>233</v>
      </c>
      <c r="K339" s="1047" t="s">
        <v>39</v>
      </c>
      <c r="L339" s="1042" t="s">
        <v>281</v>
      </c>
      <c r="M339" s="1042" t="s">
        <v>286</v>
      </c>
      <c r="N339" s="1050">
        <v>45371</v>
      </c>
    </row>
    <row r="340" spans="1:14">
      <c r="A340" s="1042" t="s">
        <v>231</v>
      </c>
      <c r="B340" s="1042" t="s">
        <v>232</v>
      </c>
      <c r="C340" s="1042" t="s">
        <v>266</v>
      </c>
      <c r="D340" s="1049" t="s">
        <v>208</v>
      </c>
      <c r="E340" s="1047" t="s">
        <v>144</v>
      </c>
      <c r="F340" s="1047" t="s">
        <v>39</v>
      </c>
      <c r="G340" s="1047" t="s">
        <v>39</v>
      </c>
      <c r="H340" s="1047">
        <v>152.39464843638532</v>
      </c>
      <c r="I340" s="1047">
        <v>2019</v>
      </c>
      <c r="J340" s="1047" t="s">
        <v>233</v>
      </c>
      <c r="K340" s="1047" t="s">
        <v>39</v>
      </c>
      <c r="L340" s="1042" t="s">
        <v>281</v>
      </c>
      <c r="M340" s="1042" t="s">
        <v>286</v>
      </c>
      <c r="N340" s="1050">
        <v>45371</v>
      </c>
    </row>
    <row r="341" spans="1:14">
      <c r="A341" s="1042" t="s">
        <v>231</v>
      </c>
      <c r="B341" s="1042" t="s">
        <v>236</v>
      </c>
      <c r="C341" s="1042" t="s">
        <v>267</v>
      </c>
      <c r="D341" s="1042" t="s">
        <v>209</v>
      </c>
      <c r="E341" s="1047" t="s">
        <v>144</v>
      </c>
      <c r="F341" s="1047" t="s">
        <v>39</v>
      </c>
      <c r="G341" s="1047" t="s">
        <v>39</v>
      </c>
      <c r="H341" s="1047">
        <v>100</v>
      </c>
      <c r="I341" s="1047">
        <v>2019</v>
      </c>
      <c r="J341" s="1047" t="s">
        <v>233</v>
      </c>
      <c r="K341" s="1047" t="s">
        <v>39</v>
      </c>
      <c r="L341" s="1042" t="s">
        <v>281</v>
      </c>
      <c r="M341" s="1042" t="s">
        <v>286</v>
      </c>
      <c r="N341" s="1050">
        <v>45371</v>
      </c>
    </row>
    <row r="342" spans="1:14">
      <c r="A342" s="1042" t="s">
        <v>231</v>
      </c>
      <c r="B342" s="1042" t="s">
        <v>236</v>
      </c>
      <c r="C342" s="1042" t="s">
        <v>267</v>
      </c>
      <c r="D342" s="1042" t="s">
        <v>209</v>
      </c>
      <c r="E342" s="1047" t="s">
        <v>37</v>
      </c>
      <c r="F342" s="1047" t="s">
        <v>39</v>
      </c>
      <c r="G342" s="1047" t="s">
        <v>39</v>
      </c>
      <c r="H342" s="1047">
        <v>40.655737704918032</v>
      </c>
      <c r="I342" s="1047">
        <v>2019</v>
      </c>
      <c r="J342" s="1047" t="s">
        <v>233</v>
      </c>
      <c r="K342" s="1047" t="s">
        <v>39</v>
      </c>
      <c r="L342" s="1042" t="s">
        <v>281</v>
      </c>
      <c r="M342" s="1042" t="s">
        <v>286</v>
      </c>
      <c r="N342" s="1050">
        <v>45371</v>
      </c>
    </row>
    <row r="343" spans="1:14">
      <c r="A343" s="1042" t="s">
        <v>231</v>
      </c>
      <c r="B343" s="1042" t="s">
        <v>236</v>
      </c>
      <c r="C343" s="1042" t="s">
        <v>268</v>
      </c>
      <c r="D343" s="1042" t="s">
        <v>210</v>
      </c>
      <c r="E343" s="1047" t="s">
        <v>144</v>
      </c>
      <c r="F343" s="1047" t="s">
        <v>39</v>
      </c>
      <c r="G343" s="1047" t="s">
        <v>39</v>
      </c>
      <c r="H343" s="1047">
        <v>108</v>
      </c>
      <c r="I343" s="1047">
        <v>2019</v>
      </c>
      <c r="J343" s="1047" t="s">
        <v>233</v>
      </c>
      <c r="K343" s="1047" t="s">
        <v>39</v>
      </c>
      <c r="L343" s="1042" t="s">
        <v>281</v>
      </c>
      <c r="M343" s="1042" t="s">
        <v>286</v>
      </c>
      <c r="N343" s="1050">
        <v>45371</v>
      </c>
    </row>
    <row r="344" spans="1:14">
      <c r="A344" s="1042" t="s">
        <v>231</v>
      </c>
      <c r="B344" s="1042" t="s">
        <v>236</v>
      </c>
      <c r="C344" s="1042" t="s">
        <v>268</v>
      </c>
      <c r="D344" s="1042" t="s">
        <v>210</v>
      </c>
      <c r="E344" s="1047" t="s">
        <v>43</v>
      </c>
      <c r="F344" s="1047" t="s">
        <v>39</v>
      </c>
      <c r="G344" s="1047" t="s">
        <v>39</v>
      </c>
      <c r="H344" s="1047">
        <v>75</v>
      </c>
      <c r="I344" s="1047">
        <v>2019</v>
      </c>
      <c r="J344" s="1047" t="s">
        <v>233</v>
      </c>
      <c r="K344" s="1047" t="s">
        <v>39</v>
      </c>
      <c r="L344" s="1042" t="s">
        <v>281</v>
      </c>
      <c r="M344" s="1042" t="s">
        <v>286</v>
      </c>
      <c r="N344" s="1050">
        <v>45371</v>
      </c>
    </row>
    <row r="345" spans="1:14">
      <c r="A345" s="1042" t="s">
        <v>231</v>
      </c>
      <c r="B345" s="1042" t="s">
        <v>236</v>
      </c>
      <c r="C345" s="1042" t="s">
        <v>268</v>
      </c>
      <c r="D345" s="1042" t="s">
        <v>210</v>
      </c>
      <c r="E345" s="1047" t="s">
        <v>44</v>
      </c>
      <c r="F345" s="1047" t="s">
        <v>39</v>
      </c>
      <c r="G345" s="1047" t="s">
        <v>39</v>
      </c>
      <c r="H345" s="1047">
        <v>100</v>
      </c>
      <c r="I345" s="1047">
        <v>2019</v>
      </c>
      <c r="J345" s="1047" t="s">
        <v>233</v>
      </c>
      <c r="K345" s="1047" t="s">
        <v>39</v>
      </c>
      <c r="L345" s="1042" t="s">
        <v>281</v>
      </c>
      <c r="M345" s="1042" t="s">
        <v>286</v>
      </c>
      <c r="N345" s="1050">
        <v>45371</v>
      </c>
    </row>
    <row r="346" spans="1:14">
      <c r="A346" s="1042" t="s">
        <v>231</v>
      </c>
      <c r="B346" s="1042" t="s">
        <v>236</v>
      </c>
      <c r="C346" s="1042" t="s">
        <v>268</v>
      </c>
      <c r="D346" s="1042" t="s">
        <v>210</v>
      </c>
      <c r="E346" s="1047" t="s">
        <v>45</v>
      </c>
      <c r="F346" s="1047" t="s">
        <v>39</v>
      </c>
      <c r="G346" s="1047" t="s">
        <v>39</v>
      </c>
      <c r="H346" s="1047">
        <v>100</v>
      </c>
      <c r="I346" s="1047">
        <v>2019</v>
      </c>
      <c r="J346" s="1047" t="s">
        <v>233</v>
      </c>
      <c r="K346" s="1047" t="s">
        <v>39</v>
      </c>
      <c r="L346" s="1042" t="s">
        <v>281</v>
      </c>
      <c r="M346" s="1042" t="s">
        <v>286</v>
      </c>
      <c r="N346" s="1050">
        <v>45371</v>
      </c>
    </row>
    <row r="347" spans="1:14">
      <c r="A347" s="1042" t="s">
        <v>231</v>
      </c>
      <c r="B347" s="1042" t="s">
        <v>236</v>
      </c>
      <c r="C347" s="1042" t="s">
        <v>269</v>
      </c>
      <c r="D347" s="1042" t="s">
        <v>211</v>
      </c>
      <c r="E347" s="1047" t="s">
        <v>144</v>
      </c>
      <c r="F347" s="1047" t="s">
        <v>39</v>
      </c>
      <c r="G347" s="1047" t="s">
        <v>39</v>
      </c>
      <c r="H347" s="1047">
        <v>79.760224236864957</v>
      </c>
      <c r="I347" s="1047">
        <v>2019</v>
      </c>
      <c r="J347" s="1047" t="s">
        <v>233</v>
      </c>
      <c r="K347" s="1047" t="s">
        <v>39</v>
      </c>
      <c r="L347" s="1042" t="s">
        <v>281</v>
      </c>
      <c r="M347" s="1042" t="s">
        <v>286</v>
      </c>
      <c r="N347" s="1050">
        <v>45371</v>
      </c>
    </row>
    <row r="348" spans="1:14">
      <c r="A348" s="1042" t="s">
        <v>231</v>
      </c>
      <c r="B348" s="1042" t="s">
        <v>236</v>
      </c>
      <c r="C348" s="1042" t="s">
        <v>269</v>
      </c>
      <c r="D348" s="1042" t="s">
        <v>211</v>
      </c>
      <c r="E348" s="1047" t="s">
        <v>55</v>
      </c>
      <c r="F348" s="1047" t="s">
        <v>39</v>
      </c>
      <c r="G348" s="1047" t="s">
        <v>39</v>
      </c>
      <c r="H348" s="1047">
        <v>39.982348667212861</v>
      </c>
      <c r="I348" s="1047">
        <v>2019</v>
      </c>
      <c r="J348" s="1047" t="s">
        <v>233</v>
      </c>
      <c r="K348" s="1047" t="s">
        <v>39</v>
      </c>
      <c r="L348" s="1042" t="s">
        <v>281</v>
      </c>
      <c r="M348" s="1042" t="s">
        <v>286</v>
      </c>
      <c r="N348" s="1050">
        <v>45371</v>
      </c>
    </row>
    <row r="349" spans="1:14">
      <c r="A349" s="1042" t="s">
        <v>231</v>
      </c>
      <c r="B349" s="1042" t="s">
        <v>236</v>
      </c>
      <c r="C349" s="1042" t="s">
        <v>269</v>
      </c>
      <c r="D349" s="1042" t="s">
        <v>211</v>
      </c>
      <c r="E349" s="1047" t="s">
        <v>44</v>
      </c>
      <c r="F349" s="1047" t="s">
        <v>39</v>
      </c>
      <c r="G349" s="1047" t="s">
        <v>39</v>
      </c>
      <c r="H349" s="1047">
        <v>72.972542097008514</v>
      </c>
      <c r="I349" s="1047">
        <v>2019</v>
      </c>
      <c r="J349" s="1047" t="s">
        <v>233</v>
      </c>
      <c r="K349" s="1047" t="s">
        <v>39</v>
      </c>
      <c r="L349" s="1042" t="s">
        <v>281</v>
      </c>
      <c r="M349" s="1042" t="s">
        <v>286</v>
      </c>
      <c r="N349" s="1050">
        <v>45371</v>
      </c>
    </row>
    <row r="350" spans="1:14">
      <c r="A350" s="1042" t="s">
        <v>231</v>
      </c>
      <c r="B350" s="1042" t="s">
        <v>236</v>
      </c>
      <c r="C350" s="1042" t="s">
        <v>269</v>
      </c>
      <c r="D350" s="1042" t="s">
        <v>211</v>
      </c>
      <c r="E350" s="1047" t="s">
        <v>45</v>
      </c>
      <c r="F350" s="1047" t="s">
        <v>39</v>
      </c>
      <c r="G350" s="1047" t="s">
        <v>39</v>
      </c>
      <c r="H350" s="1047">
        <v>113.81082445084346</v>
      </c>
      <c r="I350" s="1047">
        <v>2019</v>
      </c>
      <c r="J350" s="1047" t="s">
        <v>233</v>
      </c>
      <c r="K350" s="1047" t="s">
        <v>39</v>
      </c>
      <c r="L350" s="1042" t="s">
        <v>281</v>
      </c>
      <c r="M350" s="1042" t="s">
        <v>286</v>
      </c>
      <c r="N350" s="1050">
        <v>45371</v>
      </c>
    </row>
    <row r="351" spans="1:14">
      <c r="A351" s="1042" t="s">
        <v>231</v>
      </c>
      <c r="B351" s="1042" t="s">
        <v>236</v>
      </c>
      <c r="C351" s="1042" t="s">
        <v>270</v>
      </c>
      <c r="D351" s="1042" t="s">
        <v>212</v>
      </c>
      <c r="E351" s="1047" t="s">
        <v>144</v>
      </c>
      <c r="F351" s="1047" t="s">
        <v>39</v>
      </c>
      <c r="G351" s="1047" t="s">
        <v>39</v>
      </c>
      <c r="H351" s="1047">
        <v>70</v>
      </c>
      <c r="I351" s="1047">
        <v>2019</v>
      </c>
      <c r="J351" s="1047" t="s">
        <v>233</v>
      </c>
      <c r="K351" s="1047" t="s">
        <v>39</v>
      </c>
      <c r="L351" s="1042" t="s">
        <v>281</v>
      </c>
      <c r="M351" s="1042" t="s">
        <v>286</v>
      </c>
      <c r="N351" s="1050">
        <v>45371</v>
      </c>
    </row>
    <row r="352" spans="1:14">
      <c r="A352" s="1042" t="s">
        <v>231</v>
      </c>
      <c r="B352" s="1042" t="s">
        <v>236</v>
      </c>
      <c r="C352" s="1042" t="s">
        <v>270</v>
      </c>
      <c r="D352" s="1042" t="s">
        <v>213</v>
      </c>
      <c r="E352" s="1047" t="s">
        <v>144</v>
      </c>
      <c r="F352" s="1047" t="s">
        <v>39</v>
      </c>
      <c r="G352" s="1047" t="s">
        <v>39</v>
      </c>
      <c r="H352" s="1047">
        <v>87.818696883852681</v>
      </c>
      <c r="I352" s="1047">
        <v>2019</v>
      </c>
      <c r="J352" s="1047" t="s">
        <v>233</v>
      </c>
      <c r="K352" s="1047" t="s">
        <v>39</v>
      </c>
      <c r="L352" s="1042" t="s">
        <v>281</v>
      </c>
      <c r="M352" s="1042" t="s">
        <v>286</v>
      </c>
      <c r="N352" s="1050">
        <v>45371</v>
      </c>
    </row>
    <row r="353" spans="1:14">
      <c r="A353" s="1042" t="s">
        <v>231</v>
      </c>
      <c r="B353" s="1042" t="s">
        <v>236</v>
      </c>
      <c r="C353" s="1042" t="s">
        <v>270</v>
      </c>
      <c r="D353" s="1042" t="s">
        <v>213</v>
      </c>
      <c r="E353" s="1047" t="s">
        <v>61</v>
      </c>
      <c r="F353" s="1047" t="s">
        <v>39</v>
      </c>
      <c r="G353" s="1047" t="s">
        <v>39</v>
      </c>
      <c r="H353" s="1047">
        <v>99.719101123595507</v>
      </c>
      <c r="I353" s="1047">
        <v>2019</v>
      </c>
      <c r="J353" s="1047" t="s">
        <v>233</v>
      </c>
      <c r="K353" s="1047" t="s">
        <v>39</v>
      </c>
      <c r="L353" s="1042" t="s">
        <v>281</v>
      </c>
      <c r="M353" s="1042" t="s">
        <v>286</v>
      </c>
      <c r="N353" s="1050">
        <v>45371</v>
      </c>
    </row>
    <row r="354" spans="1:14">
      <c r="A354" s="1042" t="s">
        <v>231</v>
      </c>
      <c r="B354" s="1042" t="s">
        <v>241</v>
      </c>
      <c r="C354" s="1042" t="s">
        <v>271</v>
      </c>
      <c r="D354" s="1042" t="s">
        <v>214</v>
      </c>
      <c r="E354" s="1047" t="s">
        <v>144</v>
      </c>
      <c r="F354" s="1047" t="s">
        <v>39</v>
      </c>
      <c r="G354" s="1047" t="s">
        <v>39</v>
      </c>
      <c r="H354" s="1047">
        <v>103.75000000000001</v>
      </c>
      <c r="I354" s="1047">
        <v>2019</v>
      </c>
      <c r="J354" s="1047" t="s">
        <v>233</v>
      </c>
      <c r="K354" s="1047" t="s">
        <v>39</v>
      </c>
      <c r="L354" s="1042" t="s">
        <v>281</v>
      </c>
      <c r="M354" s="1042" t="s">
        <v>286</v>
      </c>
      <c r="N354" s="1050">
        <v>45371</v>
      </c>
    </row>
    <row r="355" spans="1:14">
      <c r="A355" s="1042" t="s">
        <v>231</v>
      </c>
      <c r="B355" s="1042" t="s">
        <v>241</v>
      </c>
      <c r="C355" s="1042" t="s">
        <v>272</v>
      </c>
      <c r="D355" s="1042" t="s">
        <v>215</v>
      </c>
      <c r="E355" s="1047" t="s">
        <v>144</v>
      </c>
      <c r="F355" s="1047" t="s">
        <v>39</v>
      </c>
      <c r="G355" s="1047" t="s">
        <v>39</v>
      </c>
      <c r="H355" s="1047">
        <v>180.51948051948051</v>
      </c>
      <c r="I355" s="1047">
        <v>2019</v>
      </c>
      <c r="J355" s="1047" t="s">
        <v>233</v>
      </c>
      <c r="K355" s="1047" t="s">
        <v>39</v>
      </c>
      <c r="L355" s="1042" t="s">
        <v>281</v>
      </c>
      <c r="M355" s="1042" t="s">
        <v>286</v>
      </c>
      <c r="N355" s="1050">
        <v>45371</v>
      </c>
    </row>
    <row r="356" spans="1:14">
      <c r="A356" s="1042" t="s">
        <v>231</v>
      </c>
      <c r="B356" s="1042" t="s">
        <v>241</v>
      </c>
      <c r="C356" s="1042" t="s">
        <v>273</v>
      </c>
      <c r="D356" s="1042" t="s">
        <v>216</v>
      </c>
      <c r="E356" s="1047" t="s">
        <v>144</v>
      </c>
      <c r="F356" s="1047" t="s">
        <v>39</v>
      </c>
      <c r="G356" s="1047" t="s">
        <v>39</v>
      </c>
      <c r="H356" s="1047">
        <v>95</v>
      </c>
      <c r="I356" s="1047">
        <v>2019</v>
      </c>
      <c r="J356" s="1047" t="s">
        <v>233</v>
      </c>
      <c r="K356" s="1047" t="s">
        <v>39</v>
      </c>
      <c r="L356" s="1042" t="s">
        <v>281</v>
      </c>
      <c r="M356" s="1042" t="s">
        <v>286</v>
      </c>
      <c r="N356" s="1050">
        <v>45371</v>
      </c>
    </row>
    <row r="357" spans="1:14">
      <c r="A357" s="1042" t="s">
        <v>231</v>
      </c>
      <c r="B357" s="1042" t="s">
        <v>241</v>
      </c>
      <c r="C357" s="1042" t="s">
        <v>274</v>
      </c>
      <c r="D357" s="1042" t="s">
        <v>217</v>
      </c>
      <c r="E357" s="1047" t="s">
        <v>144</v>
      </c>
      <c r="F357" s="1047" t="s">
        <v>39</v>
      </c>
      <c r="G357" s="1047" t="s">
        <v>39</v>
      </c>
      <c r="H357" s="1047">
        <v>125</v>
      </c>
      <c r="I357" s="1047">
        <v>2019</v>
      </c>
      <c r="J357" s="1047" t="s">
        <v>233</v>
      </c>
      <c r="K357" s="1047" t="s">
        <v>39</v>
      </c>
      <c r="L357" s="1042" t="s">
        <v>281</v>
      </c>
      <c r="M357" s="1042" t="s">
        <v>286</v>
      </c>
      <c r="N357" s="1050">
        <v>45371</v>
      </c>
    </row>
    <row r="358" spans="1:14">
      <c r="A358" s="1042" t="s">
        <v>231</v>
      </c>
      <c r="B358" s="1042" t="s">
        <v>241</v>
      </c>
      <c r="C358" s="1042" t="s">
        <v>275</v>
      </c>
      <c r="D358" s="1042" t="s">
        <v>218</v>
      </c>
      <c r="E358" s="1047" t="s">
        <v>144</v>
      </c>
      <c r="F358" s="1047" t="s">
        <v>39</v>
      </c>
      <c r="G358" s="1047" t="s">
        <v>39</v>
      </c>
      <c r="H358" s="1047">
        <v>100</v>
      </c>
      <c r="I358" s="1047">
        <v>2019</v>
      </c>
      <c r="J358" s="1047" t="s">
        <v>233</v>
      </c>
      <c r="K358" s="1047" t="s">
        <v>39</v>
      </c>
      <c r="L358" s="1042" t="s">
        <v>281</v>
      </c>
      <c r="M358" s="1042" t="s">
        <v>286</v>
      </c>
      <c r="N358" s="1050">
        <v>45371</v>
      </c>
    </row>
    <row r="359" spans="1:14">
      <c r="A359" s="1042" t="s">
        <v>231</v>
      </c>
      <c r="B359" s="1042" t="s">
        <v>232</v>
      </c>
      <c r="C359" s="1042" t="s">
        <v>265</v>
      </c>
      <c r="D359" s="1049" t="s">
        <v>207</v>
      </c>
      <c r="E359" s="1047" t="s">
        <v>144</v>
      </c>
      <c r="F359" s="1047" t="s">
        <v>39</v>
      </c>
      <c r="G359" s="1047" t="s">
        <v>39</v>
      </c>
      <c r="H359" s="1047">
        <v>92.84956695217646</v>
      </c>
      <c r="I359" s="1047">
        <v>2020</v>
      </c>
      <c r="J359" s="1047" t="s">
        <v>233</v>
      </c>
      <c r="K359" s="1047" t="s">
        <v>39</v>
      </c>
      <c r="L359" s="1042" t="s">
        <v>281</v>
      </c>
      <c r="M359" s="1042" t="s">
        <v>286</v>
      </c>
      <c r="N359" s="1050">
        <v>45371</v>
      </c>
    </row>
    <row r="360" spans="1:14">
      <c r="A360" s="1042" t="s">
        <v>231</v>
      </c>
      <c r="B360" s="1042" t="s">
        <v>232</v>
      </c>
      <c r="C360" s="1042" t="s">
        <v>266</v>
      </c>
      <c r="D360" s="1049" t="s">
        <v>208</v>
      </c>
      <c r="E360" s="1047" t="s">
        <v>144</v>
      </c>
      <c r="F360" s="1047" t="s">
        <v>39</v>
      </c>
      <c r="G360" s="1047" t="s">
        <v>39</v>
      </c>
      <c r="H360" s="1047">
        <v>135.48418348380721</v>
      </c>
      <c r="I360" s="1047">
        <v>2020</v>
      </c>
      <c r="J360" s="1047" t="s">
        <v>233</v>
      </c>
      <c r="K360" s="1047" t="s">
        <v>39</v>
      </c>
      <c r="L360" s="1042" t="s">
        <v>281</v>
      </c>
      <c r="M360" s="1042" t="s">
        <v>286</v>
      </c>
      <c r="N360" s="1050">
        <v>45371</v>
      </c>
    </row>
    <row r="361" spans="1:14">
      <c r="A361" s="1042" t="s">
        <v>231</v>
      </c>
      <c r="B361" s="1042" t="s">
        <v>236</v>
      </c>
      <c r="C361" s="1042" t="s">
        <v>267</v>
      </c>
      <c r="D361" s="1042" t="s">
        <v>209</v>
      </c>
      <c r="E361" s="1047" t="s">
        <v>144</v>
      </c>
      <c r="F361" s="1047" t="s">
        <v>39</v>
      </c>
      <c r="G361" s="1047" t="s">
        <v>39</v>
      </c>
      <c r="H361" s="1047">
        <v>100</v>
      </c>
      <c r="I361" s="1047">
        <v>2020</v>
      </c>
      <c r="J361" s="1047" t="s">
        <v>233</v>
      </c>
      <c r="K361" s="1047" t="s">
        <v>39</v>
      </c>
      <c r="L361" s="1042" t="s">
        <v>281</v>
      </c>
      <c r="M361" s="1042" t="s">
        <v>286</v>
      </c>
      <c r="N361" s="1050">
        <v>45371</v>
      </c>
    </row>
    <row r="362" spans="1:14">
      <c r="A362" s="1042" t="s">
        <v>231</v>
      </c>
      <c r="B362" s="1042" t="s">
        <v>236</v>
      </c>
      <c r="C362" s="1042" t="s">
        <v>267</v>
      </c>
      <c r="D362" s="1042" t="s">
        <v>209</v>
      </c>
      <c r="E362" s="1047" t="s">
        <v>37</v>
      </c>
      <c r="F362" s="1047" t="s">
        <v>39</v>
      </c>
      <c r="G362" s="1047" t="s">
        <v>39</v>
      </c>
      <c r="H362" s="1047">
        <v>65.136612021857914</v>
      </c>
      <c r="I362" s="1047">
        <v>2020</v>
      </c>
      <c r="J362" s="1047" t="s">
        <v>233</v>
      </c>
      <c r="K362" s="1047" t="s">
        <v>39</v>
      </c>
      <c r="L362" s="1042" t="s">
        <v>281</v>
      </c>
      <c r="M362" s="1042" t="s">
        <v>286</v>
      </c>
      <c r="N362" s="1050">
        <v>45371</v>
      </c>
    </row>
    <row r="363" spans="1:14">
      <c r="A363" s="1042" t="s">
        <v>231</v>
      </c>
      <c r="B363" s="1042" t="s">
        <v>236</v>
      </c>
      <c r="C363" s="1042" t="s">
        <v>276</v>
      </c>
      <c r="D363" s="1042" t="s">
        <v>219</v>
      </c>
      <c r="E363" s="1047" t="s">
        <v>144</v>
      </c>
      <c r="F363" s="1047" t="s">
        <v>39</v>
      </c>
      <c r="G363" s="1047" t="s">
        <v>39</v>
      </c>
      <c r="H363" s="1047">
        <v>81.205673758865245</v>
      </c>
      <c r="I363" s="1047">
        <v>2020</v>
      </c>
      <c r="J363" s="1047" t="s">
        <v>233</v>
      </c>
      <c r="K363" s="1047" t="s">
        <v>39</v>
      </c>
      <c r="L363" s="1042" t="s">
        <v>281</v>
      </c>
      <c r="M363" s="1042" t="s">
        <v>286</v>
      </c>
      <c r="N363" s="1050">
        <v>45371</v>
      </c>
    </row>
    <row r="364" spans="1:14">
      <c r="A364" s="1042" t="s">
        <v>231</v>
      </c>
      <c r="B364" s="1042" t="s">
        <v>236</v>
      </c>
      <c r="C364" s="1042" t="s">
        <v>276</v>
      </c>
      <c r="D364" s="1042" t="s">
        <v>219</v>
      </c>
      <c r="E364" s="1047" t="s">
        <v>43</v>
      </c>
      <c r="F364" s="1047" t="s">
        <v>39</v>
      </c>
      <c r="G364" s="1047" t="s">
        <v>39</v>
      </c>
      <c r="H364" s="1047">
        <v>120</v>
      </c>
      <c r="I364" s="1047">
        <v>2020</v>
      </c>
      <c r="J364" s="1047" t="s">
        <v>233</v>
      </c>
      <c r="K364" s="1047" t="s">
        <v>39</v>
      </c>
      <c r="L364" s="1042" t="s">
        <v>281</v>
      </c>
      <c r="M364" s="1042" t="s">
        <v>286</v>
      </c>
      <c r="N364" s="1050">
        <v>45371</v>
      </c>
    </row>
    <row r="365" spans="1:14">
      <c r="A365" s="1042" t="s">
        <v>231</v>
      </c>
      <c r="B365" s="1042" t="s">
        <v>236</v>
      </c>
      <c r="C365" s="1042" t="s">
        <v>276</v>
      </c>
      <c r="D365" s="1042" t="s">
        <v>219</v>
      </c>
      <c r="E365" s="1047" t="s">
        <v>45</v>
      </c>
      <c r="F365" s="1047" t="s">
        <v>39</v>
      </c>
      <c r="G365" s="1047" t="s">
        <v>39</v>
      </c>
      <c r="H365" s="1047">
        <v>65.643564356435633</v>
      </c>
      <c r="I365" s="1047">
        <v>2020</v>
      </c>
      <c r="J365" s="1047" t="s">
        <v>233</v>
      </c>
      <c r="K365" s="1047" t="s">
        <v>39</v>
      </c>
      <c r="L365" s="1042" t="s">
        <v>281</v>
      </c>
      <c r="M365" s="1042" t="s">
        <v>286</v>
      </c>
      <c r="N365" s="1050">
        <v>45371</v>
      </c>
    </row>
    <row r="366" spans="1:14">
      <c r="A366" s="1042" t="s">
        <v>231</v>
      </c>
      <c r="B366" s="1042" t="s">
        <v>236</v>
      </c>
      <c r="C366" s="1042" t="s">
        <v>268</v>
      </c>
      <c r="D366" s="1042" t="s">
        <v>210</v>
      </c>
      <c r="E366" s="1047" t="s">
        <v>144</v>
      </c>
      <c r="F366" s="1047" t="s">
        <v>39</v>
      </c>
      <c r="G366" s="1047" t="s">
        <v>39</v>
      </c>
      <c r="H366" s="1047">
        <v>103.44234079173837</v>
      </c>
      <c r="I366" s="1047">
        <v>2020</v>
      </c>
      <c r="J366" s="1047" t="s">
        <v>233</v>
      </c>
      <c r="K366" s="1047" t="s">
        <v>39</v>
      </c>
      <c r="L366" s="1042" t="s">
        <v>281</v>
      </c>
      <c r="M366" s="1042" t="s">
        <v>286</v>
      </c>
      <c r="N366" s="1050">
        <v>45371</v>
      </c>
    </row>
    <row r="367" spans="1:14">
      <c r="A367" s="1042" t="s">
        <v>231</v>
      </c>
      <c r="B367" s="1042" t="s">
        <v>236</v>
      </c>
      <c r="C367" s="1042" t="s">
        <v>268</v>
      </c>
      <c r="D367" s="1042" t="s">
        <v>210</v>
      </c>
      <c r="E367" s="1047" t="s">
        <v>43</v>
      </c>
      <c r="F367" s="1047" t="s">
        <v>39</v>
      </c>
      <c r="G367" s="1047" t="s">
        <v>39</v>
      </c>
      <c r="H367" s="1047">
        <v>117.14285714285715</v>
      </c>
      <c r="I367" s="1047">
        <v>2020</v>
      </c>
      <c r="J367" s="1047" t="s">
        <v>233</v>
      </c>
      <c r="K367" s="1047" t="s">
        <v>39</v>
      </c>
      <c r="L367" s="1042" t="s">
        <v>281</v>
      </c>
      <c r="M367" s="1042" t="s">
        <v>286</v>
      </c>
      <c r="N367" s="1050">
        <v>45371</v>
      </c>
    </row>
    <row r="368" spans="1:14">
      <c r="A368" s="1042" t="s">
        <v>231</v>
      </c>
      <c r="B368" s="1042" t="s">
        <v>236</v>
      </c>
      <c r="C368" s="1042" t="s">
        <v>268</v>
      </c>
      <c r="D368" s="1042" t="s">
        <v>210</v>
      </c>
      <c r="E368" s="1047" t="s">
        <v>44</v>
      </c>
      <c r="F368" s="1047" t="s">
        <v>39</v>
      </c>
      <c r="G368" s="1047" t="s">
        <v>39</v>
      </c>
      <c r="H368" s="1047">
        <v>99.090909090909093</v>
      </c>
      <c r="I368" s="1047">
        <v>2020</v>
      </c>
      <c r="J368" s="1047" t="s">
        <v>233</v>
      </c>
      <c r="K368" s="1047" t="s">
        <v>39</v>
      </c>
      <c r="L368" s="1042" t="s">
        <v>281</v>
      </c>
      <c r="M368" s="1042" t="s">
        <v>286</v>
      </c>
      <c r="N368" s="1050">
        <v>45371</v>
      </c>
    </row>
    <row r="369" spans="1:14">
      <c r="A369" s="1042" t="s">
        <v>231</v>
      </c>
      <c r="B369" s="1042" t="s">
        <v>236</v>
      </c>
      <c r="C369" s="1042" t="s">
        <v>268</v>
      </c>
      <c r="D369" s="1042" t="s">
        <v>210</v>
      </c>
      <c r="E369" s="1047" t="s">
        <v>45</v>
      </c>
      <c r="F369" s="1047" t="s">
        <v>39</v>
      </c>
      <c r="G369" s="1047" t="s">
        <v>39</v>
      </c>
      <c r="H369" s="1047">
        <v>102.24438902743142</v>
      </c>
      <c r="I369" s="1047">
        <v>2020</v>
      </c>
      <c r="J369" s="1047" t="s">
        <v>233</v>
      </c>
      <c r="K369" s="1047" t="s">
        <v>39</v>
      </c>
      <c r="L369" s="1042" t="s">
        <v>281</v>
      </c>
      <c r="M369" s="1042" t="s">
        <v>286</v>
      </c>
      <c r="N369" s="1050">
        <v>45371</v>
      </c>
    </row>
    <row r="370" spans="1:14">
      <c r="A370" s="1042" t="s">
        <v>231</v>
      </c>
      <c r="B370" s="1042" t="s">
        <v>236</v>
      </c>
      <c r="C370" s="1042" t="s">
        <v>269</v>
      </c>
      <c r="D370" s="1042" t="s">
        <v>211</v>
      </c>
      <c r="E370" s="1047" t="s">
        <v>144</v>
      </c>
      <c r="F370" s="1047" t="s">
        <v>39</v>
      </c>
      <c r="G370" s="1047" t="s">
        <v>39</v>
      </c>
      <c r="H370" s="1047">
        <v>77.573373591571155</v>
      </c>
      <c r="I370" s="1047">
        <v>2020</v>
      </c>
      <c r="J370" s="1047" t="s">
        <v>233</v>
      </c>
      <c r="K370" s="1047" t="s">
        <v>39</v>
      </c>
      <c r="L370" s="1042" t="s">
        <v>281</v>
      </c>
      <c r="M370" s="1042" t="s">
        <v>286</v>
      </c>
      <c r="N370" s="1050">
        <v>45371</v>
      </c>
    </row>
    <row r="371" spans="1:14">
      <c r="A371" s="1042" t="s">
        <v>231</v>
      </c>
      <c r="B371" s="1042" t="s">
        <v>236</v>
      </c>
      <c r="C371" s="1042" t="s">
        <v>269</v>
      </c>
      <c r="D371" s="1042" t="s">
        <v>211</v>
      </c>
      <c r="E371" s="1047" t="s">
        <v>55</v>
      </c>
      <c r="F371" s="1047" t="s">
        <v>39</v>
      </c>
      <c r="G371" s="1047" t="s">
        <v>39</v>
      </c>
      <c r="H371" s="1047">
        <v>99.999999760170098</v>
      </c>
      <c r="I371" s="1047">
        <v>2020</v>
      </c>
      <c r="J371" s="1047" t="s">
        <v>233</v>
      </c>
      <c r="K371" s="1047" t="s">
        <v>39</v>
      </c>
      <c r="L371" s="1042" t="s">
        <v>281</v>
      </c>
      <c r="M371" s="1042" t="s">
        <v>286</v>
      </c>
      <c r="N371" s="1050">
        <v>45371</v>
      </c>
    </row>
    <row r="372" spans="1:14">
      <c r="A372" s="1042" t="s">
        <v>231</v>
      </c>
      <c r="B372" s="1042" t="s">
        <v>236</v>
      </c>
      <c r="C372" s="1042" t="s">
        <v>269</v>
      </c>
      <c r="D372" s="1042" t="s">
        <v>211</v>
      </c>
      <c r="E372" s="1047" t="s">
        <v>44</v>
      </c>
      <c r="F372" s="1047" t="s">
        <v>39</v>
      </c>
      <c r="G372" s="1047" t="s">
        <v>39</v>
      </c>
      <c r="H372" s="1047">
        <v>18.232841626615993</v>
      </c>
      <c r="I372" s="1047">
        <v>2020</v>
      </c>
      <c r="J372" s="1047" t="s">
        <v>233</v>
      </c>
      <c r="K372" s="1047" t="s">
        <v>39</v>
      </c>
      <c r="L372" s="1042" t="s">
        <v>281</v>
      </c>
      <c r="M372" s="1042" t="s">
        <v>286</v>
      </c>
      <c r="N372" s="1050">
        <v>45371</v>
      </c>
    </row>
    <row r="373" spans="1:14">
      <c r="A373" s="1042" t="s">
        <v>231</v>
      </c>
      <c r="B373" s="1042" t="s">
        <v>236</v>
      </c>
      <c r="C373" s="1042" t="s">
        <v>269</v>
      </c>
      <c r="D373" s="1042" t="s">
        <v>211</v>
      </c>
      <c r="E373" s="1047" t="s">
        <v>45</v>
      </c>
      <c r="F373" s="1047" t="s">
        <v>39</v>
      </c>
      <c r="G373" s="1047" t="s">
        <v>39</v>
      </c>
      <c r="H373" s="1047">
        <v>83.320622127955957</v>
      </c>
      <c r="I373" s="1047">
        <v>2020</v>
      </c>
      <c r="J373" s="1047" t="s">
        <v>233</v>
      </c>
      <c r="K373" s="1047" t="s">
        <v>39</v>
      </c>
      <c r="L373" s="1042" t="s">
        <v>281</v>
      </c>
      <c r="M373" s="1042" t="s">
        <v>286</v>
      </c>
      <c r="N373" s="1050">
        <v>45371</v>
      </c>
    </row>
    <row r="374" spans="1:14">
      <c r="A374" s="1042" t="s">
        <v>231</v>
      </c>
      <c r="B374" s="1042" t="s">
        <v>236</v>
      </c>
      <c r="C374" s="1042" t="s">
        <v>269</v>
      </c>
      <c r="D374" s="1042" t="s">
        <v>211</v>
      </c>
      <c r="E374" s="1047" t="s">
        <v>56</v>
      </c>
      <c r="F374" s="1047" t="s">
        <v>39</v>
      </c>
      <c r="G374" s="1047" t="s">
        <v>39</v>
      </c>
      <c r="H374" s="1047">
        <v>79.298916435273682</v>
      </c>
      <c r="I374" s="1047">
        <v>2020</v>
      </c>
      <c r="J374" s="1047" t="s">
        <v>233</v>
      </c>
      <c r="K374" s="1047" t="s">
        <v>39</v>
      </c>
      <c r="L374" s="1042" t="s">
        <v>281</v>
      </c>
      <c r="M374" s="1042" t="s">
        <v>286</v>
      </c>
      <c r="N374" s="1050">
        <v>45371</v>
      </c>
    </row>
    <row r="375" spans="1:14">
      <c r="A375" s="1042" t="s">
        <v>231</v>
      </c>
      <c r="B375" s="1042" t="s">
        <v>236</v>
      </c>
      <c r="C375" s="1042" t="s">
        <v>270</v>
      </c>
      <c r="D375" s="1042" t="s">
        <v>212</v>
      </c>
      <c r="E375" s="1047" t="s">
        <v>144</v>
      </c>
      <c r="F375" s="1047" t="s">
        <v>39</v>
      </c>
      <c r="G375" s="1047" t="s">
        <v>39</v>
      </c>
      <c r="H375" s="1047">
        <v>20.8</v>
      </c>
      <c r="I375" s="1047">
        <v>2020</v>
      </c>
      <c r="J375" s="1047" t="s">
        <v>233</v>
      </c>
      <c r="K375" s="1047" t="s">
        <v>39</v>
      </c>
      <c r="L375" s="1042" t="s">
        <v>281</v>
      </c>
      <c r="M375" s="1042" t="s">
        <v>286</v>
      </c>
      <c r="N375" s="1050">
        <v>45371</v>
      </c>
    </row>
    <row r="376" spans="1:14">
      <c r="A376" s="1042" t="s">
        <v>231</v>
      </c>
      <c r="B376" s="1042" t="s">
        <v>236</v>
      </c>
      <c r="C376" s="1042" t="s">
        <v>270</v>
      </c>
      <c r="D376" s="1042" t="s">
        <v>213</v>
      </c>
      <c r="E376" s="1047" t="s">
        <v>144</v>
      </c>
      <c r="F376" s="1047" t="s">
        <v>39</v>
      </c>
      <c r="G376" s="1047" t="s">
        <v>39</v>
      </c>
      <c r="H376" s="1047">
        <v>66.763005780346816</v>
      </c>
      <c r="I376" s="1047">
        <v>2020</v>
      </c>
      <c r="J376" s="1047" t="s">
        <v>233</v>
      </c>
      <c r="K376" s="1047" t="s">
        <v>39</v>
      </c>
      <c r="L376" s="1042" t="s">
        <v>281</v>
      </c>
      <c r="M376" s="1042" t="s">
        <v>286</v>
      </c>
      <c r="N376" s="1050">
        <v>45371</v>
      </c>
    </row>
    <row r="377" spans="1:14">
      <c r="A377" s="1042" t="s">
        <v>231</v>
      </c>
      <c r="B377" s="1042" t="s">
        <v>236</v>
      </c>
      <c r="C377" s="1042" t="s">
        <v>270</v>
      </c>
      <c r="D377" s="1042" t="s">
        <v>213</v>
      </c>
      <c r="E377" s="1047" t="s">
        <v>61</v>
      </c>
      <c r="F377" s="1047" t="s">
        <v>39</v>
      </c>
      <c r="G377" s="1047" t="s">
        <v>39</v>
      </c>
      <c r="H377" s="1047">
        <v>92.513368983957221</v>
      </c>
      <c r="I377" s="1047">
        <v>2020</v>
      </c>
      <c r="J377" s="1047" t="s">
        <v>233</v>
      </c>
      <c r="K377" s="1047" t="s">
        <v>39</v>
      </c>
      <c r="L377" s="1042" t="s">
        <v>281</v>
      </c>
      <c r="M377" s="1042" t="s">
        <v>286</v>
      </c>
      <c r="N377" s="1050">
        <v>45371</v>
      </c>
    </row>
    <row r="378" spans="1:14">
      <c r="A378" s="1042" t="s">
        <v>231</v>
      </c>
      <c r="B378" s="1042" t="s">
        <v>248</v>
      </c>
      <c r="C378" s="1042" t="s">
        <v>267</v>
      </c>
      <c r="D378" s="1042" t="s">
        <v>220</v>
      </c>
      <c r="E378" s="1047" t="s">
        <v>144</v>
      </c>
      <c r="F378" s="1047" t="s">
        <v>39</v>
      </c>
      <c r="G378" s="1047" t="s">
        <v>39</v>
      </c>
      <c r="H378" s="1047">
        <v>100</v>
      </c>
      <c r="I378" s="1047">
        <v>2020</v>
      </c>
      <c r="J378" s="1047" t="s">
        <v>233</v>
      </c>
      <c r="K378" s="1047" t="s">
        <v>39</v>
      </c>
      <c r="L378" s="1042" t="s">
        <v>281</v>
      </c>
      <c r="M378" s="1042" t="s">
        <v>286</v>
      </c>
      <c r="N378" s="1050">
        <v>45371</v>
      </c>
    </row>
    <row r="379" spans="1:14">
      <c r="A379" s="1042" t="s">
        <v>231</v>
      </c>
      <c r="B379" s="1042" t="s">
        <v>248</v>
      </c>
      <c r="C379" s="1042" t="s">
        <v>267</v>
      </c>
      <c r="D379" s="1042" t="s">
        <v>220</v>
      </c>
      <c r="E379" s="1047" t="s">
        <v>37</v>
      </c>
      <c r="F379" s="1047" t="s">
        <v>39</v>
      </c>
      <c r="G379" s="1047" t="s">
        <v>39</v>
      </c>
      <c r="H379" s="1047">
        <v>100</v>
      </c>
      <c r="I379" s="1047">
        <v>2020</v>
      </c>
      <c r="J379" s="1047" t="s">
        <v>233</v>
      </c>
      <c r="K379" s="1047" t="s">
        <v>39</v>
      </c>
      <c r="L379" s="1042" t="s">
        <v>281</v>
      </c>
      <c r="M379" s="1042" t="s">
        <v>286</v>
      </c>
      <c r="N379" s="1050">
        <v>45371</v>
      </c>
    </row>
    <row r="380" spans="1:14">
      <c r="A380" s="1042" t="s">
        <v>231</v>
      </c>
      <c r="B380" s="1042" t="s">
        <v>248</v>
      </c>
      <c r="C380" s="1042" t="s">
        <v>268</v>
      </c>
      <c r="D380" s="1042" t="s">
        <v>221</v>
      </c>
      <c r="E380" s="1047" t="s">
        <v>144</v>
      </c>
      <c r="F380" s="1047" t="s">
        <v>39</v>
      </c>
      <c r="G380" s="1047" t="s">
        <v>39</v>
      </c>
      <c r="H380" s="1047">
        <v>125</v>
      </c>
      <c r="I380" s="1047">
        <v>2020</v>
      </c>
      <c r="J380" s="1047" t="s">
        <v>233</v>
      </c>
      <c r="K380" s="1047" t="s">
        <v>39</v>
      </c>
      <c r="L380" s="1042" t="s">
        <v>281</v>
      </c>
      <c r="M380" s="1042" t="s">
        <v>286</v>
      </c>
      <c r="N380" s="1050">
        <v>45371</v>
      </c>
    </row>
    <row r="381" spans="1:14">
      <c r="A381" s="1042" t="s">
        <v>231</v>
      </c>
      <c r="B381" s="1042" t="s">
        <v>248</v>
      </c>
      <c r="C381" s="1042" t="s">
        <v>268</v>
      </c>
      <c r="D381" s="1042" t="s">
        <v>221</v>
      </c>
      <c r="E381" s="1047" t="s">
        <v>75</v>
      </c>
      <c r="F381" s="1047" t="s">
        <v>39</v>
      </c>
      <c r="G381" s="1047" t="s">
        <v>39</v>
      </c>
      <c r="H381" s="1047">
        <v>125</v>
      </c>
      <c r="I381" s="1047">
        <v>2020</v>
      </c>
      <c r="J381" s="1047" t="s">
        <v>233</v>
      </c>
      <c r="K381" s="1047" t="s">
        <v>39</v>
      </c>
      <c r="L381" s="1042" t="s">
        <v>281</v>
      </c>
      <c r="M381" s="1042" t="s">
        <v>286</v>
      </c>
      <c r="N381" s="1050">
        <v>45371</v>
      </c>
    </row>
    <row r="382" spans="1:14">
      <c r="A382" s="1042" t="s">
        <v>231</v>
      </c>
      <c r="B382" s="1042" t="s">
        <v>241</v>
      </c>
      <c r="C382" s="1042" t="s">
        <v>271</v>
      </c>
      <c r="D382" s="1042" t="s">
        <v>214</v>
      </c>
      <c r="E382" s="1047" t="s">
        <v>144</v>
      </c>
      <c r="F382" s="1047" t="s">
        <v>39</v>
      </c>
      <c r="G382" s="1047" t="s">
        <v>39</v>
      </c>
      <c r="H382" s="1047">
        <v>0</v>
      </c>
      <c r="I382" s="1047">
        <v>2020</v>
      </c>
      <c r="J382" s="1047" t="s">
        <v>233</v>
      </c>
      <c r="K382" s="1047" t="s">
        <v>39</v>
      </c>
      <c r="L382" s="1042" t="s">
        <v>281</v>
      </c>
      <c r="M382" s="1042" t="s">
        <v>286</v>
      </c>
      <c r="N382" s="1050">
        <v>45371</v>
      </c>
    </row>
    <row r="383" spans="1:14">
      <c r="A383" s="1042" t="s">
        <v>231</v>
      </c>
      <c r="B383" s="1042" t="s">
        <v>241</v>
      </c>
      <c r="C383" s="1042" t="s">
        <v>272</v>
      </c>
      <c r="D383" s="1042" t="s">
        <v>215</v>
      </c>
      <c r="E383" s="1047" t="s">
        <v>144</v>
      </c>
      <c r="F383" s="1047" t="s">
        <v>39</v>
      </c>
      <c r="G383" s="1047" t="s">
        <v>39</v>
      </c>
      <c r="H383" s="1047">
        <v>111.15107913669064</v>
      </c>
      <c r="I383" s="1047">
        <v>2020</v>
      </c>
      <c r="J383" s="1047" t="s">
        <v>233</v>
      </c>
      <c r="K383" s="1047" t="s">
        <v>39</v>
      </c>
      <c r="L383" s="1042" t="s">
        <v>281</v>
      </c>
      <c r="M383" s="1042" t="s">
        <v>286</v>
      </c>
      <c r="N383" s="1050">
        <v>45371</v>
      </c>
    </row>
    <row r="384" spans="1:14">
      <c r="A384" s="1042" t="s">
        <v>231</v>
      </c>
      <c r="B384" s="1042" t="s">
        <v>241</v>
      </c>
      <c r="C384" s="1042" t="s">
        <v>273</v>
      </c>
      <c r="D384" s="1042" t="s">
        <v>216</v>
      </c>
      <c r="E384" s="1047" t="s">
        <v>144</v>
      </c>
      <c r="F384" s="1047" t="s">
        <v>39</v>
      </c>
      <c r="G384" s="1047" t="s">
        <v>39</v>
      </c>
      <c r="H384" s="1047">
        <v>104.66666666666666</v>
      </c>
      <c r="I384" s="1047">
        <v>2020</v>
      </c>
      <c r="J384" s="1047" t="s">
        <v>233</v>
      </c>
      <c r="K384" s="1047" t="s">
        <v>39</v>
      </c>
      <c r="L384" s="1042" t="s">
        <v>281</v>
      </c>
      <c r="M384" s="1042" t="s">
        <v>286</v>
      </c>
      <c r="N384" s="1050">
        <v>45371</v>
      </c>
    </row>
    <row r="385" spans="1:14">
      <c r="A385" s="1042" t="s">
        <v>231</v>
      </c>
      <c r="B385" s="1042" t="s">
        <v>241</v>
      </c>
      <c r="C385" s="1042" t="s">
        <v>277</v>
      </c>
      <c r="D385" s="1042" t="s">
        <v>222</v>
      </c>
      <c r="E385" s="1047" t="s">
        <v>144</v>
      </c>
      <c r="F385" s="1047" t="s">
        <v>39</v>
      </c>
      <c r="G385" s="1047" t="s">
        <v>39</v>
      </c>
      <c r="H385" s="1047">
        <v>100</v>
      </c>
      <c r="I385" s="1047">
        <v>2020</v>
      </c>
      <c r="J385" s="1047" t="s">
        <v>233</v>
      </c>
      <c r="K385" s="1047" t="s">
        <v>39</v>
      </c>
      <c r="L385" s="1042" t="s">
        <v>281</v>
      </c>
      <c r="M385" s="1042" t="s">
        <v>286</v>
      </c>
      <c r="N385" s="1050">
        <v>45371</v>
      </c>
    </row>
    <row r="386" spans="1:14">
      <c r="A386" s="1042" t="s">
        <v>231</v>
      </c>
      <c r="B386" s="1042" t="s">
        <v>241</v>
      </c>
      <c r="C386" s="1042" t="s">
        <v>277</v>
      </c>
      <c r="D386" s="1042" t="s">
        <v>222</v>
      </c>
      <c r="E386" s="1047" t="s">
        <v>92</v>
      </c>
      <c r="F386" s="1047" t="s">
        <v>39</v>
      </c>
      <c r="G386" s="1047" t="s">
        <v>39</v>
      </c>
      <c r="H386" s="1047">
        <v>100</v>
      </c>
      <c r="I386" s="1047">
        <v>2020</v>
      </c>
      <c r="J386" s="1047" t="s">
        <v>233</v>
      </c>
      <c r="K386" s="1047" t="s">
        <v>39</v>
      </c>
      <c r="L386" s="1042" t="s">
        <v>281</v>
      </c>
      <c r="M386" s="1042" t="s">
        <v>286</v>
      </c>
      <c r="N386" s="1050">
        <v>45371</v>
      </c>
    </row>
    <row r="387" spans="1:14">
      <c r="A387" s="1042" t="s">
        <v>231</v>
      </c>
      <c r="B387" s="1042" t="s">
        <v>241</v>
      </c>
      <c r="C387" s="1042" t="s">
        <v>274</v>
      </c>
      <c r="D387" s="1042" t="s">
        <v>217</v>
      </c>
      <c r="E387" s="1047" t="s">
        <v>144</v>
      </c>
      <c r="F387" s="1047" t="s">
        <v>39</v>
      </c>
      <c r="G387" s="1047" t="s">
        <v>39</v>
      </c>
      <c r="H387" s="1047">
        <v>203.33333333333331</v>
      </c>
      <c r="I387" s="1047">
        <v>2020</v>
      </c>
      <c r="J387" s="1047" t="s">
        <v>233</v>
      </c>
      <c r="K387" s="1047" t="s">
        <v>39</v>
      </c>
      <c r="L387" s="1042" t="s">
        <v>281</v>
      </c>
      <c r="M387" s="1042" t="s">
        <v>286</v>
      </c>
      <c r="N387" s="1050">
        <v>45371</v>
      </c>
    </row>
    <row r="388" spans="1:14">
      <c r="A388" s="1042" t="s">
        <v>231</v>
      </c>
      <c r="B388" s="1042" t="s">
        <v>241</v>
      </c>
      <c r="C388" s="1042" t="s">
        <v>275</v>
      </c>
      <c r="D388" s="1042" t="s">
        <v>218</v>
      </c>
      <c r="E388" s="1047" t="s">
        <v>144</v>
      </c>
      <c r="F388" s="1047" t="s">
        <v>39</v>
      </c>
      <c r="G388" s="1047" t="s">
        <v>39</v>
      </c>
      <c r="H388" s="1047">
        <v>100</v>
      </c>
      <c r="I388" s="1047">
        <v>2020</v>
      </c>
      <c r="J388" s="1047" t="s">
        <v>233</v>
      </c>
      <c r="K388" s="1047" t="s">
        <v>39</v>
      </c>
      <c r="L388" s="1042" t="s">
        <v>281</v>
      </c>
      <c r="M388" s="1042" t="s">
        <v>286</v>
      </c>
      <c r="N388" s="1050">
        <v>45371</v>
      </c>
    </row>
    <row r="389" spans="1:14">
      <c r="A389" s="1042" t="s">
        <v>231</v>
      </c>
      <c r="B389" s="1042" t="s">
        <v>232</v>
      </c>
      <c r="C389" s="1042" t="s">
        <v>265</v>
      </c>
      <c r="D389" s="1049" t="s">
        <v>207</v>
      </c>
      <c r="E389" s="1047" t="s">
        <v>144</v>
      </c>
      <c r="F389" s="1047" t="s">
        <v>39</v>
      </c>
      <c r="G389" s="1047" t="s">
        <v>39</v>
      </c>
      <c r="H389" s="1047">
        <v>127.28964287291858</v>
      </c>
      <c r="I389" s="1047">
        <v>2021</v>
      </c>
      <c r="J389" s="1047" t="s">
        <v>233</v>
      </c>
      <c r="K389" s="1047" t="s">
        <v>39</v>
      </c>
      <c r="L389" s="1042" t="s">
        <v>281</v>
      </c>
      <c r="M389" s="1042" t="s">
        <v>286</v>
      </c>
      <c r="N389" s="1050">
        <v>45371</v>
      </c>
    </row>
    <row r="390" spans="1:14">
      <c r="A390" s="1042" t="s">
        <v>231</v>
      </c>
      <c r="B390" s="1042" t="s">
        <v>232</v>
      </c>
      <c r="C390" s="1042" t="s">
        <v>266</v>
      </c>
      <c r="D390" s="1049" t="s">
        <v>208</v>
      </c>
      <c r="E390" s="1047" t="s">
        <v>144</v>
      </c>
      <c r="F390" s="1047" t="s">
        <v>39</v>
      </c>
      <c r="G390" s="1047" t="s">
        <v>39</v>
      </c>
      <c r="H390" s="1047">
        <v>147.48456188879726</v>
      </c>
      <c r="I390" s="1047">
        <v>2021</v>
      </c>
      <c r="J390" s="1047" t="s">
        <v>233</v>
      </c>
      <c r="K390" s="1047" t="s">
        <v>39</v>
      </c>
      <c r="L390" s="1042" t="s">
        <v>281</v>
      </c>
      <c r="M390" s="1042" t="s">
        <v>286</v>
      </c>
      <c r="N390" s="1050">
        <v>45371</v>
      </c>
    </row>
    <row r="391" spans="1:14">
      <c r="A391" s="1042" t="s">
        <v>231</v>
      </c>
      <c r="B391" s="1042" t="s">
        <v>236</v>
      </c>
      <c r="C391" s="1042" t="s">
        <v>267</v>
      </c>
      <c r="D391" s="1042" t="s">
        <v>209</v>
      </c>
      <c r="E391" s="1047" t="s">
        <v>144</v>
      </c>
      <c r="F391" s="1047" t="s">
        <v>39</v>
      </c>
      <c r="G391" s="1047" t="s">
        <v>39</v>
      </c>
      <c r="H391" s="1047">
        <v>100</v>
      </c>
      <c r="I391" s="1047">
        <v>2021</v>
      </c>
      <c r="J391" s="1047" t="s">
        <v>233</v>
      </c>
      <c r="K391" s="1047" t="s">
        <v>39</v>
      </c>
      <c r="L391" s="1042" t="s">
        <v>281</v>
      </c>
      <c r="M391" s="1042" t="s">
        <v>286</v>
      </c>
      <c r="N391" s="1050">
        <v>45371</v>
      </c>
    </row>
    <row r="392" spans="1:14">
      <c r="A392" s="1042" t="s">
        <v>231</v>
      </c>
      <c r="B392" s="1042" t="s">
        <v>236</v>
      </c>
      <c r="C392" s="1042" t="s">
        <v>267</v>
      </c>
      <c r="D392" s="1042" t="s">
        <v>209</v>
      </c>
      <c r="E392" s="1047" t="s">
        <v>37</v>
      </c>
      <c r="F392" s="1047" t="s">
        <v>39</v>
      </c>
      <c r="G392" s="1047" t="s">
        <v>39</v>
      </c>
      <c r="H392" s="1047">
        <v>87.431693989071036</v>
      </c>
      <c r="I392" s="1047">
        <v>2021</v>
      </c>
      <c r="J392" s="1047" t="s">
        <v>233</v>
      </c>
      <c r="K392" s="1047" t="s">
        <v>39</v>
      </c>
      <c r="L392" s="1042" t="s">
        <v>281</v>
      </c>
      <c r="M392" s="1042" t="s">
        <v>286</v>
      </c>
      <c r="N392" s="1050">
        <v>45371</v>
      </c>
    </row>
    <row r="393" spans="1:14">
      <c r="A393" s="1042" t="s">
        <v>231</v>
      </c>
      <c r="B393" s="1042" t="s">
        <v>236</v>
      </c>
      <c r="C393" s="1042" t="s">
        <v>267</v>
      </c>
      <c r="D393" s="1042" t="s">
        <v>209</v>
      </c>
      <c r="E393" s="1047" t="s">
        <v>40</v>
      </c>
      <c r="F393" s="1047" t="s">
        <v>39</v>
      </c>
      <c r="G393" s="1047" t="s">
        <v>39</v>
      </c>
      <c r="H393" s="1047">
        <v>103.75000000000001</v>
      </c>
      <c r="I393" s="1047">
        <v>2021</v>
      </c>
      <c r="J393" s="1047" t="s">
        <v>233</v>
      </c>
      <c r="K393" s="1047" t="s">
        <v>39</v>
      </c>
      <c r="L393" s="1042" t="s">
        <v>281</v>
      </c>
      <c r="M393" s="1042" t="s">
        <v>286</v>
      </c>
      <c r="N393" s="1050">
        <v>45371</v>
      </c>
    </row>
    <row r="394" spans="1:14">
      <c r="A394" s="1042" t="s">
        <v>231</v>
      </c>
      <c r="B394" s="1042" t="s">
        <v>236</v>
      </c>
      <c r="C394" s="1042" t="s">
        <v>276</v>
      </c>
      <c r="D394" s="1042" t="s">
        <v>219</v>
      </c>
      <c r="E394" s="1047" t="s">
        <v>144</v>
      </c>
      <c r="F394" s="1047" t="s">
        <v>39</v>
      </c>
      <c r="G394" s="1047" t="s">
        <v>39</v>
      </c>
      <c r="H394" s="1047">
        <v>101.44628099173553</v>
      </c>
      <c r="I394" s="1047">
        <v>2021</v>
      </c>
      <c r="J394" s="1047" t="s">
        <v>233</v>
      </c>
      <c r="K394" s="1047" t="s">
        <v>39</v>
      </c>
      <c r="L394" s="1042" t="s">
        <v>281</v>
      </c>
      <c r="M394" s="1042" t="s">
        <v>286</v>
      </c>
      <c r="N394" s="1050">
        <v>45371</v>
      </c>
    </row>
    <row r="395" spans="1:14">
      <c r="A395" s="1042" t="s">
        <v>231</v>
      </c>
      <c r="B395" s="1042" t="s">
        <v>236</v>
      </c>
      <c r="C395" s="1042" t="s">
        <v>276</v>
      </c>
      <c r="D395" s="1042" t="s">
        <v>219</v>
      </c>
      <c r="E395" s="1047" t="s">
        <v>43</v>
      </c>
      <c r="F395" s="1047" t="s">
        <v>39</v>
      </c>
      <c r="G395" s="1047" t="s">
        <v>39</v>
      </c>
      <c r="H395" s="1047">
        <v>157.08333333333334</v>
      </c>
      <c r="I395" s="1047">
        <v>2021</v>
      </c>
      <c r="J395" s="1047" t="s">
        <v>233</v>
      </c>
      <c r="K395" s="1047" t="s">
        <v>39</v>
      </c>
      <c r="L395" s="1042" t="s">
        <v>281</v>
      </c>
      <c r="M395" s="1042" t="s">
        <v>286</v>
      </c>
      <c r="N395" s="1050">
        <v>45371</v>
      </c>
    </row>
    <row r="396" spans="1:14">
      <c r="A396" s="1042" t="s">
        <v>231</v>
      </c>
      <c r="B396" s="1042" t="s">
        <v>236</v>
      </c>
      <c r="C396" s="1042" t="s">
        <v>276</v>
      </c>
      <c r="D396" s="1042" t="s">
        <v>219</v>
      </c>
      <c r="E396" s="1047" t="s">
        <v>45</v>
      </c>
      <c r="F396" s="1047" t="s">
        <v>39</v>
      </c>
      <c r="G396" s="1047" t="s">
        <v>39</v>
      </c>
      <c r="H396" s="1047">
        <v>95.321100917431195</v>
      </c>
      <c r="I396" s="1047">
        <v>2021</v>
      </c>
      <c r="J396" s="1047" t="s">
        <v>233</v>
      </c>
      <c r="K396" s="1047" t="s">
        <v>39</v>
      </c>
      <c r="L396" s="1042" t="s">
        <v>281</v>
      </c>
      <c r="M396" s="1042" t="s">
        <v>286</v>
      </c>
      <c r="N396" s="1050">
        <v>45371</v>
      </c>
    </row>
    <row r="397" spans="1:14">
      <c r="A397" s="1042" t="s">
        <v>231</v>
      </c>
      <c r="B397" s="1042" t="s">
        <v>236</v>
      </c>
      <c r="C397" s="1042" t="s">
        <v>268</v>
      </c>
      <c r="D397" s="1042" t="s">
        <v>210</v>
      </c>
      <c r="E397" s="1047" t="s">
        <v>144</v>
      </c>
      <c r="F397" s="1047" t="s">
        <v>39</v>
      </c>
      <c r="G397" s="1047" t="s">
        <v>39</v>
      </c>
      <c r="H397" s="1047">
        <v>102.125</v>
      </c>
      <c r="I397" s="1047">
        <v>2021</v>
      </c>
      <c r="J397" s="1047" t="s">
        <v>233</v>
      </c>
      <c r="K397" s="1047" t="s">
        <v>39</v>
      </c>
      <c r="L397" s="1042" t="s">
        <v>281</v>
      </c>
      <c r="M397" s="1042" t="s">
        <v>286</v>
      </c>
      <c r="N397" s="1050">
        <v>45371</v>
      </c>
    </row>
    <row r="398" spans="1:14">
      <c r="A398" s="1042" t="s">
        <v>231</v>
      </c>
      <c r="B398" s="1042" t="s">
        <v>236</v>
      </c>
      <c r="C398" s="1042" t="s">
        <v>268</v>
      </c>
      <c r="D398" s="1042" t="s">
        <v>210</v>
      </c>
      <c r="E398" s="1047" t="s">
        <v>46</v>
      </c>
      <c r="F398" s="1047" t="s">
        <v>39</v>
      </c>
      <c r="G398" s="1047" t="s">
        <v>39</v>
      </c>
      <c r="H398" s="1047">
        <v>103.69565217391303</v>
      </c>
      <c r="I398" s="1047">
        <v>2021</v>
      </c>
      <c r="J398" s="1047" t="s">
        <v>233</v>
      </c>
      <c r="K398" s="1047" t="s">
        <v>39</v>
      </c>
      <c r="L398" s="1042" t="s">
        <v>281</v>
      </c>
      <c r="M398" s="1042" t="s">
        <v>286</v>
      </c>
      <c r="N398" s="1050">
        <v>45371</v>
      </c>
    </row>
    <row r="399" spans="1:14">
      <c r="A399" s="1042" t="s">
        <v>231</v>
      </c>
      <c r="B399" s="1042" t="s">
        <v>236</v>
      </c>
      <c r="C399" s="1042" t="s">
        <v>268</v>
      </c>
      <c r="D399" s="1042" t="s">
        <v>210</v>
      </c>
      <c r="E399" s="1047" t="s">
        <v>50</v>
      </c>
      <c r="F399" s="1047" t="s">
        <v>39</v>
      </c>
      <c r="G399" s="1047" t="s">
        <v>39</v>
      </c>
      <c r="H399" s="1047">
        <v>100</v>
      </c>
      <c r="I399" s="1047">
        <v>2021</v>
      </c>
      <c r="J399" s="1047" t="s">
        <v>233</v>
      </c>
      <c r="K399" s="1047" t="s">
        <v>39</v>
      </c>
      <c r="L399" s="1042" t="s">
        <v>281</v>
      </c>
      <c r="M399" s="1042" t="s">
        <v>286</v>
      </c>
      <c r="N399" s="1050">
        <v>45371</v>
      </c>
    </row>
    <row r="400" spans="1:14">
      <c r="A400" s="1042" t="s">
        <v>231</v>
      </c>
      <c r="B400" s="1042" t="s">
        <v>236</v>
      </c>
      <c r="C400" s="1042" t="s">
        <v>269</v>
      </c>
      <c r="D400" s="1042" t="s">
        <v>211</v>
      </c>
      <c r="E400" s="1047" t="s">
        <v>144</v>
      </c>
      <c r="F400" s="1047" t="s">
        <v>39</v>
      </c>
      <c r="G400" s="1047" t="s">
        <v>39</v>
      </c>
      <c r="H400" s="1047">
        <v>99.756149303173032</v>
      </c>
      <c r="I400" s="1047">
        <v>2021</v>
      </c>
      <c r="J400" s="1047" t="s">
        <v>233</v>
      </c>
      <c r="K400" s="1047" t="s">
        <v>39</v>
      </c>
      <c r="L400" s="1042" t="s">
        <v>281</v>
      </c>
      <c r="M400" s="1042" t="s">
        <v>286</v>
      </c>
      <c r="N400" s="1050">
        <v>45371</v>
      </c>
    </row>
    <row r="401" spans="1:14">
      <c r="A401" s="1042" t="s">
        <v>231</v>
      </c>
      <c r="B401" s="1042" t="s">
        <v>236</v>
      </c>
      <c r="C401" s="1042" t="s">
        <v>269</v>
      </c>
      <c r="D401" s="1042" t="s">
        <v>211</v>
      </c>
      <c r="E401" s="1047" t="s">
        <v>55</v>
      </c>
      <c r="F401" s="1047" t="s">
        <v>39</v>
      </c>
      <c r="G401" s="1047" t="s">
        <v>39</v>
      </c>
      <c r="H401" s="1047">
        <v>100</v>
      </c>
      <c r="I401" s="1047">
        <v>2021</v>
      </c>
      <c r="J401" s="1047" t="s">
        <v>233</v>
      </c>
      <c r="K401" s="1047" t="s">
        <v>39</v>
      </c>
      <c r="L401" s="1042" t="s">
        <v>281</v>
      </c>
      <c r="M401" s="1042" t="s">
        <v>286</v>
      </c>
      <c r="N401" s="1050">
        <v>45371</v>
      </c>
    </row>
    <row r="402" spans="1:14">
      <c r="A402" s="1042" t="s">
        <v>231</v>
      </c>
      <c r="B402" s="1042" t="s">
        <v>236</v>
      </c>
      <c r="C402" s="1042" t="s">
        <v>269</v>
      </c>
      <c r="D402" s="1042" t="s">
        <v>211</v>
      </c>
      <c r="E402" s="1047" t="s">
        <v>44</v>
      </c>
      <c r="F402" s="1047" t="s">
        <v>39</v>
      </c>
      <c r="G402" s="1047" t="s">
        <v>39</v>
      </c>
      <c r="H402" s="1047">
        <v>36.258492405832918</v>
      </c>
      <c r="I402" s="1047">
        <v>2021</v>
      </c>
      <c r="J402" s="1047" t="s">
        <v>233</v>
      </c>
      <c r="K402" s="1047" t="s">
        <v>39</v>
      </c>
      <c r="L402" s="1042" t="s">
        <v>281</v>
      </c>
      <c r="M402" s="1042" t="s">
        <v>286</v>
      </c>
      <c r="N402" s="1050">
        <v>45371</v>
      </c>
    </row>
    <row r="403" spans="1:14">
      <c r="A403" s="1042" t="s">
        <v>231</v>
      </c>
      <c r="B403" s="1042" t="s">
        <v>236</v>
      </c>
      <c r="C403" s="1042" t="s">
        <v>269</v>
      </c>
      <c r="D403" s="1042" t="s">
        <v>211</v>
      </c>
      <c r="E403" s="1047" t="s">
        <v>45</v>
      </c>
      <c r="F403" s="1047" t="s">
        <v>39</v>
      </c>
      <c r="G403" s="1047" t="s">
        <v>39</v>
      </c>
      <c r="H403" s="1047">
        <v>105.77366188084143</v>
      </c>
      <c r="I403" s="1047">
        <v>2021</v>
      </c>
      <c r="J403" s="1047" t="s">
        <v>233</v>
      </c>
      <c r="K403" s="1047" t="s">
        <v>39</v>
      </c>
      <c r="L403" s="1042" t="s">
        <v>281</v>
      </c>
      <c r="M403" s="1042" t="s">
        <v>286</v>
      </c>
      <c r="N403" s="1050">
        <v>45371</v>
      </c>
    </row>
    <row r="404" spans="1:14">
      <c r="A404" s="1042" t="s">
        <v>231</v>
      </c>
      <c r="B404" s="1042" t="s">
        <v>236</v>
      </c>
      <c r="C404" s="1042" t="s">
        <v>269</v>
      </c>
      <c r="D404" s="1042" t="s">
        <v>211</v>
      </c>
      <c r="E404" s="1047" t="s">
        <v>56</v>
      </c>
      <c r="F404" s="1047" t="s">
        <v>39</v>
      </c>
      <c r="G404" s="1047" t="s">
        <v>39</v>
      </c>
      <c r="H404" s="1047">
        <v>68.913159193911511</v>
      </c>
      <c r="I404" s="1047">
        <v>2021</v>
      </c>
      <c r="J404" s="1047" t="s">
        <v>233</v>
      </c>
      <c r="K404" s="1047" t="s">
        <v>39</v>
      </c>
      <c r="L404" s="1042" t="s">
        <v>281</v>
      </c>
      <c r="M404" s="1042" t="s">
        <v>286</v>
      </c>
      <c r="N404" s="1050">
        <v>45371</v>
      </c>
    </row>
    <row r="405" spans="1:14">
      <c r="A405" s="1042" t="s">
        <v>231</v>
      </c>
      <c r="B405" s="1042" t="s">
        <v>236</v>
      </c>
      <c r="C405" s="1042" t="s">
        <v>270</v>
      </c>
      <c r="D405" s="1042" t="s">
        <v>212</v>
      </c>
      <c r="E405" s="1047" t="s">
        <v>144</v>
      </c>
      <c r="F405" s="1047" t="s">
        <v>39</v>
      </c>
      <c r="G405" s="1047" t="s">
        <v>39</v>
      </c>
      <c r="H405" s="1047">
        <v>111.66666666666667</v>
      </c>
      <c r="I405" s="1047">
        <v>2021</v>
      </c>
      <c r="J405" s="1047" t="s">
        <v>233</v>
      </c>
      <c r="K405" s="1047" t="s">
        <v>39</v>
      </c>
      <c r="L405" s="1042" t="s">
        <v>281</v>
      </c>
      <c r="M405" s="1042" t="s">
        <v>286</v>
      </c>
      <c r="N405" s="1050">
        <v>45371</v>
      </c>
    </row>
    <row r="406" spans="1:14">
      <c r="A406" s="1042" t="s">
        <v>231</v>
      </c>
      <c r="B406" s="1042" t="s">
        <v>236</v>
      </c>
      <c r="C406" s="1042" t="s">
        <v>270</v>
      </c>
      <c r="D406" s="1042" t="s">
        <v>213</v>
      </c>
      <c r="E406" s="1047" t="s">
        <v>144</v>
      </c>
      <c r="F406" s="1047" t="s">
        <v>39</v>
      </c>
      <c r="G406" s="1047" t="s">
        <v>39</v>
      </c>
      <c r="H406" s="1047">
        <v>110.03039513677813</v>
      </c>
      <c r="I406" s="1047">
        <v>2021</v>
      </c>
      <c r="J406" s="1047" t="s">
        <v>233</v>
      </c>
      <c r="K406" s="1047" t="s">
        <v>39</v>
      </c>
      <c r="L406" s="1042" t="s">
        <v>281</v>
      </c>
      <c r="M406" s="1042" t="s">
        <v>286</v>
      </c>
      <c r="N406" s="1050">
        <v>45371</v>
      </c>
    </row>
    <row r="407" spans="1:14">
      <c r="A407" s="1042" t="s">
        <v>231</v>
      </c>
      <c r="B407" s="1042" t="s">
        <v>236</v>
      </c>
      <c r="C407" s="1042" t="s">
        <v>270</v>
      </c>
      <c r="D407" s="1042" t="s">
        <v>213</v>
      </c>
      <c r="E407" s="1047" t="s">
        <v>61</v>
      </c>
      <c r="F407" s="1047" t="s">
        <v>39</v>
      </c>
      <c r="G407" s="1047" t="s">
        <v>39</v>
      </c>
      <c r="H407" s="1047">
        <v>86.623222748815166</v>
      </c>
      <c r="I407" s="1047">
        <v>2021</v>
      </c>
      <c r="J407" s="1047" t="s">
        <v>233</v>
      </c>
      <c r="K407" s="1047" t="s">
        <v>39</v>
      </c>
      <c r="L407" s="1042" t="s">
        <v>281</v>
      </c>
      <c r="M407" s="1042" t="s">
        <v>286</v>
      </c>
      <c r="N407" s="1050">
        <v>45371</v>
      </c>
    </row>
    <row r="408" spans="1:14">
      <c r="A408" s="1042" t="s">
        <v>231</v>
      </c>
      <c r="B408" s="1042" t="s">
        <v>248</v>
      </c>
      <c r="C408" s="1042" t="s">
        <v>267</v>
      </c>
      <c r="D408" s="1042" t="s">
        <v>220</v>
      </c>
      <c r="E408" s="1047" t="s">
        <v>144</v>
      </c>
      <c r="F408" s="1047" t="s">
        <v>39</v>
      </c>
      <c r="G408" s="1047" t="s">
        <v>39</v>
      </c>
      <c r="H408" s="1047">
        <v>133.33333333333331</v>
      </c>
      <c r="I408" s="1047">
        <v>2021</v>
      </c>
      <c r="J408" s="1047" t="s">
        <v>233</v>
      </c>
      <c r="K408" s="1047" t="s">
        <v>39</v>
      </c>
      <c r="L408" s="1042" t="s">
        <v>281</v>
      </c>
      <c r="M408" s="1042" t="s">
        <v>286</v>
      </c>
      <c r="N408" s="1050">
        <v>45371</v>
      </c>
    </row>
    <row r="409" spans="1:14">
      <c r="A409" s="1042" t="s">
        <v>231</v>
      </c>
      <c r="B409" s="1042" t="s">
        <v>248</v>
      </c>
      <c r="C409" s="1042" t="s">
        <v>267</v>
      </c>
      <c r="D409" s="1042" t="s">
        <v>220</v>
      </c>
      <c r="E409" s="1047" t="s">
        <v>37</v>
      </c>
      <c r="F409" s="1047" t="s">
        <v>39</v>
      </c>
      <c r="G409" s="1047" t="s">
        <v>39</v>
      </c>
      <c r="H409" s="1047">
        <v>100</v>
      </c>
      <c r="I409" s="1047">
        <v>2021</v>
      </c>
      <c r="J409" s="1047" t="s">
        <v>233</v>
      </c>
      <c r="K409" s="1047" t="s">
        <v>39</v>
      </c>
      <c r="L409" s="1042" t="s">
        <v>281</v>
      </c>
      <c r="M409" s="1042" t="s">
        <v>286</v>
      </c>
      <c r="N409" s="1050">
        <v>45371</v>
      </c>
    </row>
    <row r="410" spans="1:14">
      <c r="A410" s="1042" t="s">
        <v>231</v>
      </c>
      <c r="B410" s="1042" t="s">
        <v>248</v>
      </c>
      <c r="C410" s="1042" t="s">
        <v>267</v>
      </c>
      <c r="D410" s="1042" t="s">
        <v>220</v>
      </c>
      <c r="E410" s="1047" t="s">
        <v>40</v>
      </c>
      <c r="F410" s="1047" t="s">
        <v>39</v>
      </c>
      <c r="G410" s="1047" t="s">
        <v>39</v>
      </c>
      <c r="H410" s="1047">
        <v>100</v>
      </c>
      <c r="I410" s="1047">
        <v>2021</v>
      </c>
      <c r="J410" s="1047" t="s">
        <v>233</v>
      </c>
      <c r="K410" s="1047" t="s">
        <v>39</v>
      </c>
      <c r="L410" s="1042" t="s">
        <v>281</v>
      </c>
      <c r="M410" s="1042" t="s">
        <v>286</v>
      </c>
      <c r="N410" s="1050">
        <v>45371</v>
      </c>
    </row>
    <row r="411" spans="1:14">
      <c r="A411" s="1042" t="s">
        <v>231</v>
      </c>
      <c r="B411" s="1042" t="s">
        <v>248</v>
      </c>
      <c r="C411" s="1042" t="s">
        <v>268</v>
      </c>
      <c r="D411" s="1042" t="s">
        <v>221</v>
      </c>
      <c r="E411" s="1047" t="s">
        <v>144</v>
      </c>
      <c r="F411" s="1047" t="s">
        <v>39</v>
      </c>
      <c r="G411" s="1047" t="s">
        <v>39</v>
      </c>
      <c r="H411" s="1047">
        <v>110.5263157894737</v>
      </c>
      <c r="I411" s="1047">
        <v>2021</v>
      </c>
      <c r="J411" s="1047" t="s">
        <v>233</v>
      </c>
      <c r="K411" s="1047" t="s">
        <v>39</v>
      </c>
      <c r="L411" s="1042" t="s">
        <v>281</v>
      </c>
      <c r="M411" s="1042" t="s">
        <v>286</v>
      </c>
      <c r="N411" s="1050">
        <v>45371</v>
      </c>
    </row>
    <row r="412" spans="1:14">
      <c r="A412" s="1042" t="s">
        <v>231</v>
      </c>
      <c r="B412" s="1042" t="s">
        <v>248</v>
      </c>
      <c r="C412" s="1042" t="s">
        <v>268</v>
      </c>
      <c r="D412" s="1042" t="s">
        <v>221</v>
      </c>
      <c r="E412" s="1047" t="s">
        <v>75</v>
      </c>
      <c r="F412" s="1047" t="s">
        <v>39</v>
      </c>
      <c r="G412" s="1047" t="s">
        <v>39</v>
      </c>
      <c r="H412" s="1047">
        <v>120</v>
      </c>
      <c r="I412" s="1047">
        <v>2021</v>
      </c>
      <c r="J412" s="1047" t="s">
        <v>233</v>
      </c>
      <c r="K412" s="1047" t="s">
        <v>39</v>
      </c>
      <c r="L412" s="1042" t="s">
        <v>281</v>
      </c>
      <c r="M412" s="1042" t="s">
        <v>286</v>
      </c>
      <c r="N412" s="1050">
        <v>45371</v>
      </c>
    </row>
    <row r="413" spans="1:14">
      <c r="A413" s="1042" t="s">
        <v>231</v>
      </c>
      <c r="B413" s="1042" t="s">
        <v>248</v>
      </c>
      <c r="C413" s="1042" t="s">
        <v>268</v>
      </c>
      <c r="D413" s="1042" t="s">
        <v>221</v>
      </c>
      <c r="E413" s="1047" t="s">
        <v>76</v>
      </c>
      <c r="F413" s="1047" t="s">
        <v>39</v>
      </c>
      <c r="G413" s="1047" t="s">
        <v>39</v>
      </c>
      <c r="H413" s="1047">
        <v>100</v>
      </c>
      <c r="I413" s="1047">
        <v>2021</v>
      </c>
      <c r="J413" s="1047" t="s">
        <v>233</v>
      </c>
      <c r="K413" s="1047" t="s">
        <v>39</v>
      </c>
      <c r="L413" s="1042" t="s">
        <v>281</v>
      </c>
      <c r="M413" s="1042" t="s">
        <v>286</v>
      </c>
      <c r="N413" s="1050">
        <v>45371</v>
      </c>
    </row>
    <row r="414" spans="1:14">
      <c r="A414" s="1042" t="s">
        <v>231</v>
      </c>
      <c r="B414" s="1042" t="s">
        <v>241</v>
      </c>
      <c r="C414" s="1042" t="s">
        <v>271</v>
      </c>
      <c r="D414" s="1042" t="s">
        <v>214</v>
      </c>
      <c r="E414" s="1047" t="s">
        <v>144</v>
      </c>
      <c r="F414" s="1047" t="s">
        <v>39</v>
      </c>
      <c r="G414" s="1047" t="s">
        <v>39</v>
      </c>
      <c r="H414" s="1047">
        <v>67.5</v>
      </c>
      <c r="I414" s="1047">
        <v>2021</v>
      </c>
      <c r="J414" s="1047" t="s">
        <v>233</v>
      </c>
      <c r="K414" s="1047" t="s">
        <v>39</v>
      </c>
      <c r="L414" s="1042" t="s">
        <v>281</v>
      </c>
      <c r="M414" s="1042" t="s">
        <v>286</v>
      </c>
      <c r="N414" s="1050">
        <v>45371</v>
      </c>
    </row>
    <row r="415" spans="1:14">
      <c r="A415" s="1042" t="s">
        <v>231</v>
      </c>
      <c r="B415" s="1042" t="s">
        <v>241</v>
      </c>
      <c r="C415" s="1042" t="s">
        <v>272</v>
      </c>
      <c r="D415" s="1042" t="s">
        <v>215</v>
      </c>
      <c r="E415" s="1047" t="s">
        <v>144</v>
      </c>
      <c r="F415" s="1047" t="s">
        <v>39</v>
      </c>
      <c r="G415" s="1047" t="s">
        <v>39</v>
      </c>
      <c r="H415" s="1047">
        <v>112.9496402877698</v>
      </c>
      <c r="I415" s="1047">
        <v>2021</v>
      </c>
      <c r="J415" s="1047" t="s">
        <v>233</v>
      </c>
      <c r="K415" s="1047" t="s">
        <v>39</v>
      </c>
      <c r="L415" s="1042" t="s">
        <v>281</v>
      </c>
      <c r="M415" s="1042" t="s">
        <v>286</v>
      </c>
      <c r="N415" s="1050">
        <v>45371</v>
      </c>
    </row>
    <row r="416" spans="1:14">
      <c r="A416" s="1042" t="s">
        <v>231</v>
      </c>
      <c r="B416" s="1042" t="s">
        <v>241</v>
      </c>
      <c r="C416" s="1042" t="s">
        <v>273</v>
      </c>
      <c r="D416" s="1042" t="s">
        <v>216</v>
      </c>
      <c r="E416" s="1047" t="s">
        <v>144</v>
      </c>
      <c r="F416" s="1047" t="s">
        <v>39</v>
      </c>
      <c r="G416" s="1047" t="s">
        <v>39</v>
      </c>
      <c r="H416" s="1047">
        <v>111.00000000000001</v>
      </c>
      <c r="I416" s="1047">
        <v>2021</v>
      </c>
      <c r="J416" s="1047" t="s">
        <v>233</v>
      </c>
      <c r="K416" s="1047" t="s">
        <v>39</v>
      </c>
      <c r="L416" s="1042" t="s">
        <v>281</v>
      </c>
      <c r="M416" s="1042" t="s">
        <v>286</v>
      </c>
      <c r="N416" s="1050">
        <v>45371</v>
      </c>
    </row>
    <row r="417" spans="1:14">
      <c r="A417" s="1042" t="s">
        <v>231</v>
      </c>
      <c r="B417" s="1042" t="s">
        <v>241</v>
      </c>
      <c r="C417" s="1042" t="s">
        <v>277</v>
      </c>
      <c r="D417" s="1042" t="s">
        <v>222</v>
      </c>
      <c r="E417" s="1047" t="s">
        <v>144</v>
      </c>
      <c r="F417" s="1047" t="s">
        <v>39</v>
      </c>
      <c r="G417" s="1047" t="s">
        <v>39</v>
      </c>
      <c r="H417" s="1047">
        <v>173.01587301587301</v>
      </c>
      <c r="I417" s="1047">
        <v>2021</v>
      </c>
      <c r="J417" s="1047" t="s">
        <v>233</v>
      </c>
      <c r="K417" s="1047" t="s">
        <v>39</v>
      </c>
      <c r="L417" s="1042" t="s">
        <v>281</v>
      </c>
      <c r="M417" s="1042" t="s">
        <v>286</v>
      </c>
      <c r="N417" s="1050">
        <v>45371</v>
      </c>
    </row>
    <row r="418" spans="1:14">
      <c r="A418" s="1042" t="s">
        <v>231</v>
      </c>
      <c r="B418" s="1042" t="s">
        <v>241</v>
      </c>
      <c r="C418" s="1042" t="s">
        <v>277</v>
      </c>
      <c r="D418" s="1042" t="s">
        <v>222</v>
      </c>
      <c r="E418" s="1047" t="s">
        <v>92</v>
      </c>
      <c r="F418" s="1047" t="s">
        <v>39</v>
      </c>
      <c r="G418" s="1047" t="s">
        <v>39</v>
      </c>
      <c r="H418" s="1047">
        <v>173.01587301587301</v>
      </c>
      <c r="I418" s="1047">
        <v>2021</v>
      </c>
      <c r="J418" s="1047" t="s">
        <v>233</v>
      </c>
      <c r="K418" s="1047" t="s">
        <v>39</v>
      </c>
      <c r="L418" s="1042" t="s">
        <v>281</v>
      </c>
      <c r="M418" s="1042" t="s">
        <v>286</v>
      </c>
      <c r="N418" s="1050">
        <v>45371</v>
      </c>
    </row>
    <row r="419" spans="1:14">
      <c r="A419" s="1042" t="s">
        <v>231</v>
      </c>
      <c r="B419" s="1042" t="s">
        <v>241</v>
      </c>
      <c r="C419" s="1042" t="s">
        <v>274</v>
      </c>
      <c r="D419" s="1042" t="s">
        <v>217</v>
      </c>
      <c r="E419" s="1047" t="s">
        <v>144</v>
      </c>
      <c r="F419" s="1047" t="s">
        <v>39</v>
      </c>
      <c r="G419" s="1047" t="s">
        <v>39</v>
      </c>
      <c r="H419" s="1047">
        <v>100</v>
      </c>
      <c r="I419" s="1047">
        <v>2021</v>
      </c>
      <c r="J419" s="1047" t="s">
        <v>233</v>
      </c>
      <c r="K419" s="1047" t="s">
        <v>39</v>
      </c>
      <c r="L419" s="1042" t="s">
        <v>281</v>
      </c>
      <c r="M419" s="1042" t="s">
        <v>286</v>
      </c>
      <c r="N419" s="1050">
        <v>45371</v>
      </c>
    </row>
    <row r="420" spans="1:14">
      <c r="A420" s="1042" t="s">
        <v>231</v>
      </c>
      <c r="B420" s="1042" t="s">
        <v>241</v>
      </c>
      <c r="C420" s="1042" t="s">
        <v>275</v>
      </c>
      <c r="D420" s="1042" t="s">
        <v>218</v>
      </c>
      <c r="E420" s="1047" t="s">
        <v>144</v>
      </c>
      <c r="F420" s="1047" t="s">
        <v>39</v>
      </c>
      <c r="G420" s="1047" t="s">
        <v>39</v>
      </c>
      <c r="H420" s="1047">
        <v>104</v>
      </c>
      <c r="I420" s="1047">
        <v>2021</v>
      </c>
      <c r="J420" s="1047" t="s">
        <v>233</v>
      </c>
      <c r="K420" s="1047" t="s">
        <v>39</v>
      </c>
      <c r="L420" s="1042" t="s">
        <v>281</v>
      </c>
      <c r="M420" s="1042" t="s">
        <v>286</v>
      </c>
      <c r="N420" s="1050">
        <v>45371</v>
      </c>
    </row>
    <row r="421" spans="1:14">
      <c r="A421" s="1042" t="s">
        <v>231</v>
      </c>
      <c r="B421" s="1042" t="s">
        <v>241</v>
      </c>
      <c r="C421" s="1042" t="s">
        <v>278</v>
      </c>
      <c r="D421" s="1042" t="s">
        <v>223</v>
      </c>
      <c r="E421" s="1047" t="s">
        <v>144</v>
      </c>
      <c r="F421" s="1047" t="s">
        <v>39</v>
      </c>
      <c r="G421" s="1047" t="s">
        <v>39</v>
      </c>
      <c r="H421" s="1047">
        <v>111.69064748201438</v>
      </c>
      <c r="I421" s="1047">
        <v>2021</v>
      </c>
      <c r="J421" s="1047" t="s">
        <v>233</v>
      </c>
      <c r="K421" s="1047" t="s">
        <v>39</v>
      </c>
      <c r="L421" s="1042" t="s">
        <v>281</v>
      </c>
      <c r="M421" s="1042" t="s">
        <v>286</v>
      </c>
      <c r="N421" s="1050">
        <v>45371</v>
      </c>
    </row>
    <row r="422" spans="1:14">
      <c r="A422" s="1042" t="s">
        <v>231</v>
      </c>
      <c r="B422" s="1042" t="s">
        <v>241</v>
      </c>
      <c r="C422" s="1042" t="s">
        <v>278</v>
      </c>
      <c r="D422" s="1042" t="s">
        <v>223</v>
      </c>
      <c r="E422" s="1047" t="s">
        <v>92</v>
      </c>
      <c r="F422" s="1047" t="s">
        <v>39</v>
      </c>
      <c r="G422" s="1047" t="s">
        <v>39</v>
      </c>
      <c r="H422" s="1047">
        <v>122.09302325581395</v>
      </c>
      <c r="I422" s="1047">
        <v>2021</v>
      </c>
      <c r="J422" s="1047" t="s">
        <v>233</v>
      </c>
      <c r="K422" s="1047" t="s">
        <v>39</v>
      </c>
      <c r="L422" s="1042" t="s">
        <v>281</v>
      </c>
      <c r="M422" s="1042" t="s">
        <v>286</v>
      </c>
      <c r="N422" s="1050">
        <v>45371</v>
      </c>
    </row>
    <row r="423" spans="1:14">
      <c r="A423" s="1042" t="s">
        <v>231</v>
      </c>
      <c r="B423" s="1042" t="s">
        <v>241</v>
      </c>
      <c r="C423" s="1042" t="s">
        <v>278</v>
      </c>
      <c r="D423" s="1042" t="s">
        <v>223</v>
      </c>
      <c r="E423" s="1047" t="s">
        <v>46</v>
      </c>
      <c r="F423" s="1047" t="s">
        <v>39</v>
      </c>
      <c r="G423" s="1047" t="s">
        <v>39</v>
      </c>
      <c r="H423" s="1047">
        <v>76.19047619047619</v>
      </c>
      <c r="I423" s="1047">
        <v>2021</v>
      </c>
      <c r="J423" s="1047" t="s">
        <v>233</v>
      </c>
      <c r="K423" s="1047" t="s">
        <v>39</v>
      </c>
      <c r="L423" s="1042" t="s">
        <v>281</v>
      </c>
      <c r="M423" s="1042" t="s">
        <v>286</v>
      </c>
      <c r="N423" s="1050">
        <v>45371</v>
      </c>
    </row>
    <row r="424" spans="1:14">
      <c r="A424" s="1042" t="s">
        <v>231</v>
      </c>
      <c r="B424" s="1042" t="s">
        <v>232</v>
      </c>
      <c r="C424" s="1042" t="s">
        <v>265</v>
      </c>
      <c r="D424" s="1049" t="s">
        <v>207</v>
      </c>
      <c r="E424" s="1047" t="s">
        <v>144</v>
      </c>
      <c r="F424" s="1047" t="s">
        <v>39</v>
      </c>
      <c r="G424" s="1047" t="s">
        <v>39</v>
      </c>
      <c r="H424" s="1047">
        <v>164.3550935509586</v>
      </c>
      <c r="I424" s="1047">
        <v>2022</v>
      </c>
      <c r="J424" s="1047" t="s">
        <v>233</v>
      </c>
      <c r="K424" s="1047" t="s">
        <v>39</v>
      </c>
      <c r="L424" s="1042" t="s">
        <v>281</v>
      </c>
      <c r="M424" s="1042" t="s">
        <v>286</v>
      </c>
      <c r="N424" s="1050">
        <v>45371</v>
      </c>
    </row>
    <row r="425" spans="1:14">
      <c r="A425" s="1042" t="s">
        <v>231</v>
      </c>
      <c r="B425" s="1042" t="s">
        <v>232</v>
      </c>
      <c r="C425" s="1042" t="s">
        <v>266</v>
      </c>
      <c r="D425" s="1049" t="s">
        <v>208</v>
      </c>
      <c r="E425" s="1047" t="s">
        <v>144</v>
      </c>
      <c r="F425" s="1047" t="s">
        <v>39</v>
      </c>
      <c r="G425" s="1047" t="s">
        <v>39</v>
      </c>
      <c r="H425" s="1047">
        <v>179.58099538063954</v>
      </c>
      <c r="I425" s="1047">
        <v>2022</v>
      </c>
      <c r="J425" s="1047" t="s">
        <v>233</v>
      </c>
      <c r="K425" s="1047" t="s">
        <v>39</v>
      </c>
      <c r="L425" s="1042" t="s">
        <v>281</v>
      </c>
      <c r="M425" s="1042" t="s">
        <v>286</v>
      </c>
      <c r="N425" s="1050">
        <v>45371</v>
      </c>
    </row>
    <row r="426" spans="1:14">
      <c r="A426" s="1042" t="s">
        <v>231</v>
      </c>
      <c r="B426" s="1042" t="s">
        <v>236</v>
      </c>
      <c r="C426" s="1042" t="s">
        <v>267</v>
      </c>
      <c r="D426" s="1042" t="s">
        <v>209</v>
      </c>
      <c r="E426" s="1047" t="s">
        <v>144</v>
      </c>
      <c r="F426" s="1047" t="s">
        <v>39</v>
      </c>
      <c r="G426" s="1047" t="s">
        <v>39</v>
      </c>
      <c r="H426" s="1047">
        <v>0</v>
      </c>
      <c r="I426" s="1047">
        <v>2022</v>
      </c>
      <c r="J426" s="1047" t="s">
        <v>233</v>
      </c>
      <c r="K426" s="1047" t="s">
        <v>39</v>
      </c>
      <c r="L426" s="1042" t="s">
        <v>281</v>
      </c>
      <c r="M426" s="1042" t="s">
        <v>286</v>
      </c>
      <c r="N426" s="1050">
        <v>45371</v>
      </c>
    </row>
    <row r="427" spans="1:14">
      <c r="A427" s="1042" t="s">
        <v>231</v>
      </c>
      <c r="B427" s="1042" t="s">
        <v>236</v>
      </c>
      <c r="C427" s="1042" t="s">
        <v>267</v>
      </c>
      <c r="D427" s="1042" t="s">
        <v>209</v>
      </c>
      <c r="E427" s="1047" t="s">
        <v>37</v>
      </c>
      <c r="F427" s="1047" t="s">
        <v>39</v>
      </c>
      <c r="G427" s="1047" t="s">
        <v>39</v>
      </c>
      <c r="H427" s="1047">
        <v>100.98360655737706</v>
      </c>
      <c r="I427" s="1047">
        <v>2022</v>
      </c>
      <c r="J427" s="1047" t="s">
        <v>233</v>
      </c>
      <c r="K427" s="1047" t="s">
        <v>39</v>
      </c>
      <c r="L427" s="1042" t="s">
        <v>281</v>
      </c>
      <c r="M427" s="1042" t="s">
        <v>286</v>
      </c>
      <c r="N427" s="1050">
        <v>45371</v>
      </c>
    </row>
    <row r="428" spans="1:14">
      <c r="A428" s="1042" t="s">
        <v>231</v>
      </c>
      <c r="B428" s="1042" t="s">
        <v>236</v>
      </c>
      <c r="C428" s="1042" t="s">
        <v>267</v>
      </c>
      <c r="D428" s="1042" t="s">
        <v>209</v>
      </c>
      <c r="E428" s="1047" t="s">
        <v>40</v>
      </c>
      <c r="F428" s="1047" t="s">
        <v>39</v>
      </c>
      <c r="G428" s="1047" t="s">
        <v>39</v>
      </c>
      <c r="H428" s="1047">
        <v>570</v>
      </c>
      <c r="I428" s="1047">
        <v>2022</v>
      </c>
      <c r="J428" s="1047" t="s">
        <v>233</v>
      </c>
      <c r="K428" s="1047" t="s">
        <v>39</v>
      </c>
      <c r="L428" s="1042" t="s">
        <v>281</v>
      </c>
      <c r="M428" s="1042" t="s">
        <v>286</v>
      </c>
      <c r="N428" s="1050">
        <v>45371</v>
      </c>
    </row>
    <row r="429" spans="1:14">
      <c r="A429" s="1042" t="s">
        <v>231</v>
      </c>
      <c r="B429" s="1042" t="s">
        <v>236</v>
      </c>
      <c r="C429" s="1042" t="s">
        <v>276</v>
      </c>
      <c r="D429" s="1042" t="s">
        <v>219</v>
      </c>
      <c r="E429" s="1047" t="s">
        <v>144</v>
      </c>
      <c r="F429" s="1047" t="s">
        <v>39</v>
      </c>
      <c r="G429" s="1047" t="s">
        <v>39</v>
      </c>
      <c r="H429" s="1047">
        <v>167.74999999999997</v>
      </c>
      <c r="I429" s="1047">
        <v>2022</v>
      </c>
      <c r="J429" s="1047" t="s">
        <v>233</v>
      </c>
      <c r="K429" s="1047" t="s">
        <v>39</v>
      </c>
      <c r="L429" s="1042" t="s">
        <v>281</v>
      </c>
      <c r="M429" s="1042" t="s">
        <v>286</v>
      </c>
      <c r="N429" s="1050">
        <v>45371</v>
      </c>
    </row>
    <row r="430" spans="1:14">
      <c r="A430" s="1042" t="s">
        <v>231</v>
      </c>
      <c r="B430" s="1042" t="s">
        <v>236</v>
      </c>
      <c r="C430" s="1042" t="s">
        <v>276</v>
      </c>
      <c r="D430" s="1042" t="s">
        <v>219</v>
      </c>
      <c r="E430" s="1047" t="s">
        <v>43</v>
      </c>
      <c r="F430" s="1047" t="s">
        <v>39</v>
      </c>
      <c r="G430" s="1047" t="s">
        <v>39</v>
      </c>
      <c r="H430" s="1047">
        <v>100</v>
      </c>
      <c r="I430" s="1047">
        <v>2022</v>
      </c>
      <c r="J430" s="1047" t="s">
        <v>233</v>
      </c>
      <c r="K430" s="1047" t="s">
        <v>39</v>
      </c>
      <c r="L430" s="1042" t="s">
        <v>281</v>
      </c>
      <c r="M430" s="1042" t="s">
        <v>286</v>
      </c>
      <c r="N430" s="1050">
        <v>45371</v>
      </c>
    </row>
    <row r="431" spans="1:14">
      <c r="A431" s="1042" t="s">
        <v>231</v>
      </c>
      <c r="B431" s="1042" t="s">
        <v>236</v>
      </c>
      <c r="C431" s="1042" t="s">
        <v>276</v>
      </c>
      <c r="D431" s="1042" t="s">
        <v>219</v>
      </c>
      <c r="E431" s="1047" t="s">
        <v>45</v>
      </c>
      <c r="F431" s="1047" t="s">
        <v>39</v>
      </c>
      <c r="G431" s="1047" t="s">
        <v>39</v>
      </c>
      <c r="H431" s="1047">
        <v>100</v>
      </c>
      <c r="I431" s="1047">
        <v>2022</v>
      </c>
      <c r="J431" s="1047" t="s">
        <v>233</v>
      </c>
      <c r="K431" s="1047" t="s">
        <v>39</v>
      </c>
      <c r="L431" s="1042" t="s">
        <v>281</v>
      </c>
      <c r="M431" s="1042" t="s">
        <v>286</v>
      </c>
      <c r="N431" s="1050">
        <v>45371</v>
      </c>
    </row>
    <row r="432" spans="1:14">
      <c r="A432" s="1042" t="s">
        <v>231</v>
      </c>
      <c r="B432" s="1042" t="s">
        <v>236</v>
      </c>
      <c r="C432" s="1042" t="s">
        <v>276</v>
      </c>
      <c r="D432" s="1042" t="s">
        <v>219</v>
      </c>
      <c r="E432" s="1047" t="s">
        <v>50</v>
      </c>
      <c r="F432" s="1047" t="s">
        <v>39</v>
      </c>
      <c r="G432" s="1047" t="s">
        <v>39</v>
      </c>
      <c r="H432" s="1047">
        <v>88.125</v>
      </c>
      <c r="I432" s="1047">
        <v>2022</v>
      </c>
      <c r="J432" s="1047" t="s">
        <v>233</v>
      </c>
      <c r="K432" s="1047" t="s">
        <v>39</v>
      </c>
      <c r="L432" s="1042" t="s">
        <v>281</v>
      </c>
      <c r="M432" s="1042" t="s">
        <v>286</v>
      </c>
      <c r="N432" s="1050">
        <v>45371</v>
      </c>
    </row>
    <row r="433" spans="1:14">
      <c r="A433" s="1042" t="s">
        <v>231</v>
      </c>
      <c r="B433" s="1042" t="s">
        <v>236</v>
      </c>
      <c r="C433" s="1042" t="s">
        <v>268</v>
      </c>
      <c r="D433" s="1042" t="s">
        <v>210</v>
      </c>
      <c r="E433" s="1047" t="s">
        <v>144</v>
      </c>
      <c r="F433" s="1047" t="s">
        <v>39</v>
      </c>
      <c r="G433" s="1047" t="s">
        <v>39</v>
      </c>
      <c r="H433" s="1047">
        <v>74.583333333333329</v>
      </c>
      <c r="I433" s="1047">
        <v>2022</v>
      </c>
      <c r="J433" s="1047" t="s">
        <v>233</v>
      </c>
      <c r="K433" s="1047" t="s">
        <v>39</v>
      </c>
      <c r="L433" s="1042" t="s">
        <v>281</v>
      </c>
      <c r="M433" s="1042" t="s">
        <v>286</v>
      </c>
      <c r="N433" s="1050">
        <v>45371</v>
      </c>
    </row>
    <row r="434" spans="1:14">
      <c r="A434" s="1042" t="s">
        <v>231</v>
      </c>
      <c r="B434" s="1042" t="s">
        <v>236</v>
      </c>
      <c r="C434" s="1042" t="s">
        <v>268</v>
      </c>
      <c r="D434" s="1042" t="s">
        <v>210</v>
      </c>
      <c r="E434" s="1047" t="s">
        <v>46</v>
      </c>
      <c r="F434" s="1047" t="s">
        <v>39</v>
      </c>
      <c r="G434" s="1047" t="s">
        <v>39</v>
      </c>
      <c r="H434" s="1047">
        <v>74.583333333333329</v>
      </c>
      <c r="I434" s="1047">
        <v>2022</v>
      </c>
      <c r="J434" s="1047" t="s">
        <v>233</v>
      </c>
      <c r="K434" s="1047" t="s">
        <v>39</v>
      </c>
      <c r="L434" s="1042" t="s">
        <v>281</v>
      </c>
      <c r="M434" s="1042" t="s">
        <v>286</v>
      </c>
      <c r="N434" s="1050">
        <v>45371</v>
      </c>
    </row>
    <row r="435" spans="1:14">
      <c r="A435" s="1042" t="s">
        <v>231</v>
      </c>
      <c r="B435" s="1042" t="s">
        <v>236</v>
      </c>
      <c r="C435" s="1042" t="s">
        <v>269</v>
      </c>
      <c r="D435" s="1042" t="s">
        <v>211</v>
      </c>
      <c r="E435" s="1047" t="s">
        <v>144</v>
      </c>
      <c r="F435" s="1047" t="s">
        <v>39</v>
      </c>
      <c r="G435" s="1047" t="s">
        <v>39</v>
      </c>
      <c r="H435" s="1047">
        <v>109.28697719483451</v>
      </c>
      <c r="I435" s="1047">
        <v>2022</v>
      </c>
      <c r="J435" s="1047" t="s">
        <v>233</v>
      </c>
      <c r="K435" s="1047" t="s">
        <v>39</v>
      </c>
      <c r="L435" s="1042" t="s">
        <v>281</v>
      </c>
      <c r="M435" s="1042" t="s">
        <v>286</v>
      </c>
      <c r="N435" s="1050">
        <v>45371</v>
      </c>
    </row>
    <row r="436" spans="1:14">
      <c r="A436" s="1042" t="s">
        <v>231</v>
      </c>
      <c r="B436" s="1042" t="s">
        <v>236</v>
      </c>
      <c r="C436" s="1042" t="s">
        <v>269</v>
      </c>
      <c r="D436" s="1042" t="s">
        <v>211</v>
      </c>
      <c r="E436" s="1047" t="s">
        <v>55</v>
      </c>
      <c r="F436" s="1047" t="s">
        <v>39</v>
      </c>
      <c r="G436" s="1047" t="s">
        <v>39</v>
      </c>
      <c r="H436" s="1047">
        <v>65.181484914306225</v>
      </c>
      <c r="I436" s="1047">
        <v>2022</v>
      </c>
      <c r="J436" s="1047" t="s">
        <v>233</v>
      </c>
      <c r="K436" s="1047" t="s">
        <v>39</v>
      </c>
      <c r="L436" s="1042" t="s">
        <v>281</v>
      </c>
      <c r="M436" s="1042" t="s">
        <v>286</v>
      </c>
      <c r="N436" s="1050">
        <v>45371</v>
      </c>
    </row>
    <row r="437" spans="1:14">
      <c r="A437" s="1042" t="s">
        <v>231</v>
      </c>
      <c r="B437" s="1042" t="s">
        <v>236</v>
      </c>
      <c r="C437" s="1042" t="s">
        <v>269</v>
      </c>
      <c r="D437" s="1042" t="s">
        <v>211</v>
      </c>
      <c r="E437" s="1047" t="s">
        <v>44</v>
      </c>
      <c r="F437" s="1047" t="s">
        <v>39</v>
      </c>
      <c r="G437" s="1047" t="s">
        <v>39</v>
      </c>
      <c r="H437" s="1047">
        <v>103.05415611111111</v>
      </c>
      <c r="I437" s="1047">
        <v>2022</v>
      </c>
      <c r="J437" s="1047" t="s">
        <v>233</v>
      </c>
      <c r="K437" s="1047" t="s">
        <v>39</v>
      </c>
      <c r="L437" s="1042" t="s">
        <v>281</v>
      </c>
      <c r="M437" s="1042" t="s">
        <v>286</v>
      </c>
      <c r="N437" s="1050">
        <v>45371</v>
      </c>
    </row>
    <row r="438" spans="1:14">
      <c r="A438" s="1042" t="s">
        <v>231</v>
      </c>
      <c r="B438" s="1042" t="s">
        <v>236</v>
      </c>
      <c r="C438" s="1042" t="s">
        <v>269</v>
      </c>
      <c r="D438" s="1042" t="s">
        <v>211</v>
      </c>
      <c r="E438" s="1047" t="s">
        <v>45</v>
      </c>
      <c r="F438" s="1047" t="s">
        <v>39</v>
      </c>
      <c r="G438" s="1047" t="s">
        <v>39</v>
      </c>
      <c r="H438" s="1047">
        <v>103.90853999424149</v>
      </c>
      <c r="I438" s="1047">
        <v>2022</v>
      </c>
      <c r="J438" s="1047" t="s">
        <v>233</v>
      </c>
      <c r="K438" s="1047" t="s">
        <v>39</v>
      </c>
      <c r="L438" s="1042" t="s">
        <v>281</v>
      </c>
      <c r="M438" s="1042" t="s">
        <v>286</v>
      </c>
      <c r="N438" s="1050">
        <v>45371</v>
      </c>
    </row>
    <row r="439" spans="1:14">
      <c r="A439" s="1042" t="s">
        <v>231</v>
      </c>
      <c r="B439" s="1042" t="s">
        <v>236</v>
      </c>
      <c r="C439" s="1042" t="s">
        <v>269</v>
      </c>
      <c r="D439" s="1042" t="s">
        <v>211</v>
      </c>
      <c r="E439" s="1047" t="s">
        <v>56</v>
      </c>
      <c r="F439" s="1047" t="s">
        <v>39</v>
      </c>
      <c r="G439" s="1047" t="s">
        <v>39</v>
      </c>
      <c r="H439" s="1047">
        <v>181.72503875057359</v>
      </c>
      <c r="I439" s="1047">
        <v>2022</v>
      </c>
      <c r="J439" s="1047" t="s">
        <v>233</v>
      </c>
      <c r="K439" s="1047" t="s">
        <v>39</v>
      </c>
      <c r="L439" s="1042" t="s">
        <v>281</v>
      </c>
      <c r="M439" s="1042" t="s">
        <v>286</v>
      </c>
      <c r="N439" s="1050">
        <v>45371</v>
      </c>
    </row>
    <row r="440" spans="1:14">
      <c r="A440" s="1042" t="s">
        <v>231</v>
      </c>
      <c r="B440" s="1042" t="s">
        <v>236</v>
      </c>
      <c r="C440" s="1042" t="s">
        <v>270</v>
      </c>
      <c r="D440" s="1042" t="s">
        <v>212</v>
      </c>
      <c r="E440" s="1047" t="s">
        <v>144</v>
      </c>
      <c r="F440" s="1047" t="s">
        <v>39</v>
      </c>
      <c r="G440" s="1047" t="s">
        <v>39</v>
      </c>
      <c r="H440" s="1047">
        <v>107.3015873015873</v>
      </c>
      <c r="I440" s="1047">
        <v>2022</v>
      </c>
      <c r="J440" s="1047" t="s">
        <v>233</v>
      </c>
      <c r="K440" s="1047" t="s">
        <v>39</v>
      </c>
      <c r="L440" s="1042" t="s">
        <v>281</v>
      </c>
      <c r="M440" s="1042" t="s">
        <v>286</v>
      </c>
      <c r="N440" s="1050">
        <v>45371</v>
      </c>
    </row>
    <row r="441" spans="1:14">
      <c r="A441" s="1042" t="s">
        <v>231</v>
      </c>
      <c r="B441" s="1042" t="s">
        <v>236</v>
      </c>
      <c r="C441" s="1042" t="s">
        <v>270</v>
      </c>
      <c r="D441" s="1042" t="s">
        <v>212</v>
      </c>
      <c r="E441" s="1047" t="s">
        <v>59</v>
      </c>
      <c r="F441" s="1047" t="s">
        <v>39</v>
      </c>
      <c r="G441" s="1047" t="s">
        <v>39</v>
      </c>
      <c r="H441" s="1047">
        <v>77.5</v>
      </c>
      <c r="I441" s="1047">
        <v>2022</v>
      </c>
      <c r="J441" s="1047" t="s">
        <v>233</v>
      </c>
      <c r="K441" s="1047" t="s">
        <v>39</v>
      </c>
      <c r="L441" s="1042" t="s">
        <v>281</v>
      </c>
      <c r="M441" s="1042" t="s">
        <v>286</v>
      </c>
      <c r="N441" s="1050">
        <v>45371</v>
      </c>
    </row>
    <row r="442" spans="1:14">
      <c r="A442" s="1042" t="s">
        <v>231</v>
      </c>
      <c r="B442" s="1042" t="s">
        <v>236</v>
      </c>
      <c r="C442" s="1042" t="s">
        <v>270</v>
      </c>
      <c r="D442" s="1042" t="s">
        <v>213</v>
      </c>
      <c r="E442" s="1047" t="s">
        <v>144</v>
      </c>
      <c r="F442" s="1047" t="s">
        <v>39</v>
      </c>
      <c r="G442" s="1047" t="s">
        <v>39</v>
      </c>
      <c r="H442" s="1047">
        <v>82.167042889390515</v>
      </c>
      <c r="I442" s="1047">
        <v>2022</v>
      </c>
      <c r="J442" s="1047" t="s">
        <v>233</v>
      </c>
      <c r="K442" s="1047" t="s">
        <v>39</v>
      </c>
      <c r="L442" s="1042" t="s">
        <v>281</v>
      </c>
      <c r="M442" s="1042" t="s">
        <v>286</v>
      </c>
      <c r="N442" s="1050">
        <v>45371</v>
      </c>
    </row>
    <row r="443" spans="1:14">
      <c r="A443" s="1042" t="s">
        <v>231</v>
      </c>
      <c r="B443" s="1042" t="s">
        <v>236</v>
      </c>
      <c r="C443" s="1042" t="s">
        <v>270</v>
      </c>
      <c r="D443" s="1042" t="s">
        <v>213</v>
      </c>
      <c r="E443" s="1047" t="s">
        <v>61</v>
      </c>
      <c r="F443" s="1047" t="s">
        <v>39</v>
      </c>
      <c r="G443" s="1047" t="s">
        <v>39</v>
      </c>
      <c r="H443" s="1047">
        <v>0</v>
      </c>
      <c r="I443" s="1047">
        <v>2022</v>
      </c>
      <c r="J443" s="1047" t="s">
        <v>233</v>
      </c>
      <c r="K443" s="1047" t="s">
        <v>39</v>
      </c>
      <c r="L443" s="1042" t="s">
        <v>281</v>
      </c>
      <c r="M443" s="1042" t="s">
        <v>286</v>
      </c>
      <c r="N443" s="1050">
        <v>45371</v>
      </c>
    </row>
    <row r="444" spans="1:14">
      <c r="A444" s="1042" t="s">
        <v>231</v>
      </c>
      <c r="B444" s="1042" t="s">
        <v>248</v>
      </c>
      <c r="C444" s="1042" t="s">
        <v>267</v>
      </c>
      <c r="D444" s="1042" t="s">
        <v>220</v>
      </c>
      <c r="E444" s="1047" t="s">
        <v>144</v>
      </c>
      <c r="F444" s="1047" t="s">
        <v>39</v>
      </c>
      <c r="G444" s="1047" t="s">
        <v>39</v>
      </c>
      <c r="H444" s="1047">
        <v>50</v>
      </c>
      <c r="I444" s="1047">
        <v>2022</v>
      </c>
      <c r="J444" s="1047" t="s">
        <v>233</v>
      </c>
      <c r="K444" s="1047" t="s">
        <v>39</v>
      </c>
      <c r="L444" s="1042" t="s">
        <v>281</v>
      </c>
      <c r="M444" s="1042" t="s">
        <v>286</v>
      </c>
      <c r="N444" s="1050">
        <v>45371</v>
      </c>
    </row>
    <row r="445" spans="1:14">
      <c r="A445" s="1042" t="s">
        <v>231</v>
      </c>
      <c r="B445" s="1042" t="s">
        <v>248</v>
      </c>
      <c r="C445" s="1042" t="s">
        <v>267</v>
      </c>
      <c r="D445" s="1042" t="s">
        <v>220</v>
      </c>
      <c r="E445" s="1047" t="s">
        <v>37</v>
      </c>
      <c r="F445" s="1047" t="s">
        <v>39</v>
      </c>
      <c r="G445" s="1047" t="s">
        <v>39</v>
      </c>
      <c r="H445" s="1047">
        <v>50</v>
      </c>
      <c r="I445" s="1047">
        <v>2022</v>
      </c>
      <c r="J445" s="1047" t="s">
        <v>233</v>
      </c>
      <c r="K445" s="1047" t="s">
        <v>39</v>
      </c>
      <c r="L445" s="1042" t="s">
        <v>281</v>
      </c>
      <c r="M445" s="1042" t="s">
        <v>286</v>
      </c>
      <c r="N445" s="1050">
        <v>45371</v>
      </c>
    </row>
    <row r="446" spans="1:14">
      <c r="A446" s="1042" t="s">
        <v>231</v>
      </c>
      <c r="B446" s="1042" t="s">
        <v>248</v>
      </c>
      <c r="C446" s="1042" t="s">
        <v>267</v>
      </c>
      <c r="D446" s="1042" t="s">
        <v>220</v>
      </c>
      <c r="E446" s="1047" t="s">
        <v>40</v>
      </c>
      <c r="F446" s="1047" t="s">
        <v>39</v>
      </c>
      <c r="G446" s="1047" t="s">
        <v>39</v>
      </c>
      <c r="H446" s="1047">
        <v>0</v>
      </c>
      <c r="I446" s="1047">
        <v>2022</v>
      </c>
      <c r="J446" s="1047" t="s">
        <v>233</v>
      </c>
      <c r="K446" s="1047" t="s">
        <v>39</v>
      </c>
      <c r="L446" s="1042" t="s">
        <v>281</v>
      </c>
      <c r="M446" s="1042" t="s">
        <v>286</v>
      </c>
      <c r="N446" s="1050">
        <v>45371</v>
      </c>
    </row>
    <row r="447" spans="1:14">
      <c r="A447" s="1042" t="s">
        <v>231</v>
      </c>
      <c r="B447" s="1042" t="s">
        <v>248</v>
      </c>
      <c r="C447" s="1042" t="s">
        <v>268</v>
      </c>
      <c r="D447" s="1042" t="s">
        <v>221</v>
      </c>
      <c r="E447" s="1047" t="s">
        <v>144</v>
      </c>
      <c r="F447" s="1047" t="s">
        <v>39</v>
      </c>
      <c r="G447" s="1047" t="s">
        <v>39</v>
      </c>
      <c r="H447" s="1047">
        <v>115.99999999999999</v>
      </c>
      <c r="I447" s="1047">
        <v>2022</v>
      </c>
      <c r="J447" s="1047" t="s">
        <v>233</v>
      </c>
      <c r="K447" s="1047" t="s">
        <v>39</v>
      </c>
      <c r="L447" s="1042" t="s">
        <v>281</v>
      </c>
      <c r="M447" s="1042" t="s">
        <v>286</v>
      </c>
      <c r="N447" s="1050">
        <v>45371</v>
      </c>
    </row>
    <row r="448" spans="1:14">
      <c r="A448" s="1042" t="s">
        <v>231</v>
      </c>
      <c r="B448" s="1042" t="s">
        <v>248</v>
      </c>
      <c r="C448" s="1042" t="s">
        <v>268</v>
      </c>
      <c r="D448" s="1042" t="s">
        <v>221</v>
      </c>
      <c r="E448" s="1047" t="s">
        <v>75</v>
      </c>
      <c r="F448" s="1047" t="s">
        <v>39</v>
      </c>
      <c r="G448" s="1047" t="s">
        <v>39</v>
      </c>
      <c r="H448" s="1047">
        <v>130</v>
      </c>
      <c r="I448" s="1047">
        <v>2022</v>
      </c>
      <c r="J448" s="1047" t="s">
        <v>233</v>
      </c>
      <c r="K448" s="1047" t="s">
        <v>39</v>
      </c>
      <c r="L448" s="1042" t="s">
        <v>281</v>
      </c>
      <c r="M448" s="1042" t="s">
        <v>286</v>
      </c>
      <c r="N448" s="1050">
        <v>45371</v>
      </c>
    </row>
    <row r="449" spans="1:14">
      <c r="A449" s="1042" t="s">
        <v>231</v>
      </c>
      <c r="B449" s="1042" t="s">
        <v>248</v>
      </c>
      <c r="C449" s="1042" t="s">
        <v>268</v>
      </c>
      <c r="D449" s="1042" t="s">
        <v>221</v>
      </c>
      <c r="E449" s="1047" t="s">
        <v>76</v>
      </c>
      <c r="F449" s="1047" t="s">
        <v>39</v>
      </c>
      <c r="G449" s="1047" t="s">
        <v>39</v>
      </c>
      <c r="H449" s="1047">
        <v>106.66666666666667</v>
      </c>
      <c r="I449" s="1047">
        <v>2022</v>
      </c>
      <c r="J449" s="1047" t="s">
        <v>233</v>
      </c>
      <c r="K449" s="1047" t="s">
        <v>39</v>
      </c>
      <c r="L449" s="1042" t="s">
        <v>281</v>
      </c>
      <c r="M449" s="1042" t="s">
        <v>286</v>
      </c>
      <c r="N449" s="1050">
        <v>45371</v>
      </c>
    </row>
    <row r="450" spans="1:14">
      <c r="A450" s="1042" t="s">
        <v>231</v>
      </c>
      <c r="B450" s="1042" t="s">
        <v>241</v>
      </c>
      <c r="C450" s="1042" t="s">
        <v>271</v>
      </c>
      <c r="D450" s="1042" t="s">
        <v>214</v>
      </c>
      <c r="E450" s="1047" t="s">
        <v>144</v>
      </c>
      <c r="F450" s="1047" t="s">
        <v>39</v>
      </c>
      <c r="G450" s="1047" t="s">
        <v>39</v>
      </c>
      <c r="H450" s="1047">
        <v>108.74999999999999</v>
      </c>
      <c r="I450" s="1047">
        <v>2022</v>
      </c>
      <c r="J450" s="1047" t="s">
        <v>233</v>
      </c>
      <c r="K450" s="1047" t="s">
        <v>39</v>
      </c>
      <c r="L450" s="1042" t="s">
        <v>281</v>
      </c>
      <c r="M450" s="1042" t="s">
        <v>286</v>
      </c>
      <c r="N450" s="1050">
        <v>45371</v>
      </c>
    </row>
    <row r="451" spans="1:14">
      <c r="A451" s="1042" t="s">
        <v>231</v>
      </c>
      <c r="B451" s="1042" t="s">
        <v>241</v>
      </c>
      <c r="C451" s="1042" t="s">
        <v>272</v>
      </c>
      <c r="D451" s="1042" t="s">
        <v>215</v>
      </c>
      <c r="E451" s="1047" t="s">
        <v>144</v>
      </c>
      <c r="F451" s="1047" t="s">
        <v>39</v>
      </c>
      <c r="G451" s="1047" t="s">
        <v>39</v>
      </c>
      <c r="H451" s="1047">
        <v>110.431654676259</v>
      </c>
      <c r="I451" s="1047">
        <v>2022</v>
      </c>
      <c r="J451" s="1047" t="s">
        <v>233</v>
      </c>
      <c r="K451" s="1047" t="s">
        <v>39</v>
      </c>
      <c r="L451" s="1042" t="s">
        <v>281</v>
      </c>
      <c r="M451" s="1042" t="s">
        <v>286</v>
      </c>
      <c r="N451" s="1050">
        <v>45371</v>
      </c>
    </row>
    <row r="452" spans="1:14">
      <c r="A452" s="1042" t="s">
        <v>231</v>
      </c>
      <c r="B452" s="1042" t="s">
        <v>241</v>
      </c>
      <c r="C452" s="1042" t="s">
        <v>273</v>
      </c>
      <c r="D452" s="1042" t="s">
        <v>216</v>
      </c>
      <c r="E452" s="1047" t="s">
        <v>144</v>
      </c>
      <c r="F452" s="1047" t="s">
        <v>39</v>
      </c>
      <c r="G452" s="1047" t="s">
        <v>39</v>
      </c>
      <c r="H452" s="1047">
        <v>107</v>
      </c>
      <c r="I452" s="1047">
        <v>2022</v>
      </c>
      <c r="J452" s="1047" t="s">
        <v>233</v>
      </c>
      <c r="K452" s="1047" t="s">
        <v>39</v>
      </c>
      <c r="L452" s="1042" t="s">
        <v>281</v>
      </c>
      <c r="M452" s="1042" t="s">
        <v>286</v>
      </c>
      <c r="N452" s="1050">
        <v>45371</v>
      </c>
    </row>
    <row r="453" spans="1:14">
      <c r="A453" s="1042" t="s">
        <v>231</v>
      </c>
      <c r="B453" s="1042" t="s">
        <v>241</v>
      </c>
      <c r="C453" s="1042" t="s">
        <v>277</v>
      </c>
      <c r="D453" s="1042" t="s">
        <v>222</v>
      </c>
      <c r="E453" s="1047" t="s">
        <v>144</v>
      </c>
      <c r="F453" s="1047" t="s">
        <v>39</v>
      </c>
      <c r="G453" s="1047" t="s">
        <v>39</v>
      </c>
      <c r="H453" s="1047">
        <v>105.30973451327435</v>
      </c>
      <c r="I453" s="1047">
        <v>2022</v>
      </c>
      <c r="J453" s="1047" t="s">
        <v>233</v>
      </c>
      <c r="K453" s="1047" t="s">
        <v>39</v>
      </c>
      <c r="L453" s="1042" t="s">
        <v>281</v>
      </c>
      <c r="M453" s="1042" t="s">
        <v>286</v>
      </c>
      <c r="N453" s="1050">
        <v>45371</v>
      </c>
    </row>
    <row r="454" spans="1:14">
      <c r="A454" s="1042" t="s">
        <v>231</v>
      </c>
      <c r="B454" s="1042" t="s">
        <v>241</v>
      </c>
      <c r="C454" s="1042" t="s">
        <v>277</v>
      </c>
      <c r="D454" s="1042" t="s">
        <v>222</v>
      </c>
      <c r="E454" s="1047" t="s">
        <v>92</v>
      </c>
      <c r="F454" s="1047" t="s">
        <v>39</v>
      </c>
      <c r="G454" s="1047" t="s">
        <v>39</v>
      </c>
      <c r="H454" s="1047">
        <v>188.88888888888889</v>
      </c>
      <c r="I454" s="1047">
        <v>2022</v>
      </c>
      <c r="J454" s="1047" t="s">
        <v>233</v>
      </c>
      <c r="K454" s="1047" t="s">
        <v>39</v>
      </c>
      <c r="L454" s="1042" t="s">
        <v>281</v>
      </c>
      <c r="M454" s="1042" t="s">
        <v>286</v>
      </c>
      <c r="N454" s="1050">
        <v>45371</v>
      </c>
    </row>
    <row r="455" spans="1:14">
      <c r="A455" s="1042" t="s">
        <v>231</v>
      </c>
      <c r="B455" s="1042" t="s">
        <v>241</v>
      </c>
      <c r="C455" s="1042" t="s">
        <v>277</v>
      </c>
      <c r="D455" s="1042" t="s">
        <v>222</v>
      </c>
      <c r="E455" s="1047" t="s">
        <v>46</v>
      </c>
      <c r="F455" s="1047" t="s">
        <v>39</v>
      </c>
      <c r="G455" s="1047" t="s">
        <v>39</v>
      </c>
      <c r="H455" s="1047">
        <v>0</v>
      </c>
      <c r="I455" s="1047">
        <v>2022</v>
      </c>
      <c r="J455" s="1047" t="s">
        <v>233</v>
      </c>
      <c r="K455" s="1047" t="s">
        <v>39</v>
      </c>
      <c r="L455" s="1042" t="s">
        <v>281</v>
      </c>
      <c r="M455" s="1042" t="s">
        <v>286</v>
      </c>
      <c r="N455" s="1050">
        <v>45371</v>
      </c>
    </row>
    <row r="456" spans="1:14">
      <c r="A456" s="1042" t="s">
        <v>231</v>
      </c>
      <c r="B456" s="1042" t="s">
        <v>241</v>
      </c>
      <c r="C456" s="1042" t="s">
        <v>274</v>
      </c>
      <c r="D456" s="1042" t="s">
        <v>217</v>
      </c>
      <c r="E456" s="1047" t="s">
        <v>144</v>
      </c>
      <c r="F456" s="1047" t="s">
        <v>39</v>
      </c>
      <c r="G456" s="1047" t="s">
        <v>39</v>
      </c>
      <c r="H456" s="1047">
        <v>100</v>
      </c>
      <c r="I456" s="1047">
        <v>2022</v>
      </c>
      <c r="J456" s="1047" t="s">
        <v>233</v>
      </c>
      <c r="K456" s="1047" t="s">
        <v>39</v>
      </c>
      <c r="L456" s="1042" t="s">
        <v>281</v>
      </c>
      <c r="M456" s="1042" t="s">
        <v>286</v>
      </c>
      <c r="N456" s="1050">
        <v>45371</v>
      </c>
    </row>
    <row r="457" spans="1:14">
      <c r="A457" s="1042" t="s">
        <v>231</v>
      </c>
      <c r="B457" s="1042" t="s">
        <v>241</v>
      </c>
      <c r="C457" s="1042" t="s">
        <v>275</v>
      </c>
      <c r="D457" s="1042" t="s">
        <v>218</v>
      </c>
      <c r="E457" s="1047" t="s">
        <v>144</v>
      </c>
      <c r="F457" s="1047" t="s">
        <v>39</v>
      </c>
      <c r="G457" s="1047" t="s">
        <v>39</v>
      </c>
      <c r="H457" s="1047">
        <v>100</v>
      </c>
      <c r="I457" s="1047">
        <v>2022</v>
      </c>
      <c r="J457" s="1047" t="s">
        <v>233</v>
      </c>
      <c r="K457" s="1047" t="s">
        <v>39</v>
      </c>
      <c r="L457" s="1042" t="s">
        <v>281</v>
      </c>
      <c r="M457" s="1042" t="s">
        <v>286</v>
      </c>
      <c r="N457" s="1050">
        <v>45371</v>
      </c>
    </row>
    <row r="458" spans="1:14">
      <c r="A458" s="1042" t="s">
        <v>231</v>
      </c>
      <c r="B458" s="1042" t="s">
        <v>241</v>
      </c>
      <c r="C458" s="1042" t="s">
        <v>278</v>
      </c>
      <c r="D458" s="1042" t="s">
        <v>223</v>
      </c>
      <c r="E458" s="1047" t="s">
        <v>144</v>
      </c>
      <c r="F458" s="1047" t="s">
        <v>39</v>
      </c>
      <c r="G458" s="1047" t="s">
        <v>39</v>
      </c>
      <c r="H458" s="1047">
        <v>100.37037037037038</v>
      </c>
      <c r="I458" s="1047">
        <v>2022</v>
      </c>
      <c r="J458" s="1047" t="s">
        <v>233</v>
      </c>
      <c r="K458" s="1047" t="s">
        <v>39</v>
      </c>
      <c r="L458" s="1042" t="s">
        <v>281</v>
      </c>
      <c r="M458" s="1042" t="s">
        <v>286</v>
      </c>
      <c r="N458" s="1050">
        <v>45371</v>
      </c>
    </row>
    <row r="459" spans="1:14">
      <c r="A459" s="1042" t="s">
        <v>231</v>
      </c>
      <c r="B459" s="1042" t="s">
        <v>241</v>
      </c>
      <c r="C459" s="1042" t="s">
        <v>278</v>
      </c>
      <c r="D459" s="1042" t="s">
        <v>223</v>
      </c>
      <c r="E459" s="1047" t="s">
        <v>46</v>
      </c>
      <c r="F459" s="1047" t="s">
        <v>39</v>
      </c>
      <c r="G459" s="1047" t="s">
        <v>39</v>
      </c>
      <c r="H459" s="1047">
        <v>100.37037037037038</v>
      </c>
      <c r="I459" s="1047">
        <v>2022</v>
      </c>
      <c r="J459" s="1047" t="s">
        <v>233</v>
      </c>
      <c r="K459" s="1047" t="s">
        <v>39</v>
      </c>
      <c r="L459" s="1042" t="s">
        <v>281</v>
      </c>
      <c r="M459" s="1042" t="s">
        <v>286</v>
      </c>
      <c r="N459" s="1050">
        <v>45371</v>
      </c>
    </row>
    <row r="460" spans="1:14">
      <c r="A460" s="1042" t="s">
        <v>231</v>
      </c>
      <c r="B460" s="1042" t="s">
        <v>232</v>
      </c>
      <c r="C460" s="1042" t="s">
        <v>265</v>
      </c>
      <c r="D460" s="1049" t="s">
        <v>207</v>
      </c>
      <c r="E460" s="1047" t="s">
        <v>144</v>
      </c>
      <c r="F460" s="1047" t="s">
        <v>39</v>
      </c>
      <c r="G460" s="1047" t="s">
        <v>39</v>
      </c>
      <c r="H460" s="1047">
        <v>192.19274064198203</v>
      </c>
      <c r="I460" s="1047">
        <v>2023</v>
      </c>
      <c r="J460" s="1047" t="s">
        <v>233</v>
      </c>
      <c r="K460" s="1047" t="s">
        <v>39</v>
      </c>
      <c r="L460" s="1042" t="s">
        <v>281</v>
      </c>
      <c r="M460" s="1042" t="s">
        <v>286</v>
      </c>
      <c r="N460" s="1050">
        <v>45371</v>
      </c>
    </row>
    <row r="461" spans="1:14">
      <c r="A461" s="1042" t="s">
        <v>231</v>
      </c>
      <c r="B461" s="1042" t="s">
        <v>232</v>
      </c>
      <c r="C461" s="1042" t="s">
        <v>266</v>
      </c>
      <c r="D461" s="1049" t="s">
        <v>208</v>
      </c>
      <c r="E461" s="1047" t="s">
        <v>144</v>
      </c>
      <c r="F461" s="1047" t="s">
        <v>39</v>
      </c>
      <c r="G461" s="1047" t="s">
        <v>39</v>
      </c>
      <c r="H461" s="1047">
        <v>154.65466125228298</v>
      </c>
      <c r="I461" s="1047">
        <v>2023</v>
      </c>
      <c r="J461" s="1047" t="s">
        <v>233</v>
      </c>
      <c r="K461" s="1047" t="s">
        <v>39</v>
      </c>
      <c r="L461" s="1042" t="s">
        <v>281</v>
      </c>
      <c r="M461" s="1042" t="s">
        <v>286</v>
      </c>
      <c r="N461" s="1050">
        <v>45371</v>
      </c>
    </row>
    <row r="462" spans="1:14">
      <c r="A462" s="1042" t="s">
        <v>231</v>
      </c>
      <c r="B462" s="1042" t="s">
        <v>236</v>
      </c>
      <c r="C462" s="1042" t="s">
        <v>276</v>
      </c>
      <c r="D462" s="1042" t="s">
        <v>219</v>
      </c>
      <c r="E462" s="1047" t="s">
        <v>144</v>
      </c>
      <c r="F462" s="1047" t="s">
        <v>39</v>
      </c>
      <c r="G462" s="1047" t="s">
        <v>39</v>
      </c>
      <c r="H462" s="1047">
        <v>100</v>
      </c>
      <c r="I462" s="1047">
        <v>2023</v>
      </c>
      <c r="J462" s="1047" t="s">
        <v>233</v>
      </c>
      <c r="K462" s="1047" t="s">
        <v>39</v>
      </c>
      <c r="L462" s="1042" t="s">
        <v>281</v>
      </c>
      <c r="M462" s="1042" t="s">
        <v>286</v>
      </c>
      <c r="N462" s="1050">
        <v>45371</v>
      </c>
    </row>
    <row r="463" spans="1:14">
      <c r="A463" s="1042" t="s">
        <v>231</v>
      </c>
      <c r="B463" s="1042" t="s">
        <v>236</v>
      </c>
      <c r="C463" s="1042" t="s">
        <v>276</v>
      </c>
      <c r="D463" s="1042" t="s">
        <v>219</v>
      </c>
      <c r="E463" s="1047" t="s">
        <v>45</v>
      </c>
      <c r="F463" s="1047" t="s">
        <v>39</v>
      </c>
      <c r="G463" s="1047" t="s">
        <v>39</v>
      </c>
      <c r="H463" s="1047">
        <v>100</v>
      </c>
      <c r="I463" s="1047">
        <v>2023</v>
      </c>
      <c r="J463" s="1047" t="s">
        <v>233</v>
      </c>
      <c r="K463" s="1047" t="s">
        <v>39</v>
      </c>
      <c r="L463" s="1042" t="s">
        <v>281</v>
      </c>
      <c r="M463" s="1042" t="s">
        <v>286</v>
      </c>
      <c r="N463" s="1050">
        <v>45371</v>
      </c>
    </row>
    <row r="464" spans="1:14">
      <c r="A464" s="1042" t="s">
        <v>231</v>
      </c>
      <c r="B464" s="1042" t="s">
        <v>236</v>
      </c>
      <c r="C464" s="1042" t="s">
        <v>276</v>
      </c>
      <c r="D464" s="1042" t="s">
        <v>219</v>
      </c>
      <c r="E464" s="1047" t="s">
        <v>49</v>
      </c>
      <c r="F464" s="1047" t="s">
        <v>39</v>
      </c>
      <c r="G464" s="1047" t="s">
        <v>39</v>
      </c>
      <c r="H464" s="1047">
        <v>100</v>
      </c>
      <c r="I464" s="1047">
        <v>2023</v>
      </c>
      <c r="J464" s="1047" t="s">
        <v>233</v>
      </c>
      <c r="K464" s="1047" t="s">
        <v>39</v>
      </c>
      <c r="L464" s="1042" t="s">
        <v>281</v>
      </c>
      <c r="M464" s="1042" t="s">
        <v>286</v>
      </c>
      <c r="N464" s="1050">
        <v>45371</v>
      </c>
    </row>
    <row r="465" spans="1:14">
      <c r="A465" s="1042" t="s">
        <v>231</v>
      </c>
      <c r="B465" s="1042" t="s">
        <v>236</v>
      </c>
      <c r="C465" s="1042" t="s">
        <v>276</v>
      </c>
      <c r="D465" s="1042" t="s">
        <v>219</v>
      </c>
      <c r="E465" s="1047" t="s">
        <v>50</v>
      </c>
      <c r="F465" s="1047" t="s">
        <v>39</v>
      </c>
      <c r="G465" s="1047" t="s">
        <v>39</v>
      </c>
      <c r="H465" s="1047">
        <v>100</v>
      </c>
      <c r="I465" s="1047">
        <v>2023</v>
      </c>
      <c r="J465" s="1047" t="s">
        <v>233</v>
      </c>
      <c r="K465" s="1047" t="s">
        <v>39</v>
      </c>
      <c r="L465" s="1042" t="s">
        <v>281</v>
      </c>
      <c r="M465" s="1042" t="s">
        <v>286</v>
      </c>
      <c r="N465" s="1050">
        <v>45371</v>
      </c>
    </row>
    <row r="466" spans="1:14">
      <c r="A466" s="1042" t="s">
        <v>231</v>
      </c>
      <c r="B466" s="1042" t="s">
        <v>236</v>
      </c>
      <c r="C466" s="1042" t="s">
        <v>268</v>
      </c>
      <c r="D466" s="1042" t="s">
        <v>210</v>
      </c>
      <c r="E466" s="1047" t="s">
        <v>144</v>
      </c>
      <c r="F466" s="1047" t="s">
        <v>39</v>
      </c>
      <c r="G466" s="1047" t="s">
        <v>39</v>
      </c>
      <c r="H466" s="1047">
        <v>100</v>
      </c>
      <c r="I466" s="1047">
        <v>2023</v>
      </c>
      <c r="J466" s="1047" t="s">
        <v>233</v>
      </c>
      <c r="K466" s="1047" t="s">
        <v>39</v>
      </c>
      <c r="L466" s="1042" t="s">
        <v>281</v>
      </c>
      <c r="M466" s="1042" t="s">
        <v>286</v>
      </c>
      <c r="N466" s="1050">
        <v>45371</v>
      </c>
    </row>
    <row r="467" spans="1:14">
      <c r="A467" s="1042" t="s">
        <v>231</v>
      </c>
      <c r="B467" s="1042" t="s">
        <v>236</v>
      </c>
      <c r="C467" s="1042" t="s">
        <v>268</v>
      </c>
      <c r="D467" s="1042" t="s">
        <v>210</v>
      </c>
      <c r="E467" s="1047" t="s">
        <v>49</v>
      </c>
      <c r="F467" s="1047" t="s">
        <v>39</v>
      </c>
      <c r="G467" s="1047" t="s">
        <v>39</v>
      </c>
      <c r="H467" s="1047">
        <v>100.69767441860466</v>
      </c>
      <c r="I467" s="1047">
        <v>2023</v>
      </c>
      <c r="J467" s="1047" t="s">
        <v>233</v>
      </c>
      <c r="K467" s="1047" t="s">
        <v>39</v>
      </c>
      <c r="L467" s="1042" t="s">
        <v>281</v>
      </c>
      <c r="M467" s="1042" t="s">
        <v>286</v>
      </c>
      <c r="N467" s="1050">
        <v>45371</v>
      </c>
    </row>
    <row r="468" spans="1:14">
      <c r="A468" s="1042" t="s">
        <v>231</v>
      </c>
      <c r="B468" s="1042" t="s">
        <v>236</v>
      </c>
      <c r="C468" s="1042" t="s">
        <v>268</v>
      </c>
      <c r="D468" s="1042" t="s">
        <v>210</v>
      </c>
      <c r="E468" s="1047" t="s">
        <v>52</v>
      </c>
      <c r="F468" s="1047" t="s">
        <v>39</v>
      </c>
      <c r="G468" s="1047" t="s">
        <v>39</v>
      </c>
      <c r="H468" s="1047">
        <v>20</v>
      </c>
      <c r="I468" s="1047">
        <v>2023</v>
      </c>
      <c r="J468" s="1047" t="s">
        <v>233</v>
      </c>
      <c r="K468" s="1047" t="s">
        <v>39</v>
      </c>
      <c r="L468" s="1042" t="s">
        <v>281</v>
      </c>
      <c r="M468" s="1042" t="s">
        <v>286</v>
      </c>
      <c r="N468" s="1050">
        <v>45371</v>
      </c>
    </row>
    <row r="469" spans="1:14">
      <c r="A469" s="1042" t="s">
        <v>231</v>
      </c>
      <c r="B469" s="1042" t="s">
        <v>236</v>
      </c>
      <c r="C469" s="1042" t="s">
        <v>269</v>
      </c>
      <c r="D469" s="1042" t="s">
        <v>211</v>
      </c>
      <c r="E469" s="1047" t="s">
        <v>144</v>
      </c>
      <c r="F469" s="1047" t="s">
        <v>39</v>
      </c>
      <c r="G469" s="1047" t="s">
        <v>39</v>
      </c>
      <c r="H469" s="1047">
        <v>131.46321105135056</v>
      </c>
      <c r="I469" s="1047">
        <v>2023</v>
      </c>
      <c r="J469" s="1047" t="s">
        <v>233</v>
      </c>
      <c r="K469" s="1047" t="s">
        <v>39</v>
      </c>
      <c r="L469" s="1042" t="s">
        <v>281</v>
      </c>
      <c r="M469" s="1042" t="s">
        <v>286</v>
      </c>
      <c r="N469" s="1050">
        <v>45371</v>
      </c>
    </row>
    <row r="470" spans="1:14">
      <c r="A470" s="1042" t="s">
        <v>231</v>
      </c>
      <c r="B470" s="1042" t="s">
        <v>236</v>
      </c>
      <c r="C470" s="1042" t="s">
        <v>269</v>
      </c>
      <c r="D470" s="1042" t="s">
        <v>211</v>
      </c>
      <c r="E470" s="1047" t="s">
        <v>55</v>
      </c>
      <c r="F470" s="1047" t="s">
        <v>39</v>
      </c>
      <c r="G470" s="1047" t="s">
        <v>39</v>
      </c>
      <c r="H470" s="1047">
        <v>96.32126503990547</v>
      </c>
      <c r="I470" s="1047">
        <v>2023</v>
      </c>
      <c r="J470" s="1047" t="s">
        <v>233</v>
      </c>
      <c r="K470" s="1047" t="s">
        <v>39</v>
      </c>
      <c r="L470" s="1042" t="s">
        <v>281</v>
      </c>
      <c r="M470" s="1042" t="s">
        <v>286</v>
      </c>
      <c r="N470" s="1050">
        <v>45371</v>
      </c>
    </row>
    <row r="471" spans="1:14">
      <c r="A471" s="1042" t="s">
        <v>231</v>
      </c>
      <c r="B471" s="1042" t="s">
        <v>236</v>
      </c>
      <c r="C471" s="1042" t="s">
        <v>269</v>
      </c>
      <c r="D471" s="1042" t="s">
        <v>211</v>
      </c>
      <c r="E471" s="1047" t="s">
        <v>44</v>
      </c>
      <c r="F471" s="1047" t="s">
        <v>39</v>
      </c>
      <c r="G471" s="1047" t="s">
        <v>39</v>
      </c>
      <c r="H471" s="1047">
        <v>125.26379372197309</v>
      </c>
      <c r="I471" s="1047">
        <v>2023</v>
      </c>
      <c r="J471" s="1047" t="s">
        <v>233</v>
      </c>
      <c r="K471" s="1047" t="s">
        <v>39</v>
      </c>
      <c r="L471" s="1042" t="s">
        <v>281</v>
      </c>
      <c r="M471" s="1042" t="s">
        <v>286</v>
      </c>
      <c r="N471" s="1050">
        <v>45371</v>
      </c>
    </row>
    <row r="472" spans="1:14">
      <c r="A472" s="1042" t="s">
        <v>231</v>
      </c>
      <c r="B472" s="1042" t="s">
        <v>236</v>
      </c>
      <c r="C472" s="1042" t="s">
        <v>269</v>
      </c>
      <c r="D472" s="1042" t="s">
        <v>211</v>
      </c>
      <c r="E472" s="1047" t="s">
        <v>45</v>
      </c>
      <c r="F472" s="1047" t="s">
        <v>39</v>
      </c>
      <c r="G472" s="1047" t="s">
        <v>39</v>
      </c>
      <c r="H472" s="1047">
        <v>107.77368335</v>
      </c>
      <c r="I472" s="1047">
        <v>2023</v>
      </c>
      <c r="J472" s="1047" t="s">
        <v>233</v>
      </c>
      <c r="K472" s="1047" t="s">
        <v>39</v>
      </c>
      <c r="L472" s="1042" t="s">
        <v>281</v>
      </c>
      <c r="M472" s="1042" t="s">
        <v>286</v>
      </c>
      <c r="N472" s="1050">
        <v>45371</v>
      </c>
    </row>
    <row r="473" spans="1:14">
      <c r="A473" s="1042" t="s">
        <v>231</v>
      </c>
      <c r="B473" s="1042" t="s">
        <v>236</v>
      </c>
      <c r="C473" s="1042" t="s">
        <v>269</v>
      </c>
      <c r="D473" s="1042" t="s">
        <v>211</v>
      </c>
      <c r="E473" s="1047" t="s">
        <v>56</v>
      </c>
      <c r="F473" s="1047" t="s">
        <v>39</v>
      </c>
      <c r="G473" s="1047" t="s">
        <v>39</v>
      </c>
      <c r="H473" s="1047">
        <v>208.00656384863126</v>
      </c>
      <c r="I473" s="1047">
        <v>2023</v>
      </c>
      <c r="J473" s="1047" t="s">
        <v>233</v>
      </c>
      <c r="K473" s="1047" t="s">
        <v>39</v>
      </c>
      <c r="L473" s="1042" t="s">
        <v>281</v>
      </c>
      <c r="M473" s="1042" t="s">
        <v>286</v>
      </c>
      <c r="N473" s="1050">
        <v>45371</v>
      </c>
    </row>
    <row r="474" spans="1:14">
      <c r="A474" s="1042" t="s">
        <v>231</v>
      </c>
      <c r="B474" s="1042" t="s">
        <v>236</v>
      </c>
      <c r="C474" s="1042" t="s">
        <v>270</v>
      </c>
      <c r="D474" s="1042" t="s">
        <v>212</v>
      </c>
      <c r="E474" s="1047" t="s">
        <v>144</v>
      </c>
      <c r="F474" s="1047" t="s">
        <v>39</v>
      </c>
      <c r="G474" s="1047" t="s">
        <v>39</v>
      </c>
      <c r="H474" s="1047">
        <v>100.9313154831199</v>
      </c>
      <c r="I474" s="1047">
        <v>2023</v>
      </c>
      <c r="J474" s="1047" t="s">
        <v>233</v>
      </c>
      <c r="K474" s="1047" t="s">
        <v>39</v>
      </c>
      <c r="L474" s="1042" t="s">
        <v>281</v>
      </c>
      <c r="M474" s="1042" t="s">
        <v>286</v>
      </c>
      <c r="N474" s="1050">
        <v>45371</v>
      </c>
    </row>
    <row r="475" spans="1:14">
      <c r="A475" s="1042" t="s">
        <v>231</v>
      </c>
      <c r="B475" s="1042" t="s">
        <v>236</v>
      </c>
      <c r="C475" s="1042" t="s">
        <v>270</v>
      </c>
      <c r="D475" s="1042" t="s">
        <v>212</v>
      </c>
      <c r="E475" s="1047" t="s">
        <v>55</v>
      </c>
      <c r="F475" s="1047" t="s">
        <v>39</v>
      </c>
      <c r="G475" s="1047" t="s">
        <v>39</v>
      </c>
      <c r="H475" s="1047">
        <v>100.76923076923077</v>
      </c>
      <c r="I475" s="1047">
        <v>2023</v>
      </c>
      <c r="J475" s="1047" t="s">
        <v>233</v>
      </c>
      <c r="K475" s="1047" t="s">
        <v>39</v>
      </c>
      <c r="L475" s="1042" t="s">
        <v>281</v>
      </c>
      <c r="M475" s="1042" t="s">
        <v>286</v>
      </c>
      <c r="N475" s="1050">
        <v>45371</v>
      </c>
    </row>
    <row r="476" spans="1:14">
      <c r="A476" s="1042" t="s">
        <v>231</v>
      </c>
      <c r="B476" s="1042" t="s">
        <v>236</v>
      </c>
      <c r="C476" s="1042" t="s">
        <v>270</v>
      </c>
      <c r="D476" s="1042" t="s">
        <v>212</v>
      </c>
      <c r="E476" s="1047" t="s">
        <v>44</v>
      </c>
      <c r="F476" s="1047" t="s">
        <v>39</v>
      </c>
      <c r="G476" s="1047" t="s">
        <v>39</v>
      </c>
      <c r="H476" s="1047">
        <v>101.19047619047619</v>
      </c>
      <c r="I476" s="1047">
        <v>2023</v>
      </c>
      <c r="J476" s="1047" t="s">
        <v>233</v>
      </c>
      <c r="K476" s="1047" t="s">
        <v>39</v>
      </c>
      <c r="L476" s="1042" t="s">
        <v>281</v>
      </c>
      <c r="M476" s="1042" t="s">
        <v>286</v>
      </c>
      <c r="N476" s="1050">
        <v>45371</v>
      </c>
    </row>
    <row r="477" spans="1:14">
      <c r="A477" s="1042" t="s">
        <v>231</v>
      </c>
      <c r="B477" s="1042" t="s">
        <v>236</v>
      </c>
      <c r="C477" s="1042" t="s">
        <v>270</v>
      </c>
      <c r="D477" s="1042" t="s">
        <v>212</v>
      </c>
      <c r="E477" s="1047" t="s">
        <v>45</v>
      </c>
      <c r="F477" s="1047" t="s">
        <v>39</v>
      </c>
      <c r="G477" s="1047" t="s">
        <v>39</v>
      </c>
      <c r="H477" s="1047">
        <v>100.88105726872247</v>
      </c>
      <c r="I477" s="1047">
        <v>2023</v>
      </c>
      <c r="J477" s="1047" t="s">
        <v>233</v>
      </c>
      <c r="K477" s="1047" t="s">
        <v>39</v>
      </c>
      <c r="L477" s="1042" t="s">
        <v>281</v>
      </c>
      <c r="M477" s="1042" t="s">
        <v>286</v>
      </c>
      <c r="N477" s="1050">
        <v>45371</v>
      </c>
    </row>
    <row r="478" spans="1:14">
      <c r="A478" s="1042" t="s">
        <v>231</v>
      </c>
      <c r="B478" s="1042" t="s">
        <v>236</v>
      </c>
      <c r="C478" s="1042" t="s">
        <v>270</v>
      </c>
      <c r="D478" s="1042" t="s">
        <v>212</v>
      </c>
      <c r="E478" s="1047" t="s">
        <v>46</v>
      </c>
      <c r="F478" s="1047" t="s">
        <v>39</v>
      </c>
      <c r="G478" s="1047" t="s">
        <v>39</v>
      </c>
      <c r="H478" s="1047">
        <v>101.04712041884815</v>
      </c>
      <c r="I478" s="1047">
        <v>2023</v>
      </c>
      <c r="J478" s="1047" t="s">
        <v>233</v>
      </c>
      <c r="K478" s="1047" t="s">
        <v>39</v>
      </c>
      <c r="L478" s="1042" t="s">
        <v>281</v>
      </c>
      <c r="M478" s="1042" t="s">
        <v>286</v>
      </c>
      <c r="N478" s="1050">
        <v>45371</v>
      </c>
    </row>
    <row r="479" spans="1:14">
      <c r="A479" s="1042" t="s">
        <v>231</v>
      </c>
      <c r="B479" s="1042" t="s">
        <v>236</v>
      </c>
      <c r="C479" s="1042" t="s">
        <v>270</v>
      </c>
      <c r="D479" s="1042" t="s">
        <v>212</v>
      </c>
      <c r="E479" s="1047" t="s">
        <v>59</v>
      </c>
      <c r="F479" s="1047" t="s">
        <v>39</v>
      </c>
      <c r="G479" s="1047" t="s">
        <v>39</v>
      </c>
      <c r="H479" s="1047">
        <v>0</v>
      </c>
      <c r="I479" s="1047">
        <v>2023</v>
      </c>
      <c r="J479" s="1047" t="s">
        <v>233</v>
      </c>
      <c r="K479" s="1047" t="s">
        <v>39</v>
      </c>
      <c r="L479" s="1042" t="s">
        <v>281</v>
      </c>
      <c r="M479" s="1042" t="s">
        <v>286</v>
      </c>
      <c r="N479" s="1050">
        <v>45371</v>
      </c>
    </row>
    <row r="480" spans="1:14">
      <c r="A480" s="1042" t="s">
        <v>231</v>
      </c>
      <c r="B480" s="1042" t="s">
        <v>236</v>
      </c>
      <c r="C480" s="1042" t="s">
        <v>270</v>
      </c>
      <c r="D480" s="1042" t="s">
        <v>213</v>
      </c>
      <c r="E480" s="1047" t="s">
        <v>144</v>
      </c>
      <c r="F480" s="1047" t="s">
        <v>39</v>
      </c>
      <c r="G480" s="1047" t="s">
        <v>39</v>
      </c>
      <c r="H480" s="1047">
        <v>94.960753532182096</v>
      </c>
      <c r="I480" s="1047">
        <v>2023</v>
      </c>
      <c r="J480" s="1047" t="s">
        <v>233</v>
      </c>
      <c r="K480" s="1047" t="s">
        <v>39</v>
      </c>
      <c r="L480" s="1042" t="s">
        <v>281</v>
      </c>
      <c r="M480" s="1042" t="s">
        <v>286</v>
      </c>
      <c r="N480" s="1050">
        <v>45371</v>
      </c>
    </row>
    <row r="481" spans="1:14">
      <c r="A481" s="1042" t="s">
        <v>231</v>
      </c>
      <c r="B481" s="1042" t="s">
        <v>236</v>
      </c>
      <c r="C481" s="1042" t="s">
        <v>270</v>
      </c>
      <c r="D481" s="1042" t="s">
        <v>213</v>
      </c>
      <c r="E481" s="1047" t="s">
        <v>61</v>
      </c>
      <c r="F481" s="1047" t="s">
        <v>39</v>
      </c>
      <c r="G481" s="1047" t="s">
        <v>39</v>
      </c>
      <c r="H481" s="1047">
        <v>0</v>
      </c>
      <c r="I481" s="1047">
        <v>2023</v>
      </c>
      <c r="J481" s="1047" t="s">
        <v>233</v>
      </c>
      <c r="K481" s="1047" t="s">
        <v>39</v>
      </c>
      <c r="L481" s="1042" t="s">
        <v>281</v>
      </c>
      <c r="M481" s="1042" t="s">
        <v>286</v>
      </c>
      <c r="N481" s="1050">
        <v>45371</v>
      </c>
    </row>
    <row r="482" spans="1:14">
      <c r="A482" s="1042" t="s">
        <v>231</v>
      </c>
      <c r="B482" s="1042" t="s">
        <v>236</v>
      </c>
      <c r="C482" s="1042" t="s">
        <v>270</v>
      </c>
      <c r="D482" s="1042" t="s">
        <v>213</v>
      </c>
      <c r="E482" s="1047" t="s">
        <v>43</v>
      </c>
      <c r="F482" s="1047" t="s">
        <v>39</v>
      </c>
      <c r="G482" s="1047" t="s">
        <v>39</v>
      </c>
      <c r="H482" s="1047">
        <v>79.638932496075356</v>
      </c>
      <c r="I482" s="1047">
        <v>2023</v>
      </c>
      <c r="J482" s="1047" t="s">
        <v>233</v>
      </c>
      <c r="K482" s="1047" t="s">
        <v>39</v>
      </c>
      <c r="L482" s="1042" t="s">
        <v>281</v>
      </c>
      <c r="M482" s="1042" t="s">
        <v>286</v>
      </c>
      <c r="N482" s="1050">
        <v>45371</v>
      </c>
    </row>
    <row r="483" spans="1:14">
      <c r="A483" s="1042" t="s">
        <v>231</v>
      </c>
      <c r="B483" s="1042" t="s">
        <v>236</v>
      </c>
      <c r="C483" s="1042" t="s">
        <v>270</v>
      </c>
      <c r="D483" s="1042" t="s">
        <v>213</v>
      </c>
      <c r="E483" s="1047" t="s">
        <v>44</v>
      </c>
      <c r="F483" s="1047" t="s">
        <v>39</v>
      </c>
      <c r="G483" s="1047" t="s">
        <v>39</v>
      </c>
      <c r="H483" s="1047">
        <v>111.45996860282574</v>
      </c>
      <c r="I483" s="1047">
        <v>2023</v>
      </c>
      <c r="J483" s="1047" t="s">
        <v>233</v>
      </c>
      <c r="K483" s="1047" t="s">
        <v>39</v>
      </c>
      <c r="L483" s="1042" t="s">
        <v>281</v>
      </c>
      <c r="M483" s="1042" t="s">
        <v>286</v>
      </c>
      <c r="N483" s="1050">
        <v>45371</v>
      </c>
    </row>
    <row r="484" spans="1:14">
      <c r="A484" s="1042" t="s">
        <v>231</v>
      </c>
      <c r="B484" s="1042" t="s">
        <v>236</v>
      </c>
      <c r="C484" s="1042" t="s">
        <v>270</v>
      </c>
      <c r="D484" s="1042" t="s">
        <v>213</v>
      </c>
      <c r="E484" s="1047" t="s">
        <v>45</v>
      </c>
      <c r="F484" s="1047" t="s">
        <v>39</v>
      </c>
      <c r="G484" s="1047" t="s">
        <v>39</v>
      </c>
      <c r="H484" s="1047">
        <v>79.058084772370478</v>
      </c>
      <c r="I484" s="1047">
        <v>2023</v>
      </c>
      <c r="J484" s="1047" t="s">
        <v>233</v>
      </c>
      <c r="K484" s="1047" t="s">
        <v>39</v>
      </c>
      <c r="L484" s="1042" t="s">
        <v>281</v>
      </c>
      <c r="M484" s="1042" t="s">
        <v>286</v>
      </c>
      <c r="N484" s="1050">
        <v>45371</v>
      </c>
    </row>
    <row r="485" spans="1:14">
      <c r="A485" s="1042" t="s">
        <v>231</v>
      </c>
      <c r="B485" s="1042" t="s">
        <v>236</v>
      </c>
      <c r="C485" s="1042" t="s">
        <v>270</v>
      </c>
      <c r="D485" s="1042" t="s">
        <v>213</v>
      </c>
      <c r="E485" s="1047" t="s">
        <v>46</v>
      </c>
      <c r="F485" s="1047" t="s">
        <v>39</v>
      </c>
      <c r="G485" s="1047" t="s">
        <v>39</v>
      </c>
      <c r="H485" s="1047">
        <v>107.44113029827315</v>
      </c>
      <c r="I485" s="1047">
        <v>2023</v>
      </c>
      <c r="J485" s="1047" t="s">
        <v>233</v>
      </c>
      <c r="K485" s="1047" t="s">
        <v>39</v>
      </c>
      <c r="L485" s="1042" t="s">
        <v>281</v>
      </c>
      <c r="M485" s="1042" t="s">
        <v>286</v>
      </c>
      <c r="N485" s="1050">
        <v>45371</v>
      </c>
    </row>
    <row r="486" spans="1:14">
      <c r="A486" s="1042" t="s">
        <v>231</v>
      </c>
      <c r="B486" s="1042" t="s">
        <v>248</v>
      </c>
      <c r="C486" s="1042" t="s">
        <v>267</v>
      </c>
      <c r="D486" s="1042" t="s">
        <v>220</v>
      </c>
      <c r="E486" s="1047" t="s">
        <v>144</v>
      </c>
      <c r="F486" s="1047" t="s">
        <v>39</v>
      </c>
      <c r="G486" s="1047" t="s">
        <v>39</v>
      </c>
      <c r="H486" s="1047">
        <v>200</v>
      </c>
      <c r="I486" s="1047">
        <v>2023</v>
      </c>
      <c r="J486" s="1047" t="s">
        <v>233</v>
      </c>
      <c r="K486" s="1047" t="s">
        <v>39</v>
      </c>
      <c r="L486" s="1042" t="s">
        <v>281</v>
      </c>
      <c r="M486" s="1042" t="s">
        <v>286</v>
      </c>
      <c r="N486" s="1050">
        <v>45371</v>
      </c>
    </row>
    <row r="487" spans="1:14">
      <c r="A487" s="1042" t="s">
        <v>231</v>
      </c>
      <c r="B487" s="1042" t="s">
        <v>248</v>
      </c>
      <c r="C487" s="1042" t="s">
        <v>267</v>
      </c>
      <c r="D487" s="1042" t="s">
        <v>220</v>
      </c>
      <c r="E487" s="1047" t="s">
        <v>37</v>
      </c>
      <c r="F487" s="1047" t="s">
        <v>39</v>
      </c>
      <c r="G487" s="1047" t="s">
        <v>39</v>
      </c>
      <c r="H487" s="1047">
        <v>250</v>
      </c>
      <c r="I487" s="1047">
        <v>2023</v>
      </c>
      <c r="J487" s="1047" t="s">
        <v>233</v>
      </c>
      <c r="K487" s="1047" t="s">
        <v>39</v>
      </c>
      <c r="L487" s="1042" t="s">
        <v>281</v>
      </c>
      <c r="M487" s="1042" t="s">
        <v>286</v>
      </c>
      <c r="N487" s="1050">
        <v>45371</v>
      </c>
    </row>
    <row r="488" spans="1:14">
      <c r="A488" s="1042" t="s">
        <v>231</v>
      </c>
      <c r="B488" s="1042" t="s">
        <v>248</v>
      </c>
      <c r="C488" s="1042" t="s">
        <v>267</v>
      </c>
      <c r="D488" s="1042" t="s">
        <v>220</v>
      </c>
      <c r="E488" s="1047" t="s">
        <v>40</v>
      </c>
      <c r="F488" s="1047" t="s">
        <v>39</v>
      </c>
      <c r="G488" s="1047" t="s">
        <v>39</v>
      </c>
      <c r="H488" s="1047">
        <v>100</v>
      </c>
      <c r="I488" s="1047">
        <v>2023</v>
      </c>
      <c r="J488" s="1047" t="s">
        <v>233</v>
      </c>
      <c r="K488" s="1047" t="s">
        <v>39</v>
      </c>
      <c r="L488" s="1042" t="s">
        <v>281</v>
      </c>
      <c r="M488" s="1042" t="s">
        <v>286</v>
      </c>
      <c r="N488" s="1050">
        <v>45371</v>
      </c>
    </row>
    <row r="489" spans="1:14">
      <c r="A489" s="1042" t="s">
        <v>231</v>
      </c>
      <c r="B489" s="1042" t="s">
        <v>248</v>
      </c>
      <c r="C489" s="1042" t="s">
        <v>268</v>
      </c>
      <c r="D489" s="1042" t="s">
        <v>221</v>
      </c>
      <c r="E489" s="1047" t="s">
        <v>144</v>
      </c>
      <c r="F489" s="1047" t="s">
        <v>39</v>
      </c>
      <c r="G489" s="1047" t="s">
        <v>39</v>
      </c>
      <c r="H489" s="1047">
        <v>130</v>
      </c>
      <c r="I489" s="1047">
        <v>2023</v>
      </c>
      <c r="J489" s="1047" t="s">
        <v>233</v>
      </c>
      <c r="K489" s="1047" t="s">
        <v>39</v>
      </c>
      <c r="L489" s="1042" t="s">
        <v>281</v>
      </c>
      <c r="M489" s="1042" t="s">
        <v>286</v>
      </c>
      <c r="N489" s="1050">
        <v>45371</v>
      </c>
    </row>
    <row r="490" spans="1:14">
      <c r="A490" s="1042" t="s">
        <v>231</v>
      </c>
      <c r="B490" s="1042" t="s">
        <v>248</v>
      </c>
      <c r="C490" s="1042" t="s">
        <v>268</v>
      </c>
      <c r="D490" s="1042" t="s">
        <v>221</v>
      </c>
      <c r="E490" s="1047" t="s">
        <v>75</v>
      </c>
      <c r="F490" s="1047" t="s">
        <v>39</v>
      </c>
      <c r="G490" s="1047" t="s">
        <v>39</v>
      </c>
      <c r="H490" s="1047">
        <v>130</v>
      </c>
      <c r="I490" s="1047">
        <v>2023</v>
      </c>
      <c r="J490" s="1047" t="s">
        <v>233</v>
      </c>
      <c r="K490" s="1047" t="s">
        <v>39</v>
      </c>
      <c r="L490" s="1042" t="s">
        <v>281</v>
      </c>
      <c r="M490" s="1042" t="s">
        <v>286</v>
      </c>
      <c r="N490" s="1050">
        <v>45371</v>
      </c>
    </row>
    <row r="491" spans="1:14">
      <c r="A491" s="1042" t="s">
        <v>231</v>
      </c>
      <c r="B491" s="1042" t="s">
        <v>248</v>
      </c>
      <c r="C491" s="1042" t="s">
        <v>268</v>
      </c>
      <c r="D491" s="1042" t="s">
        <v>221</v>
      </c>
      <c r="E491" s="1047" t="s">
        <v>76</v>
      </c>
      <c r="F491" s="1047" t="s">
        <v>39</v>
      </c>
      <c r="G491" s="1047" t="s">
        <v>39</v>
      </c>
      <c r="H491" s="1047">
        <v>130</v>
      </c>
      <c r="I491" s="1047">
        <v>2023</v>
      </c>
      <c r="J491" s="1047" t="s">
        <v>233</v>
      </c>
      <c r="K491" s="1047" t="s">
        <v>39</v>
      </c>
      <c r="L491" s="1042" t="s">
        <v>281</v>
      </c>
      <c r="M491" s="1042" t="s">
        <v>286</v>
      </c>
      <c r="N491" s="1050">
        <v>45371</v>
      </c>
    </row>
    <row r="492" spans="1:14">
      <c r="A492" s="1042" t="s">
        <v>231</v>
      </c>
      <c r="B492" s="1042" t="s">
        <v>241</v>
      </c>
      <c r="C492" s="1042" t="s">
        <v>271</v>
      </c>
      <c r="D492" s="1042" t="s">
        <v>214</v>
      </c>
      <c r="E492" s="1047" t="s">
        <v>144</v>
      </c>
      <c r="F492" s="1047" t="s">
        <v>39</v>
      </c>
      <c r="G492" s="1047" t="s">
        <v>39</v>
      </c>
      <c r="H492" s="1047">
        <v>116.25000000000001</v>
      </c>
      <c r="I492" s="1047">
        <v>2023</v>
      </c>
      <c r="J492" s="1047" t="s">
        <v>233</v>
      </c>
      <c r="K492" s="1047" t="s">
        <v>39</v>
      </c>
      <c r="L492" s="1042" t="s">
        <v>281</v>
      </c>
      <c r="M492" s="1042" t="s">
        <v>286</v>
      </c>
      <c r="N492" s="1050">
        <v>45371</v>
      </c>
    </row>
    <row r="493" spans="1:14">
      <c r="A493" s="1042" t="s">
        <v>231</v>
      </c>
      <c r="B493" s="1042" t="s">
        <v>241</v>
      </c>
      <c r="C493" s="1042" t="s">
        <v>272</v>
      </c>
      <c r="D493" s="1042" t="s">
        <v>215</v>
      </c>
      <c r="E493" s="1047" t="s">
        <v>144</v>
      </c>
      <c r="F493" s="1047" t="s">
        <v>39</v>
      </c>
      <c r="G493" s="1047" t="s">
        <v>39</v>
      </c>
      <c r="H493" s="1047">
        <v>119.78417266187051</v>
      </c>
      <c r="I493" s="1047">
        <v>2023</v>
      </c>
      <c r="J493" s="1047" t="s">
        <v>233</v>
      </c>
      <c r="K493" s="1047" t="s">
        <v>39</v>
      </c>
      <c r="L493" s="1042" t="s">
        <v>281</v>
      </c>
      <c r="M493" s="1042" t="s">
        <v>286</v>
      </c>
      <c r="N493" s="1050">
        <v>45371</v>
      </c>
    </row>
    <row r="494" spans="1:14">
      <c r="A494" s="1042" t="s">
        <v>231</v>
      </c>
      <c r="B494" s="1042" t="s">
        <v>241</v>
      </c>
      <c r="C494" s="1042" t="s">
        <v>273</v>
      </c>
      <c r="D494" s="1042" t="s">
        <v>216</v>
      </c>
      <c r="E494" s="1047" t="s">
        <v>144</v>
      </c>
      <c r="F494" s="1047" t="s">
        <v>39</v>
      </c>
      <c r="G494" s="1047" t="s">
        <v>39</v>
      </c>
      <c r="H494" s="1047">
        <v>117</v>
      </c>
      <c r="I494" s="1047">
        <v>2023</v>
      </c>
      <c r="J494" s="1047" t="s">
        <v>233</v>
      </c>
      <c r="K494" s="1047" t="s">
        <v>39</v>
      </c>
      <c r="L494" s="1042" t="s">
        <v>281</v>
      </c>
      <c r="M494" s="1042" t="s">
        <v>286</v>
      </c>
      <c r="N494" s="1050">
        <v>45371</v>
      </c>
    </row>
    <row r="495" spans="1:14">
      <c r="A495" s="1042" t="s">
        <v>231</v>
      </c>
      <c r="B495" s="1042" t="s">
        <v>241</v>
      </c>
      <c r="C495" s="1042" t="s">
        <v>277</v>
      </c>
      <c r="D495" s="1042" t="s">
        <v>222</v>
      </c>
      <c r="E495" s="1047" t="s">
        <v>144</v>
      </c>
      <c r="F495" s="1047" t="s">
        <v>39</v>
      </c>
      <c r="G495" s="1047" t="s">
        <v>39</v>
      </c>
      <c r="H495" s="1047">
        <v>31.288343558282211</v>
      </c>
      <c r="I495" s="1047">
        <v>2023</v>
      </c>
      <c r="J495" s="1047" t="s">
        <v>233</v>
      </c>
      <c r="K495" s="1047" t="s">
        <v>39</v>
      </c>
      <c r="L495" s="1042" t="s">
        <v>281</v>
      </c>
      <c r="M495" s="1042" t="s">
        <v>286</v>
      </c>
      <c r="N495" s="1050">
        <v>45371</v>
      </c>
    </row>
    <row r="496" spans="1:14">
      <c r="A496" s="1042" t="s">
        <v>231</v>
      </c>
      <c r="B496" s="1042" t="s">
        <v>241</v>
      </c>
      <c r="C496" s="1042" t="s">
        <v>277</v>
      </c>
      <c r="D496" s="1042" t="s">
        <v>222</v>
      </c>
      <c r="E496" s="1047" t="s">
        <v>92</v>
      </c>
      <c r="F496" s="1047" t="s">
        <v>39</v>
      </c>
      <c r="G496" s="1047" t="s">
        <v>39</v>
      </c>
      <c r="H496" s="1047">
        <v>80.952380952380949</v>
      </c>
      <c r="I496" s="1047">
        <v>2023</v>
      </c>
      <c r="J496" s="1047" t="s">
        <v>233</v>
      </c>
      <c r="K496" s="1047" t="s">
        <v>39</v>
      </c>
      <c r="L496" s="1042" t="s">
        <v>281</v>
      </c>
      <c r="M496" s="1042" t="s">
        <v>286</v>
      </c>
      <c r="N496" s="1050">
        <v>45371</v>
      </c>
    </row>
    <row r="497" spans="1:14">
      <c r="A497" s="1042" t="s">
        <v>231</v>
      </c>
      <c r="B497" s="1042" t="s">
        <v>241</v>
      </c>
      <c r="C497" s="1042" t="s">
        <v>277</v>
      </c>
      <c r="D497" s="1042" t="s">
        <v>222</v>
      </c>
      <c r="E497" s="1047" t="s">
        <v>46</v>
      </c>
      <c r="F497" s="1047" t="s">
        <v>39</v>
      </c>
      <c r="G497" s="1047" t="s">
        <v>39</v>
      </c>
      <c r="H497" s="1047">
        <v>0</v>
      </c>
      <c r="I497" s="1047">
        <v>2023</v>
      </c>
      <c r="J497" s="1047" t="s">
        <v>233</v>
      </c>
      <c r="K497" s="1047" t="s">
        <v>39</v>
      </c>
      <c r="L497" s="1042" t="s">
        <v>281</v>
      </c>
      <c r="M497" s="1042" t="s">
        <v>286</v>
      </c>
      <c r="N497" s="1050">
        <v>45371</v>
      </c>
    </row>
    <row r="498" spans="1:14">
      <c r="A498" s="1042" t="s">
        <v>231</v>
      </c>
      <c r="B498" s="1042" t="s">
        <v>241</v>
      </c>
      <c r="C498" s="1042" t="s">
        <v>275</v>
      </c>
      <c r="D498" s="1042" t="s">
        <v>218</v>
      </c>
      <c r="E498" s="1047" t="s">
        <v>144</v>
      </c>
      <c r="F498" s="1047" t="s">
        <v>39</v>
      </c>
      <c r="G498" s="1047" t="s">
        <v>39</v>
      </c>
      <c r="H498" s="1047">
        <v>112.00000000000001</v>
      </c>
      <c r="I498" s="1047">
        <v>2023</v>
      </c>
      <c r="J498" s="1047" t="s">
        <v>233</v>
      </c>
      <c r="K498" s="1047" t="s">
        <v>39</v>
      </c>
      <c r="L498" s="1042" t="s">
        <v>281</v>
      </c>
      <c r="M498" s="1042" t="s">
        <v>286</v>
      </c>
      <c r="N498" s="1050">
        <v>45371</v>
      </c>
    </row>
    <row r="499" spans="1:14">
      <c r="A499" s="1042" t="s">
        <v>231</v>
      </c>
      <c r="B499" s="1042" t="s">
        <v>241</v>
      </c>
      <c r="C499" s="1042" t="s">
        <v>278</v>
      </c>
      <c r="D499" s="1042" t="s">
        <v>223</v>
      </c>
      <c r="E499" s="1047" t="s">
        <v>144</v>
      </c>
      <c r="F499" s="1047" t="s">
        <v>39</v>
      </c>
      <c r="G499" s="1047" t="s">
        <v>39</v>
      </c>
      <c r="H499" s="1047">
        <v>417.69230769230774</v>
      </c>
      <c r="I499" s="1047">
        <v>2023</v>
      </c>
      <c r="J499" s="1047" t="s">
        <v>233</v>
      </c>
      <c r="K499" s="1047" t="s">
        <v>39</v>
      </c>
      <c r="L499" s="1042" t="s">
        <v>281</v>
      </c>
      <c r="M499" s="1042" t="s">
        <v>286</v>
      </c>
      <c r="N499" s="1050">
        <v>45371</v>
      </c>
    </row>
    <row r="500" spans="1:14">
      <c r="A500" s="1042" t="s">
        <v>231</v>
      </c>
      <c r="B500" s="1042" t="s">
        <v>241</v>
      </c>
      <c r="C500" s="1042" t="s">
        <v>278</v>
      </c>
      <c r="D500" s="1042" t="s">
        <v>223</v>
      </c>
      <c r="E500" s="1047" t="s">
        <v>92</v>
      </c>
      <c r="F500" s="1047" t="s">
        <v>39</v>
      </c>
      <c r="G500" s="1047" t="s">
        <v>39</v>
      </c>
      <c r="H500" s="1047">
        <v>101</v>
      </c>
      <c r="I500" s="1047">
        <v>2023</v>
      </c>
      <c r="J500" s="1047" t="s">
        <v>233</v>
      </c>
      <c r="K500" s="1047" t="s">
        <v>39</v>
      </c>
      <c r="L500" s="1042" t="s">
        <v>281</v>
      </c>
      <c r="M500" s="1042" t="s">
        <v>286</v>
      </c>
      <c r="N500" s="1050">
        <v>45371</v>
      </c>
    </row>
    <row r="501" spans="1:14">
      <c r="A501" s="1042" t="s">
        <v>231</v>
      </c>
      <c r="B501" s="1042" t="s">
        <v>241</v>
      </c>
      <c r="C501" s="1042" t="s">
        <v>278</v>
      </c>
      <c r="D501" s="1042" t="s">
        <v>223</v>
      </c>
      <c r="E501" s="1047" t="s">
        <v>46</v>
      </c>
      <c r="F501" s="1047" t="s">
        <v>39</v>
      </c>
      <c r="G501" s="1047" t="s">
        <v>39</v>
      </c>
      <c r="H501" s="1047">
        <v>262.30769230769232</v>
      </c>
      <c r="I501" s="1047">
        <v>2023</v>
      </c>
      <c r="J501" s="1047" t="s">
        <v>233</v>
      </c>
      <c r="K501" s="1047" t="s">
        <v>39</v>
      </c>
      <c r="L501" s="1042" t="s">
        <v>281</v>
      </c>
      <c r="M501" s="1042" t="s">
        <v>286</v>
      </c>
      <c r="N501" s="1050">
        <v>45371</v>
      </c>
    </row>
    <row r="502" spans="1:14">
      <c r="A502" s="1042" t="s">
        <v>231</v>
      </c>
      <c r="B502" s="1042" t="s">
        <v>236</v>
      </c>
      <c r="C502" s="1042" t="s">
        <v>268</v>
      </c>
      <c r="D502" s="1042" t="s">
        <v>210</v>
      </c>
      <c r="E502" s="1047" t="s">
        <v>52</v>
      </c>
      <c r="F502" s="1047" t="s">
        <v>39</v>
      </c>
      <c r="G502" s="1047" t="s">
        <v>39</v>
      </c>
      <c r="H502" s="1047">
        <v>100</v>
      </c>
      <c r="I502" s="1047">
        <v>2024</v>
      </c>
      <c r="J502" s="1047" t="s">
        <v>233</v>
      </c>
      <c r="K502" s="1047" t="s">
        <v>39</v>
      </c>
      <c r="L502" s="1042" t="s">
        <v>281</v>
      </c>
      <c r="M502" s="1042" t="s">
        <v>286</v>
      </c>
      <c r="N502" s="1050">
        <v>45371</v>
      </c>
    </row>
    <row r="503" spans="1:14">
      <c r="A503" s="1042" t="s">
        <v>231</v>
      </c>
      <c r="B503" s="1042" t="s">
        <v>241</v>
      </c>
      <c r="C503" s="1042" t="s">
        <v>271</v>
      </c>
      <c r="D503" s="1042" t="s">
        <v>214</v>
      </c>
      <c r="E503" s="1047" t="s">
        <v>144</v>
      </c>
      <c r="F503" s="1047" t="s">
        <v>39</v>
      </c>
      <c r="G503" s="1047" t="s">
        <v>39</v>
      </c>
      <c r="H503" s="1047">
        <v>100</v>
      </c>
      <c r="I503" s="1047">
        <v>2024</v>
      </c>
      <c r="J503" s="1047" t="s">
        <v>233</v>
      </c>
      <c r="K503" s="1047" t="s">
        <v>39</v>
      </c>
      <c r="L503" s="1042" t="s">
        <v>281</v>
      </c>
      <c r="M503" s="1042" t="s">
        <v>286</v>
      </c>
      <c r="N503" s="1050">
        <v>45371</v>
      </c>
    </row>
    <row r="504" spans="1:14">
      <c r="A504" s="1042" t="s">
        <v>231</v>
      </c>
      <c r="B504" s="1042" t="s">
        <v>241</v>
      </c>
      <c r="C504" s="1042" t="s">
        <v>277</v>
      </c>
      <c r="D504" s="1042" t="s">
        <v>222</v>
      </c>
      <c r="E504" s="1047" t="s">
        <v>144</v>
      </c>
      <c r="F504" s="1047" t="s">
        <v>39</v>
      </c>
      <c r="G504" s="1047" t="s">
        <v>39</v>
      </c>
      <c r="H504" s="1047">
        <v>100</v>
      </c>
      <c r="I504" s="1047">
        <v>2024</v>
      </c>
      <c r="J504" s="1047" t="s">
        <v>233</v>
      </c>
      <c r="K504" s="1047" t="s">
        <v>39</v>
      </c>
      <c r="L504" s="1042" t="s">
        <v>281</v>
      </c>
      <c r="M504" s="1042" t="s">
        <v>286</v>
      </c>
      <c r="N504" s="1050">
        <v>45371</v>
      </c>
    </row>
    <row r="505" spans="1:14">
      <c r="A505" s="1042" t="s">
        <v>231</v>
      </c>
      <c r="B505" s="1042" t="s">
        <v>241</v>
      </c>
      <c r="C505" s="1042" t="s">
        <v>277</v>
      </c>
      <c r="D505" s="1042" t="s">
        <v>222</v>
      </c>
      <c r="E505" s="1047" t="s">
        <v>92</v>
      </c>
      <c r="F505" s="1047" t="s">
        <v>39</v>
      </c>
      <c r="G505" s="1047" t="s">
        <v>39</v>
      </c>
      <c r="H505" s="1047">
        <v>100</v>
      </c>
      <c r="I505" s="1047">
        <v>2024</v>
      </c>
      <c r="J505" s="1047" t="s">
        <v>233</v>
      </c>
      <c r="K505" s="1047" t="s">
        <v>39</v>
      </c>
      <c r="L505" s="1042" t="s">
        <v>281</v>
      </c>
      <c r="M505" s="1042" t="s">
        <v>286</v>
      </c>
      <c r="N505" s="1050">
        <v>45371</v>
      </c>
    </row>
    <row r="506" spans="1:14">
      <c r="A506" s="1042" t="s">
        <v>231</v>
      </c>
      <c r="B506" s="1042" t="s">
        <v>241</v>
      </c>
      <c r="C506" s="1042" t="s">
        <v>277</v>
      </c>
      <c r="D506" s="1042" t="s">
        <v>222</v>
      </c>
      <c r="E506" s="1047" t="s">
        <v>46</v>
      </c>
      <c r="F506" s="1047" t="s">
        <v>39</v>
      </c>
      <c r="G506" s="1047" t="s">
        <v>39</v>
      </c>
      <c r="H506" s="1047">
        <v>100</v>
      </c>
      <c r="I506" s="1047">
        <v>2024</v>
      </c>
      <c r="J506" s="1047" t="s">
        <v>233</v>
      </c>
      <c r="K506" s="1047" t="s">
        <v>39</v>
      </c>
      <c r="L506" s="1042" t="s">
        <v>281</v>
      </c>
      <c r="M506" s="1042" t="s">
        <v>286</v>
      </c>
      <c r="N506" s="1050">
        <v>45371</v>
      </c>
    </row>
    <row r="507" spans="1:14">
      <c r="A507" s="1042" t="s">
        <v>231</v>
      </c>
      <c r="B507" s="1042" t="s">
        <v>293</v>
      </c>
      <c r="C507" s="1042" t="s">
        <v>294</v>
      </c>
      <c r="D507" s="1042" t="s">
        <v>295</v>
      </c>
      <c r="E507" s="1047" t="s">
        <v>296</v>
      </c>
      <c r="F507" s="1047" t="s">
        <v>297</v>
      </c>
      <c r="G507" s="1047" t="s">
        <v>92</v>
      </c>
      <c r="H507" s="1047">
        <v>155</v>
      </c>
      <c r="I507" s="1047">
        <v>2014</v>
      </c>
      <c r="J507" s="1047" t="s">
        <v>298</v>
      </c>
      <c r="K507" s="1047" t="s">
        <v>39</v>
      </c>
      <c r="L507" s="1042" t="s">
        <v>299</v>
      </c>
      <c r="M507" s="1042" t="s">
        <v>284</v>
      </c>
      <c r="N507" s="1050">
        <v>45371</v>
      </c>
    </row>
    <row r="508" spans="1:14">
      <c r="A508" s="1042" t="s">
        <v>231</v>
      </c>
      <c r="B508" s="1042" t="s">
        <v>293</v>
      </c>
      <c r="C508" s="1042" t="s">
        <v>294</v>
      </c>
      <c r="D508" s="1042" t="s">
        <v>295</v>
      </c>
      <c r="E508" s="1047" t="s">
        <v>300</v>
      </c>
      <c r="F508" s="1047" t="s">
        <v>297</v>
      </c>
      <c r="G508" s="1047" t="s">
        <v>92</v>
      </c>
      <c r="I508" s="1047">
        <v>2014</v>
      </c>
      <c r="J508" s="1047" t="s">
        <v>298</v>
      </c>
      <c r="K508" s="1047" t="s">
        <v>39</v>
      </c>
      <c r="L508" s="1042" t="s">
        <v>299</v>
      </c>
      <c r="M508" s="1042" t="s">
        <v>284</v>
      </c>
      <c r="N508" s="1050">
        <v>45371</v>
      </c>
    </row>
    <row r="509" spans="1:14">
      <c r="A509" s="1042" t="s">
        <v>231</v>
      </c>
      <c r="B509" s="1042" t="s">
        <v>293</v>
      </c>
      <c r="C509" s="1042" t="s">
        <v>294</v>
      </c>
      <c r="D509" s="1042" t="s">
        <v>295</v>
      </c>
      <c r="E509" s="1047" t="s">
        <v>296</v>
      </c>
      <c r="F509" s="1047" t="s">
        <v>297</v>
      </c>
      <c r="G509" s="1047" t="s">
        <v>92</v>
      </c>
      <c r="H509" s="1047">
        <v>145</v>
      </c>
      <c r="I509" s="1047">
        <v>2015</v>
      </c>
      <c r="J509" s="1047" t="s">
        <v>298</v>
      </c>
      <c r="K509" s="1047" t="s">
        <v>39</v>
      </c>
      <c r="L509" s="1042" t="s">
        <v>299</v>
      </c>
      <c r="M509" s="1042" t="s">
        <v>284</v>
      </c>
      <c r="N509" s="1050">
        <v>45371</v>
      </c>
    </row>
    <row r="510" spans="1:14">
      <c r="A510" s="1042" t="s">
        <v>231</v>
      </c>
      <c r="B510" s="1042" t="s">
        <v>293</v>
      </c>
      <c r="C510" s="1042" t="s">
        <v>294</v>
      </c>
      <c r="D510" s="1042" t="s">
        <v>295</v>
      </c>
      <c r="E510" s="1047" t="s">
        <v>300</v>
      </c>
      <c r="F510" s="1047" t="s">
        <v>297</v>
      </c>
      <c r="G510" s="1047" t="s">
        <v>92</v>
      </c>
      <c r="H510" s="1047">
        <v>50</v>
      </c>
      <c r="I510" s="1047">
        <v>2015</v>
      </c>
      <c r="J510" s="1047" t="s">
        <v>298</v>
      </c>
      <c r="K510" s="1047" t="s">
        <v>39</v>
      </c>
      <c r="L510" s="1042" t="s">
        <v>299</v>
      </c>
      <c r="M510" s="1042" t="s">
        <v>284</v>
      </c>
      <c r="N510" s="1050">
        <v>45371</v>
      </c>
    </row>
    <row r="511" spans="1:14">
      <c r="A511" s="1042" t="s">
        <v>231</v>
      </c>
      <c r="B511" s="1042" t="s">
        <v>293</v>
      </c>
      <c r="C511" s="1042" t="s">
        <v>294</v>
      </c>
      <c r="D511" s="1042" t="s">
        <v>295</v>
      </c>
      <c r="E511" s="1047" t="s">
        <v>301</v>
      </c>
      <c r="F511" s="1047" t="s">
        <v>297</v>
      </c>
      <c r="G511" s="1047" t="s">
        <v>92</v>
      </c>
      <c r="H511" s="1047">
        <v>155</v>
      </c>
      <c r="I511" s="1047">
        <v>2015</v>
      </c>
      <c r="J511" s="1047" t="s">
        <v>298</v>
      </c>
      <c r="K511" s="1047" t="s">
        <v>39</v>
      </c>
      <c r="L511" s="1042" t="s">
        <v>299</v>
      </c>
      <c r="M511" s="1042" t="s">
        <v>284</v>
      </c>
      <c r="N511" s="1050">
        <v>45371</v>
      </c>
    </row>
    <row r="512" spans="1:14">
      <c r="A512" s="1042" t="s">
        <v>231</v>
      </c>
      <c r="B512" s="1042" t="s">
        <v>293</v>
      </c>
      <c r="C512" s="1042" t="s">
        <v>294</v>
      </c>
      <c r="D512" s="1042" t="s">
        <v>295</v>
      </c>
      <c r="E512" s="1047" t="s">
        <v>296</v>
      </c>
      <c r="F512" s="1047" t="s">
        <v>297</v>
      </c>
      <c r="G512" s="1047" t="s">
        <v>92</v>
      </c>
      <c r="H512" s="1047">
        <v>145</v>
      </c>
      <c r="I512" s="1047">
        <v>2016</v>
      </c>
      <c r="J512" s="1047" t="s">
        <v>298</v>
      </c>
      <c r="K512" s="1047" t="s">
        <v>39</v>
      </c>
      <c r="L512" s="1042" t="s">
        <v>299</v>
      </c>
      <c r="M512" s="1042" t="s">
        <v>284</v>
      </c>
      <c r="N512" s="1050">
        <v>45371</v>
      </c>
    </row>
    <row r="513" spans="1:14">
      <c r="A513" s="1042" t="s">
        <v>231</v>
      </c>
      <c r="B513" s="1042" t="s">
        <v>293</v>
      </c>
      <c r="C513" s="1042" t="s">
        <v>294</v>
      </c>
      <c r="D513" s="1042" t="s">
        <v>295</v>
      </c>
      <c r="E513" s="1047" t="s">
        <v>300</v>
      </c>
      <c r="F513" s="1047" t="s">
        <v>297</v>
      </c>
      <c r="G513" s="1047" t="s">
        <v>92</v>
      </c>
      <c r="H513" s="1047">
        <v>55</v>
      </c>
      <c r="I513" s="1047">
        <v>2016</v>
      </c>
      <c r="J513" s="1047" t="s">
        <v>298</v>
      </c>
      <c r="K513" s="1047" t="s">
        <v>39</v>
      </c>
      <c r="L513" s="1042" t="s">
        <v>299</v>
      </c>
      <c r="M513" s="1042" t="s">
        <v>284</v>
      </c>
      <c r="N513" s="1050">
        <v>45371</v>
      </c>
    </row>
    <row r="514" spans="1:14">
      <c r="A514" s="1042" t="s">
        <v>231</v>
      </c>
      <c r="B514" s="1042" t="s">
        <v>293</v>
      </c>
      <c r="C514" s="1042" t="s">
        <v>294</v>
      </c>
      <c r="D514" s="1042" t="s">
        <v>295</v>
      </c>
      <c r="E514" s="1047" t="s">
        <v>301</v>
      </c>
      <c r="F514" s="1047" t="s">
        <v>297</v>
      </c>
      <c r="G514" s="1047" t="s">
        <v>92</v>
      </c>
      <c r="H514" s="1047">
        <v>300</v>
      </c>
      <c r="I514" s="1047">
        <v>2016</v>
      </c>
      <c r="J514" s="1047" t="s">
        <v>298</v>
      </c>
      <c r="K514" s="1047" t="s">
        <v>39</v>
      </c>
      <c r="L514" s="1042" t="s">
        <v>299</v>
      </c>
      <c r="M514" s="1042" t="s">
        <v>284</v>
      </c>
      <c r="N514" s="1050">
        <v>45371</v>
      </c>
    </row>
    <row r="515" spans="1:14">
      <c r="A515" s="1042" t="s">
        <v>231</v>
      </c>
      <c r="B515" s="1042" t="s">
        <v>293</v>
      </c>
      <c r="C515" s="1042" t="s">
        <v>294</v>
      </c>
      <c r="D515" s="1042" t="s">
        <v>295</v>
      </c>
      <c r="E515" s="1047" t="s">
        <v>296</v>
      </c>
      <c r="F515" s="1047" t="s">
        <v>297</v>
      </c>
      <c r="G515" s="1047" t="s">
        <v>92</v>
      </c>
      <c r="H515" s="1047">
        <v>125</v>
      </c>
      <c r="I515" s="1047">
        <v>2017</v>
      </c>
      <c r="J515" s="1047" t="s">
        <v>298</v>
      </c>
      <c r="K515" s="1047" t="s">
        <v>39</v>
      </c>
      <c r="L515" s="1042" t="s">
        <v>299</v>
      </c>
      <c r="M515" s="1042" t="s">
        <v>284</v>
      </c>
      <c r="N515" s="1050">
        <v>45371</v>
      </c>
    </row>
    <row r="516" spans="1:14">
      <c r="A516" s="1042" t="s">
        <v>231</v>
      </c>
      <c r="B516" s="1042" t="s">
        <v>293</v>
      </c>
      <c r="C516" s="1042" t="s">
        <v>294</v>
      </c>
      <c r="D516" s="1042" t="s">
        <v>295</v>
      </c>
      <c r="E516" s="1047" t="s">
        <v>302</v>
      </c>
      <c r="F516" s="1047" t="s">
        <v>297</v>
      </c>
      <c r="G516" s="1047" t="s">
        <v>92</v>
      </c>
      <c r="H516" s="1047">
        <v>70</v>
      </c>
      <c r="I516" s="1047">
        <v>2017</v>
      </c>
      <c r="J516" s="1047" t="s">
        <v>298</v>
      </c>
      <c r="K516" s="1047" t="s">
        <v>39</v>
      </c>
      <c r="L516" s="1042" t="s">
        <v>299</v>
      </c>
      <c r="M516" s="1042" t="s">
        <v>284</v>
      </c>
      <c r="N516" s="1050">
        <v>45371</v>
      </c>
    </row>
    <row r="517" spans="1:14">
      <c r="A517" s="1042" t="s">
        <v>231</v>
      </c>
      <c r="B517" s="1042" t="s">
        <v>293</v>
      </c>
      <c r="C517" s="1042" t="s">
        <v>294</v>
      </c>
      <c r="D517" s="1042" t="s">
        <v>295</v>
      </c>
      <c r="E517" s="1047" t="s">
        <v>301</v>
      </c>
      <c r="F517" s="1047" t="s">
        <v>297</v>
      </c>
      <c r="G517" s="1047" t="s">
        <v>92</v>
      </c>
      <c r="H517" s="1047">
        <v>300</v>
      </c>
      <c r="I517" s="1047">
        <v>2017</v>
      </c>
      <c r="J517" s="1047" t="s">
        <v>298</v>
      </c>
      <c r="K517" s="1047" t="s">
        <v>39</v>
      </c>
      <c r="L517" s="1042" t="s">
        <v>299</v>
      </c>
      <c r="M517" s="1042" t="s">
        <v>284</v>
      </c>
      <c r="N517" s="1050">
        <v>45371</v>
      </c>
    </row>
    <row r="518" spans="1:14">
      <c r="A518" s="1042" t="s">
        <v>231</v>
      </c>
      <c r="B518" s="1042" t="s">
        <v>293</v>
      </c>
      <c r="C518" s="1042" t="s">
        <v>294</v>
      </c>
      <c r="D518" s="1042" t="s">
        <v>295</v>
      </c>
      <c r="E518" s="1047" t="s">
        <v>296</v>
      </c>
      <c r="F518" s="1047" t="s">
        <v>297</v>
      </c>
      <c r="G518" s="1047" t="s">
        <v>92</v>
      </c>
      <c r="H518" s="1047">
        <v>756</v>
      </c>
      <c r="I518" s="1047">
        <v>2018</v>
      </c>
      <c r="J518" s="1047" t="s">
        <v>298</v>
      </c>
      <c r="K518" s="1047" t="s">
        <v>39</v>
      </c>
      <c r="L518" s="1042" t="s">
        <v>299</v>
      </c>
      <c r="M518" s="1042" t="s">
        <v>284</v>
      </c>
      <c r="N518" s="1050">
        <v>45371</v>
      </c>
    </row>
    <row r="519" spans="1:14">
      <c r="A519" s="1042" t="s">
        <v>231</v>
      </c>
      <c r="B519" s="1042" t="s">
        <v>293</v>
      </c>
      <c r="C519" s="1042" t="s">
        <v>294</v>
      </c>
      <c r="D519" s="1042" t="s">
        <v>295</v>
      </c>
      <c r="E519" s="1047" t="s">
        <v>303</v>
      </c>
      <c r="F519" s="1047" t="s">
        <v>297</v>
      </c>
      <c r="G519" s="1047" t="s">
        <v>92</v>
      </c>
      <c r="H519" s="1047">
        <v>43</v>
      </c>
      <c r="I519" s="1047">
        <v>2018</v>
      </c>
      <c r="J519" s="1047" t="s">
        <v>298</v>
      </c>
      <c r="K519" s="1047" t="s">
        <v>39</v>
      </c>
      <c r="L519" s="1042" t="s">
        <v>299</v>
      </c>
      <c r="M519" s="1042" t="s">
        <v>284</v>
      </c>
      <c r="N519" s="1050">
        <v>45371</v>
      </c>
    </row>
    <row r="520" spans="1:14">
      <c r="A520" s="1042" t="s">
        <v>231</v>
      </c>
      <c r="B520" s="1042" t="s">
        <v>293</v>
      </c>
      <c r="C520" s="1042" t="s">
        <v>294</v>
      </c>
      <c r="D520" s="1042" t="s">
        <v>295</v>
      </c>
      <c r="E520" s="1047" t="s">
        <v>304</v>
      </c>
      <c r="F520" s="1047" t="s">
        <v>297</v>
      </c>
      <c r="G520" s="1047" t="s">
        <v>92</v>
      </c>
      <c r="H520" s="1047">
        <v>160</v>
      </c>
      <c r="I520" s="1047">
        <v>2018</v>
      </c>
      <c r="J520" s="1047" t="s">
        <v>298</v>
      </c>
      <c r="K520" s="1047" t="s">
        <v>39</v>
      </c>
      <c r="L520" s="1042" t="s">
        <v>299</v>
      </c>
      <c r="M520" s="1042" t="s">
        <v>284</v>
      </c>
      <c r="N520" s="1050">
        <v>45371</v>
      </c>
    </row>
    <row r="521" spans="1:14">
      <c r="A521" s="1042" t="s">
        <v>231</v>
      </c>
      <c r="B521" s="1042" t="s">
        <v>293</v>
      </c>
      <c r="C521" s="1042" t="s">
        <v>294</v>
      </c>
      <c r="D521" s="1042" t="s">
        <v>295</v>
      </c>
      <c r="E521" s="1047" t="s">
        <v>302</v>
      </c>
      <c r="F521" s="1047" t="s">
        <v>297</v>
      </c>
      <c r="G521" s="1047" t="s">
        <v>92</v>
      </c>
      <c r="H521" s="1047">
        <v>39</v>
      </c>
      <c r="I521" s="1047">
        <v>2018</v>
      </c>
      <c r="J521" s="1047" t="s">
        <v>298</v>
      </c>
      <c r="K521" s="1047" t="s">
        <v>39</v>
      </c>
      <c r="L521" s="1042" t="s">
        <v>299</v>
      </c>
      <c r="M521" s="1042" t="s">
        <v>284</v>
      </c>
      <c r="N521" s="1050">
        <v>45371</v>
      </c>
    </row>
    <row r="522" spans="1:14">
      <c r="A522" s="1042" t="s">
        <v>231</v>
      </c>
      <c r="B522" s="1042" t="s">
        <v>293</v>
      </c>
      <c r="C522" s="1042" t="s">
        <v>294</v>
      </c>
      <c r="D522" s="1042" t="s">
        <v>295</v>
      </c>
      <c r="E522" s="1047" t="s">
        <v>305</v>
      </c>
      <c r="F522" s="1047" t="s">
        <v>297</v>
      </c>
      <c r="G522" s="1047" t="s">
        <v>92</v>
      </c>
      <c r="H522" s="1047">
        <v>576</v>
      </c>
      <c r="I522" s="1047">
        <v>2018</v>
      </c>
      <c r="J522" s="1047" t="s">
        <v>298</v>
      </c>
      <c r="K522" s="1047" t="s">
        <v>39</v>
      </c>
      <c r="L522" s="1042" t="s">
        <v>299</v>
      </c>
      <c r="M522" s="1042" t="s">
        <v>284</v>
      </c>
      <c r="N522" s="1050">
        <v>45371</v>
      </c>
    </row>
    <row r="523" spans="1:14">
      <c r="A523" s="1042" t="s">
        <v>231</v>
      </c>
      <c r="B523" s="1042" t="s">
        <v>293</v>
      </c>
      <c r="C523" s="1042" t="s">
        <v>294</v>
      </c>
      <c r="D523" s="1042" t="s">
        <v>295</v>
      </c>
      <c r="E523" s="1047" t="s">
        <v>301</v>
      </c>
      <c r="F523" s="1047" t="s">
        <v>297</v>
      </c>
      <c r="G523" s="1047" t="s">
        <v>92</v>
      </c>
      <c r="H523" s="1047">
        <v>700</v>
      </c>
      <c r="I523" s="1047">
        <v>2018</v>
      </c>
      <c r="J523" s="1047" t="s">
        <v>298</v>
      </c>
      <c r="K523" s="1047" t="s">
        <v>39</v>
      </c>
      <c r="L523" s="1042" t="s">
        <v>299</v>
      </c>
      <c r="M523" s="1042" t="s">
        <v>284</v>
      </c>
      <c r="N523" s="1050">
        <v>45371</v>
      </c>
    </row>
    <row r="524" spans="1:14">
      <c r="A524" s="1042" t="s">
        <v>231</v>
      </c>
      <c r="B524" s="1042" t="s">
        <v>293</v>
      </c>
      <c r="C524" s="1042" t="s">
        <v>294</v>
      </c>
      <c r="D524" s="1042" t="s">
        <v>295</v>
      </c>
      <c r="E524" s="1047" t="s">
        <v>296</v>
      </c>
      <c r="F524" s="1047" t="s">
        <v>297</v>
      </c>
      <c r="G524" s="1047" t="s">
        <v>92</v>
      </c>
      <c r="H524" s="1047">
        <v>659</v>
      </c>
      <c r="I524" s="1047">
        <v>2019</v>
      </c>
      <c r="J524" s="1047" t="s">
        <v>298</v>
      </c>
      <c r="K524" s="1047" t="s">
        <v>39</v>
      </c>
      <c r="L524" s="1042" t="s">
        <v>299</v>
      </c>
      <c r="M524" s="1042" t="s">
        <v>284</v>
      </c>
      <c r="N524" s="1050">
        <v>45371</v>
      </c>
    </row>
    <row r="525" spans="1:14">
      <c r="A525" s="1042" t="s">
        <v>231</v>
      </c>
      <c r="B525" s="1042" t="s">
        <v>293</v>
      </c>
      <c r="C525" s="1042" t="s">
        <v>294</v>
      </c>
      <c r="D525" s="1042" t="s">
        <v>295</v>
      </c>
      <c r="E525" s="1047" t="s">
        <v>303</v>
      </c>
      <c r="F525" s="1047" t="s">
        <v>297</v>
      </c>
      <c r="G525" s="1047" t="s">
        <v>92</v>
      </c>
      <c r="H525" s="1047">
        <v>41</v>
      </c>
      <c r="I525" s="1047">
        <v>2019</v>
      </c>
      <c r="J525" s="1047" t="s">
        <v>298</v>
      </c>
      <c r="K525" s="1047" t="s">
        <v>39</v>
      </c>
      <c r="L525" s="1042" t="s">
        <v>299</v>
      </c>
      <c r="M525" s="1042" t="s">
        <v>284</v>
      </c>
      <c r="N525" s="1050">
        <v>45371</v>
      </c>
    </row>
    <row r="526" spans="1:14">
      <c r="A526" s="1042" t="s">
        <v>231</v>
      </c>
      <c r="B526" s="1042" t="s">
        <v>293</v>
      </c>
      <c r="C526" s="1042" t="s">
        <v>294</v>
      </c>
      <c r="D526" s="1042" t="s">
        <v>295</v>
      </c>
      <c r="E526" s="1047" t="s">
        <v>304</v>
      </c>
      <c r="F526" s="1047" t="s">
        <v>297</v>
      </c>
      <c r="G526" s="1047" t="s">
        <v>92</v>
      </c>
      <c r="H526" s="1047">
        <v>84</v>
      </c>
      <c r="I526" s="1047">
        <v>2019</v>
      </c>
      <c r="J526" s="1047" t="s">
        <v>298</v>
      </c>
      <c r="K526" s="1047" t="s">
        <v>39</v>
      </c>
      <c r="L526" s="1042" t="s">
        <v>299</v>
      </c>
      <c r="M526" s="1042" t="s">
        <v>284</v>
      </c>
      <c r="N526" s="1050">
        <v>45371</v>
      </c>
    </row>
    <row r="527" spans="1:14">
      <c r="A527" s="1042" t="s">
        <v>231</v>
      </c>
      <c r="B527" s="1042" t="s">
        <v>293</v>
      </c>
      <c r="C527" s="1042" t="s">
        <v>294</v>
      </c>
      <c r="D527" s="1042" t="s">
        <v>295</v>
      </c>
      <c r="E527" s="1047" t="s">
        <v>306</v>
      </c>
      <c r="F527" s="1047" t="s">
        <v>297</v>
      </c>
      <c r="G527" s="1047" t="s">
        <v>92</v>
      </c>
      <c r="H527" s="1047">
        <v>73</v>
      </c>
      <c r="I527" s="1047">
        <v>2019</v>
      </c>
      <c r="J527" s="1047" t="s">
        <v>298</v>
      </c>
      <c r="K527" s="1047" t="s">
        <v>39</v>
      </c>
      <c r="L527" s="1042" t="s">
        <v>299</v>
      </c>
      <c r="M527" s="1042" t="s">
        <v>284</v>
      </c>
      <c r="N527" s="1050">
        <v>45371</v>
      </c>
    </row>
    <row r="528" spans="1:14">
      <c r="A528" s="1042" t="s">
        <v>231</v>
      </c>
      <c r="B528" s="1042" t="s">
        <v>293</v>
      </c>
      <c r="C528" s="1042" t="s">
        <v>294</v>
      </c>
      <c r="D528" s="1042" t="s">
        <v>295</v>
      </c>
      <c r="E528" s="1047" t="s">
        <v>305</v>
      </c>
      <c r="F528" s="1047" t="s">
        <v>297</v>
      </c>
      <c r="G528" s="1047" t="s">
        <v>92</v>
      </c>
      <c r="H528" s="1047">
        <v>155</v>
      </c>
      <c r="I528" s="1047">
        <v>2019</v>
      </c>
      <c r="J528" s="1047" t="s">
        <v>298</v>
      </c>
      <c r="K528" s="1047" t="s">
        <v>39</v>
      </c>
      <c r="L528" s="1042" t="s">
        <v>299</v>
      </c>
      <c r="M528" s="1042" t="s">
        <v>284</v>
      </c>
      <c r="N528" s="1050">
        <v>45371</v>
      </c>
    </row>
    <row r="529" spans="1:14">
      <c r="A529" s="1042" t="s">
        <v>231</v>
      </c>
      <c r="B529" s="1042" t="s">
        <v>293</v>
      </c>
      <c r="C529" s="1042" t="s">
        <v>294</v>
      </c>
      <c r="D529" s="1042" t="s">
        <v>295</v>
      </c>
      <c r="E529" s="1047" t="s">
        <v>301</v>
      </c>
      <c r="F529" s="1047" t="s">
        <v>297</v>
      </c>
      <c r="G529" s="1047" t="s">
        <v>92</v>
      </c>
      <c r="H529" s="1047">
        <v>774</v>
      </c>
      <c r="I529" s="1047">
        <v>2019</v>
      </c>
      <c r="J529" s="1047" t="s">
        <v>298</v>
      </c>
      <c r="K529" s="1047" t="s">
        <v>39</v>
      </c>
      <c r="L529" s="1042" t="s">
        <v>299</v>
      </c>
      <c r="M529" s="1042" t="s">
        <v>284</v>
      </c>
      <c r="N529" s="1050">
        <v>45371</v>
      </c>
    </row>
    <row r="530" spans="1:14">
      <c r="A530" s="1042" t="s">
        <v>231</v>
      </c>
      <c r="B530" s="1042" t="s">
        <v>293</v>
      </c>
      <c r="C530" s="1042" t="s">
        <v>294</v>
      </c>
      <c r="D530" s="1042" t="s">
        <v>295</v>
      </c>
      <c r="E530" s="1047" t="s">
        <v>296</v>
      </c>
      <c r="F530" s="1047" t="s">
        <v>297</v>
      </c>
      <c r="G530" s="1047" t="s">
        <v>92</v>
      </c>
      <c r="H530" s="1047">
        <v>240</v>
      </c>
      <c r="I530" s="1047">
        <v>2020</v>
      </c>
      <c r="J530" s="1047" t="s">
        <v>298</v>
      </c>
      <c r="K530" s="1047" t="s">
        <v>39</v>
      </c>
      <c r="L530" s="1042" t="s">
        <v>299</v>
      </c>
      <c r="M530" s="1042" t="s">
        <v>284</v>
      </c>
      <c r="N530" s="1050">
        <v>45371</v>
      </c>
    </row>
    <row r="531" spans="1:14">
      <c r="A531" s="1042" t="s">
        <v>231</v>
      </c>
      <c r="B531" s="1042" t="s">
        <v>293</v>
      </c>
      <c r="C531" s="1042" t="s">
        <v>294</v>
      </c>
      <c r="D531" s="1042" t="s">
        <v>295</v>
      </c>
      <c r="E531" s="1047" t="s">
        <v>303</v>
      </c>
      <c r="F531" s="1047" t="s">
        <v>297</v>
      </c>
      <c r="G531" s="1047" t="s">
        <v>92</v>
      </c>
      <c r="H531" s="1047">
        <v>39</v>
      </c>
      <c r="I531" s="1047">
        <v>2020</v>
      </c>
      <c r="J531" s="1047" t="s">
        <v>298</v>
      </c>
      <c r="K531" s="1047" t="s">
        <v>39</v>
      </c>
      <c r="L531" s="1042" t="s">
        <v>299</v>
      </c>
      <c r="M531" s="1042" t="s">
        <v>284</v>
      </c>
      <c r="N531" s="1050">
        <v>45371</v>
      </c>
    </row>
    <row r="532" spans="1:14">
      <c r="A532" s="1042" t="s">
        <v>231</v>
      </c>
      <c r="B532" s="1042" t="s">
        <v>293</v>
      </c>
      <c r="C532" s="1042" t="s">
        <v>294</v>
      </c>
      <c r="D532" s="1042" t="s">
        <v>295</v>
      </c>
      <c r="E532" s="1047" t="s">
        <v>304</v>
      </c>
      <c r="F532" s="1047" t="s">
        <v>297</v>
      </c>
      <c r="G532" s="1047" t="s">
        <v>92</v>
      </c>
      <c r="H532" s="1047">
        <v>84</v>
      </c>
      <c r="I532" s="1047">
        <v>2020</v>
      </c>
      <c r="J532" s="1047" t="s">
        <v>298</v>
      </c>
      <c r="K532" s="1047" t="s">
        <v>39</v>
      </c>
      <c r="L532" s="1042" t="s">
        <v>299</v>
      </c>
      <c r="M532" s="1042" t="s">
        <v>284</v>
      </c>
      <c r="N532" s="1050">
        <v>45371</v>
      </c>
    </row>
    <row r="533" spans="1:14">
      <c r="A533" s="1042" t="s">
        <v>231</v>
      </c>
      <c r="B533" s="1042" t="s">
        <v>293</v>
      </c>
      <c r="C533" s="1042" t="s">
        <v>294</v>
      </c>
      <c r="D533" s="1042" t="s">
        <v>295</v>
      </c>
      <c r="E533" s="1047" t="s">
        <v>306</v>
      </c>
      <c r="F533" s="1047" t="s">
        <v>297</v>
      </c>
      <c r="G533" s="1047" t="s">
        <v>92</v>
      </c>
      <c r="H533" s="1047">
        <v>155</v>
      </c>
      <c r="I533" s="1047">
        <v>2020</v>
      </c>
      <c r="J533" s="1047" t="s">
        <v>298</v>
      </c>
      <c r="K533" s="1047" t="s">
        <v>39</v>
      </c>
      <c r="L533" s="1042" t="s">
        <v>299</v>
      </c>
      <c r="M533" s="1042" t="s">
        <v>284</v>
      </c>
      <c r="N533" s="1050">
        <v>45371</v>
      </c>
    </row>
    <row r="534" spans="1:14">
      <c r="A534" s="1042" t="s">
        <v>231</v>
      </c>
      <c r="B534" s="1042" t="s">
        <v>293</v>
      </c>
      <c r="C534" s="1042" t="s">
        <v>294</v>
      </c>
      <c r="D534" s="1042" t="s">
        <v>295</v>
      </c>
      <c r="E534" s="1047" t="s">
        <v>307</v>
      </c>
      <c r="F534" s="1047" t="s">
        <v>297</v>
      </c>
      <c r="G534" s="1047" t="s">
        <v>92</v>
      </c>
      <c r="H534" s="1047">
        <v>116</v>
      </c>
      <c r="I534" s="1047">
        <v>2020</v>
      </c>
      <c r="J534" s="1047" t="s">
        <v>298</v>
      </c>
      <c r="K534" s="1047" t="s">
        <v>39</v>
      </c>
      <c r="L534" s="1042" t="s">
        <v>299</v>
      </c>
      <c r="M534" s="1042" t="s">
        <v>284</v>
      </c>
      <c r="N534" s="1050">
        <v>45371</v>
      </c>
    </row>
    <row r="535" spans="1:14">
      <c r="A535" s="1042" t="s">
        <v>231</v>
      </c>
      <c r="B535" s="1042" t="s">
        <v>293</v>
      </c>
      <c r="C535" s="1042" t="s">
        <v>294</v>
      </c>
      <c r="D535" s="1042" t="s">
        <v>295</v>
      </c>
      <c r="E535" s="1047" t="s">
        <v>308</v>
      </c>
      <c r="F535" s="1047" t="s">
        <v>297</v>
      </c>
      <c r="G535" s="1047" t="s">
        <v>92</v>
      </c>
      <c r="H535" s="1047">
        <v>155</v>
      </c>
      <c r="I535" s="1047">
        <v>2020</v>
      </c>
      <c r="J535" s="1047" t="s">
        <v>298</v>
      </c>
      <c r="K535" s="1047" t="s">
        <v>39</v>
      </c>
      <c r="L535" s="1042" t="s">
        <v>299</v>
      </c>
      <c r="M535" s="1042" t="s">
        <v>284</v>
      </c>
      <c r="N535" s="1050">
        <v>45371</v>
      </c>
    </row>
    <row r="536" spans="1:14">
      <c r="A536" s="1042" t="s">
        <v>231</v>
      </c>
      <c r="B536" s="1042" t="s">
        <v>293</v>
      </c>
      <c r="C536" s="1042" t="s">
        <v>294</v>
      </c>
      <c r="D536" s="1042" t="s">
        <v>295</v>
      </c>
      <c r="E536" s="1047" t="s">
        <v>296</v>
      </c>
      <c r="F536" s="1047" t="s">
        <v>297</v>
      </c>
      <c r="G536" s="1047" t="s">
        <v>92</v>
      </c>
      <c r="I536" s="1047">
        <v>2021</v>
      </c>
      <c r="J536" s="1047" t="s">
        <v>298</v>
      </c>
      <c r="K536" s="1047" t="s">
        <v>39</v>
      </c>
      <c r="L536" s="1042" t="s">
        <v>299</v>
      </c>
      <c r="M536" s="1042" t="s">
        <v>284</v>
      </c>
      <c r="N536" s="1050">
        <v>45371</v>
      </c>
    </row>
    <row r="537" spans="1:14">
      <c r="A537" s="1042" t="s">
        <v>231</v>
      </c>
      <c r="B537" s="1042" t="s">
        <v>293</v>
      </c>
      <c r="C537" s="1042" t="s">
        <v>294</v>
      </c>
      <c r="D537" s="1042" t="s">
        <v>295</v>
      </c>
      <c r="E537" s="1047" t="s">
        <v>303</v>
      </c>
      <c r="F537" s="1047" t="s">
        <v>297</v>
      </c>
      <c r="G537" s="1047" t="s">
        <v>92</v>
      </c>
      <c r="H537" s="1047">
        <v>44</v>
      </c>
      <c r="I537" s="1047">
        <v>2021</v>
      </c>
      <c r="J537" s="1047" t="s">
        <v>298</v>
      </c>
      <c r="K537" s="1047" t="s">
        <v>39</v>
      </c>
      <c r="L537" s="1042" t="s">
        <v>299</v>
      </c>
      <c r="M537" s="1042" t="s">
        <v>284</v>
      </c>
      <c r="N537" s="1050">
        <v>45371</v>
      </c>
    </row>
    <row r="538" spans="1:14">
      <c r="A538" s="1042" t="s">
        <v>231</v>
      </c>
      <c r="B538" s="1042" t="s">
        <v>293</v>
      </c>
      <c r="C538" s="1042" t="s">
        <v>294</v>
      </c>
      <c r="D538" s="1042" t="s">
        <v>295</v>
      </c>
      <c r="E538" s="1047" t="s">
        <v>304</v>
      </c>
      <c r="F538" s="1047" t="s">
        <v>297</v>
      </c>
      <c r="G538" s="1047" t="s">
        <v>92</v>
      </c>
      <c r="H538" s="1047">
        <v>263</v>
      </c>
      <c r="I538" s="1047">
        <v>2021</v>
      </c>
      <c r="J538" s="1047" t="s">
        <v>298</v>
      </c>
      <c r="K538" s="1047" t="s">
        <v>39</v>
      </c>
      <c r="L538" s="1042" t="s">
        <v>299</v>
      </c>
      <c r="M538" s="1042" t="s">
        <v>284</v>
      </c>
      <c r="N538" s="1050">
        <v>45371</v>
      </c>
    </row>
    <row r="539" spans="1:14">
      <c r="A539" s="1042" t="s">
        <v>231</v>
      </c>
      <c r="B539" s="1042" t="s">
        <v>293</v>
      </c>
      <c r="C539" s="1042" t="s">
        <v>294</v>
      </c>
      <c r="D539" s="1042" t="s">
        <v>295</v>
      </c>
      <c r="E539" s="1047" t="s">
        <v>306</v>
      </c>
      <c r="F539" s="1047" t="s">
        <v>297</v>
      </c>
      <c r="G539" s="1047" t="s">
        <v>92</v>
      </c>
      <c r="H539" s="1047">
        <v>127</v>
      </c>
      <c r="I539" s="1047">
        <v>2021</v>
      </c>
      <c r="J539" s="1047" t="s">
        <v>298</v>
      </c>
      <c r="K539" s="1047" t="s">
        <v>39</v>
      </c>
      <c r="L539" s="1042" t="s">
        <v>299</v>
      </c>
      <c r="M539" s="1042" t="s">
        <v>284</v>
      </c>
      <c r="N539" s="1050">
        <v>45371</v>
      </c>
    </row>
    <row r="540" spans="1:14">
      <c r="A540" s="1042" t="s">
        <v>231</v>
      </c>
      <c r="B540" s="1042" t="s">
        <v>293</v>
      </c>
      <c r="C540" s="1042" t="s">
        <v>294</v>
      </c>
      <c r="D540" s="1042" t="s">
        <v>295</v>
      </c>
      <c r="E540" s="1047" t="s">
        <v>308</v>
      </c>
      <c r="F540" s="1047" t="s">
        <v>297</v>
      </c>
      <c r="G540" s="1047" t="s">
        <v>92</v>
      </c>
      <c r="H540" s="1047">
        <v>375</v>
      </c>
      <c r="I540" s="1047">
        <v>2021</v>
      </c>
      <c r="J540" s="1047" t="s">
        <v>298</v>
      </c>
      <c r="K540" s="1047" t="s">
        <v>39</v>
      </c>
      <c r="L540" s="1042" t="s">
        <v>299</v>
      </c>
      <c r="M540" s="1042" t="s">
        <v>284</v>
      </c>
      <c r="N540" s="1050">
        <v>45371</v>
      </c>
    </row>
    <row r="541" spans="1:14">
      <c r="A541" s="1042" t="s">
        <v>231</v>
      </c>
      <c r="B541" s="1042" t="s">
        <v>293</v>
      </c>
      <c r="C541" s="1042" t="s">
        <v>294</v>
      </c>
      <c r="D541" s="1042" t="s">
        <v>295</v>
      </c>
      <c r="E541" s="1047" t="s">
        <v>296</v>
      </c>
      <c r="F541" s="1047" t="s">
        <v>297</v>
      </c>
      <c r="G541" s="1047" t="s">
        <v>92</v>
      </c>
      <c r="H541" s="1047">
        <v>722</v>
      </c>
      <c r="I541" s="1047">
        <v>2022</v>
      </c>
      <c r="J541" s="1047" t="s">
        <v>298</v>
      </c>
      <c r="K541" s="1047" t="s">
        <v>39</v>
      </c>
      <c r="L541" s="1042" t="s">
        <v>299</v>
      </c>
      <c r="M541" s="1042" t="s">
        <v>284</v>
      </c>
      <c r="N541" s="1050">
        <v>45371</v>
      </c>
    </row>
    <row r="542" spans="1:14">
      <c r="A542" s="1042" t="s">
        <v>231</v>
      </c>
      <c r="B542" s="1042" t="s">
        <v>293</v>
      </c>
      <c r="C542" s="1042" t="s">
        <v>294</v>
      </c>
      <c r="D542" s="1042" t="s">
        <v>295</v>
      </c>
      <c r="E542" s="1047" t="s">
        <v>309</v>
      </c>
      <c r="F542" s="1047" t="s">
        <v>297</v>
      </c>
      <c r="G542" s="1047" t="s">
        <v>92</v>
      </c>
      <c r="H542" s="1047">
        <v>89</v>
      </c>
      <c r="I542" s="1047">
        <v>2022</v>
      </c>
      <c r="J542" s="1047" t="s">
        <v>298</v>
      </c>
      <c r="K542" s="1047" t="s">
        <v>39</v>
      </c>
      <c r="L542" s="1042" t="s">
        <v>299</v>
      </c>
      <c r="M542" s="1042" t="s">
        <v>284</v>
      </c>
      <c r="N542" s="1050">
        <v>45371</v>
      </c>
    </row>
    <row r="543" spans="1:14">
      <c r="A543" s="1042" t="s">
        <v>231</v>
      </c>
      <c r="B543" s="1042" t="s">
        <v>293</v>
      </c>
      <c r="C543" s="1042" t="s">
        <v>294</v>
      </c>
      <c r="D543" s="1042" t="s">
        <v>295</v>
      </c>
      <c r="E543" s="1047" t="s">
        <v>304</v>
      </c>
      <c r="F543" s="1047" t="s">
        <v>297</v>
      </c>
      <c r="G543" s="1047" t="s">
        <v>92</v>
      </c>
      <c r="H543" s="1047">
        <v>184</v>
      </c>
      <c r="I543" s="1047">
        <v>2022</v>
      </c>
      <c r="J543" s="1047" t="s">
        <v>298</v>
      </c>
      <c r="K543" s="1047" t="s">
        <v>39</v>
      </c>
      <c r="L543" s="1042" t="s">
        <v>299</v>
      </c>
      <c r="M543" s="1042" t="s">
        <v>284</v>
      </c>
      <c r="N543" s="1050">
        <v>45371</v>
      </c>
    </row>
    <row r="544" spans="1:14">
      <c r="A544" s="1042" t="s">
        <v>231</v>
      </c>
      <c r="B544" s="1042" t="s">
        <v>293</v>
      </c>
      <c r="C544" s="1042" t="s">
        <v>294</v>
      </c>
      <c r="D544" s="1042" t="s">
        <v>295</v>
      </c>
      <c r="E544" s="1047" t="s">
        <v>308</v>
      </c>
      <c r="F544" s="1047" t="s">
        <v>297</v>
      </c>
      <c r="G544" s="1047" t="s">
        <v>92</v>
      </c>
      <c r="H544" s="1047">
        <v>35</v>
      </c>
      <c r="I544" s="1047">
        <v>2022</v>
      </c>
      <c r="J544" s="1047" t="s">
        <v>298</v>
      </c>
      <c r="K544" s="1047" t="s">
        <v>39</v>
      </c>
      <c r="L544" s="1042" t="s">
        <v>299</v>
      </c>
      <c r="M544" s="1042" t="s">
        <v>284</v>
      </c>
      <c r="N544" s="1050">
        <v>45371</v>
      </c>
    </row>
    <row r="545" spans="1:14">
      <c r="A545" s="1042" t="s">
        <v>231</v>
      </c>
      <c r="B545" s="1042" t="s">
        <v>293</v>
      </c>
      <c r="C545" s="1042" t="s">
        <v>310</v>
      </c>
      <c r="D545" s="1042" t="s">
        <v>311</v>
      </c>
      <c r="E545" s="1047" t="s">
        <v>296</v>
      </c>
      <c r="F545" s="1047" t="s">
        <v>297</v>
      </c>
      <c r="G545" s="1047" t="s">
        <v>92</v>
      </c>
      <c r="H545" s="1047">
        <v>41401482</v>
      </c>
      <c r="I545" s="1047">
        <v>2014</v>
      </c>
      <c r="J545" s="1047" t="s">
        <v>298</v>
      </c>
      <c r="K545" s="1047" t="s">
        <v>39</v>
      </c>
      <c r="L545" s="1042" t="s">
        <v>299</v>
      </c>
      <c r="M545" s="1042" t="s">
        <v>283</v>
      </c>
      <c r="N545" s="1050">
        <v>45371</v>
      </c>
    </row>
    <row r="546" spans="1:14">
      <c r="A546" s="1042" t="s">
        <v>231</v>
      </c>
      <c r="B546" s="1042" t="s">
        <v>293</v>
      </c>
      <c r="C546" s="1042" t="s">
        <v>310</v>
      </c>
      <c r="D546" s="1042" t="s">
        <v>311</v>
      </c>
      <c r="E546" s="1047" t="s">
        <v>300</v>
      </c>
      <c r="F546" s="1047" t="s">
        <v>297</v>
      </c>
      <c r="G546" s="1047" t="s">
        <v>92</v>
      </c>
      <c r="H546" s="1047">
        <v>0</v>
      </c>
      <c r="I546" s="1047">
        <v>2014</v>
      </c>
      <c r="J546" s="1047" t="s">
        <v>298</v>
      </c>
      <c r="K546" s="1047" t="s">
        <v>39</v>
      </c>
      <c r="L546" s="1042" t="s">
        <v>299</v>
      </c>
      <c r="M546" s="1042" t="s">
        <v>283</v>
      </c>
      <c r="N546" s="1050">
        <v>45371</v>
      </c>
    </row>
    <row r="547" spans="1:14">
      <c r="A547" s="1042" t="s">
        <v>231</v>
      </c>
      <c r="B547" s="1042" t="s">
        <v>293</v>
      </c>
      <c r="C547" s="1042" t="s">
        <v>310</v>
      </c>
      <c r="D547" s="1042" t="s">
        <v>311</v>
      </c>
      <c r="E547" s="1047" t="s">
        <v>296</v>
      </c>
      <c r="F547" s="1047" t="s">
        <v>297</v>
      </c>
      <c r="G547" s="1047" t="s">
        <v>92</v>
      </c>
      <c r="H547" s="1047">
        <v>125267190</v>
      </c>
      <c r="I547" s="1047">
        <v>2015</v>
      </c>
      <c r="J547" s="1047" t="s">
        <v>298</v>
      </c>
      <c r="K547" s="1047" t="s">
        <v>39</v>
      </c>
      <c r="L547" s="1042" t="s">
        <v>299</v>
      </c>
      <c r="M547" s="1042" t="s">
        <v>283</v>
      </c>
      <c r="N547" s="1050">
        <v>45371</v>
      </c>
    </row>
    <row r="548" spans="1:14">
      <c r="A548" s="1042" t="s">
        <v>231</v>
      </c>
      <c r="B548" s="1042" t="s">
        <v>293</v>
      </c>
      <c r="C548" s="1042" t="s">
        <v>310</v>
      </c>
      <c r="D548" s="1042" t="s">
        <v>311</v>
      </c>
      <c r="E548" s="1047" t="s">
        <v>300</v>
      </c>
      <c r="F548" s="1047" t="s">
        <v>297</v>
      </c>
      <c r="G548" s="1047" t="s">
        <v>92</v>
      </c>
      <c r="H548" s="1047">
        <v>384980937.8046875</v>
      </c>
      <c r="I548" s="1047">
        <v>2015</v>
      </c>
      <c r="J548" s="1047" t="s">
        <v>298</v>
      </c>
      <c r="K548" s="1047" t="s">
        <v>39</v>
      </c>
      <c r="L548" s="1042" t="s">
        <v>299</v>
      </c>
      <c r="M548" s="1042" t="s">
        <v>283</v>
      </c>
      <c r="N548" s="1050">
        <v>45371</v>
      </c>
    </row>
    <row r="549" spans="1:14">
      <c r="A549" s="1042" t="s">
        <v>231</v>
      </c>
      <c r="B549" s="1042" t="s">
        <v>293</v>
      </c>
      <c r="C549" s="1042" t="s">
        <v>310</v>
      </c>
      <c r="D549" s="1042" t="s">
        <v>311</v>
      </c>
      <c r="E549" s="1047" t="s">
        <v>301</v>
      </c>
      <c r="F549" s="1047" t="s">
        <v>297</v>
      </c>
      <c r="G549" s="1047" t="s">
        <v>92</v>
      </c>
      <c r="H549" s="1047">
        <v>67269382.9453125</v>
      </c>
      <c r="I549" s="1047">
        <v>2015</v>
      </c>
      <c r="J549" s="1047" t="s">
        <v>298</v>
      </c>
      <c r="K549" s="1047" t="s">
        <v>39</v>
      </c>
      <c r="L549" s="1042" t="s">
        <v>299</v>
      </c>
      <c r="M549" s="1042" t="s">
        <v>283</v>
      </c>
      <c r="N549" s="1050">
        <v>45371</v>
      </c>
    </row>
    <row r="550" spans="1:14">
      <c r="A550" s="1042" t="s">
        <v>231</v>
      </c>
      <c r="B550" s="1042" t="s">
        <v>293</v>
      </c>
      <c r="C550" s="1042" t="s">
        <v>310</v>
      </c>
      <c r="D550" s="1042" t="s">
        <v>311</v>
      </c>
      <c r="E550" s="1047" t="s">
        <v>296</v>
      </c>
      <c r="F550" s="1047" t="s">
        <v>297</v>
      </c>
      <c r="G550" s="1047" t="s">
        <v>92</v>
      </c>
      <c r="H550" s="1047">
        <v>117054261</v>
      </c>
      <c r="I550" s="1047">
        <v>2016</v>
      </c>
      <c r="J550" s="1047" t="s">
        <v>298</v>
      </c>
      <c r="K550" s="1047" t="s">
        <v>39</v>
      </c>
      <c r="L550" s="1042" t="s">
        <v>299</v>
      </c>
      <c r="M550" s="1042" t="s">
        <v>283</v>
      </c>
      <c r="N550" s="1050">
        <v>45371</v>
      </c>
    </row>
    <row r="551" spans="1:14">
      <c r="A551" s="1042" t="s">
        <v>231</v>
      </c>
      <c r="B551" s="1042" t="s">
        <v>293</v>
      </c>
      <c r="C551" s="1042" t="s">
        <v>310</v>
      </c>
      <c r="D551" s="1042" t="s">
        <v>311</v>
      </c>
      <c r="E551" s="1047" t="s">
        <v>300</v>
      </c>
      <c r="F551" s="1047" t="s">
        <v>297</v>
      </c>
      <c r="G551" s="1047" t="s">
        <v>92</v>
      </c>
      <c r="H551" s="1047">
        <v>512102843</v>
      </c>
      <c r="I551" s="1047">
        <v>2016</v>
      </c>
      <c r="J551" s="1047" t="s">
        <v>298</v>
      </c>
      <c r="K551" s="1047" t="s">
        <v>39</v>
      </c>
      <c r="L551" s="1042" t="s">
        <v>299</v>
      </c>
      <c r="M551" s="1042" t="s">
        <v>283</v>
      </c>
      <c r="N551" s="1050">
        <v>45371</v>
      </c>
    </row>
    <row r="552" spans="1:14">
      <c r="A552" s="1042" t="s">
        <v>231</v>
      </c>
      <c r="B552" s="1042" t="s">
        <v>293</v>
      </c>
      <c r="C552" s="1042" t="s">
        <v>310</v>
      </c>
      <c r="D552" s="1042" t="s">
        <v>311</v>
      </c>
      <c r="E552" s="1047" t="s">
        <v>301</v>
      </c>
      <c r="F552" s="1047" t="s">
        <v>297</v>
      </c>
      <c r="G552" s="1047" t="s">
        <v>92</v>
      </c>
      <c r="H552" s="1047">
        <v>13441553</v>
      </c>
      <c r="I552" s="1047">
        <v>2016</v>
      </c>
      <c r="J552" s="1047" t="s">
        <v>298</v>
      </c>
      <c r="K552" s="1047" t="s">
        <v>39</v>
      </c>
      <c r="L552" s="1042" t="s">
        <v>299</v>
      </c>
      <c r="M552" s="1042" t="s">
        <v>283</v>
      </c>
      <c r="N552" s="1050">
        <v>45371</v>
      </c>
    </row>
    <row r="553" spans="1:14">
      <c r="A553" s="1042" t="s">
        <v>231</v>
      </c>
      <c r="B553" s="1042" t="s">
        <v>293</v>
      </c>
      <c r="C553" s="1042" t="s">
        <v>310</v>
      </c>
      <c r="D553" s="1042" t="s">
        <v>311</v>
      </c>
      <c r="E553" s="1047" t="s">
        <v>296</v>
      </c>
      <c r="F553" s="1047" t="s">
        <v>297</v>
      </c>
      <c r="G553" s="1047" t="s">
        <v>92</v>
      </c>
      <c r="H553" s="1047">
        <v>191840623.5</v>
      </c>
      <c r="I553" s="1047">
        <v>2017</v>
      </c>
      <c r="J553" s="1047" t="s">
        <v>298</v>
      </c>
      <c r="K553" s="1047" t="s">
        <v>39</v>
      </c>
      <c r="L553" s="1042" t="s">
        <v>299</v>
      </c>
      <c r="M553" s="1042" t="s">
        <v>283</v>
      </c>
      <c r="N553" s="1050">
        <v>45371</v>
      </c>
    </row>
    <row r="554" spans="1:14">
      <c r="A554" s="1042" t="s">
        <v>231</v>
      </c>
      <c r="B554" s="1042" t="s">
        <v>293</v>
      </c>
      <c r="C554" s="1042" t="s">
        <v>310</v>
      </c>
      <c r="D554" s="1042" t="s">
        <v>311</v>
      </c>
      <c r="E554" s="1047" t="s">
        <v>302</v>
      </c>
      <c r="F554" s="1047" t="s">
        <v>297</v>
      </c>
      <c r="G554" s="1047" t="s">
        <v>92</v>
      </c>
      <c r="H554" s="1047">
        <v>716369664</v>
      </c>
      <c r="I554" s="1047">
        <v>2017</v>
      </c>
      <c r="J554" s="1047" t="s">
        <v>298</v>
      </c>
      <c r="K554" s="1047" t="s">
        <v>39</v>
      </c>
      <c r="L554" s="1042" t="s">
        <v>299</v>
      </c>
      <c r="M554" s="1042" t="s">
        <v>283</v>
      </c>
      <c r="N554" s="1050">
        <v>45371</v>
      </c>
    </row>
    <row r="555" spans="1:14">
      <c r="A555" s="1042" t="s">
        <v>231</v>
      </c>
      <c r="B555" s="1042" t="s">
        <v>293</v>
      </c>
      <c r="C555" s="1042" t="s">
        <v>310</v>
      </c>
      <c r="D555" s="1042" t="s">
        <v>311</v>
      </c>
      <c r="E555" s="1047" t="s">
        <v>301</v>
      </c>
      <c r="F555" s="1047" t="s">
        <v>297</v>
      </c>
      <c r="G555" s="1047" t="s">
        <v>92</v>
      </c>
      <c r="H555" s="1047">
        <v>23213436</v>
      </c>
      <c r="I555" s="1047">
        <v>2017</v>
      </c>
      <c r="J555" s="1047" t="s">
        <v>298</v>
      </c>
      <c r="K555" s="1047" t="s">
        <v>39</v>
      </c>
      <c r="L555" s="1042" t="s">
        <v>299</v>
      </c>
      <c r="M555" s="1042" t="s">
        <v>283</v>
      </c>
      <c r="N555" s="1050">
        <v>45371</v>
      </c>
    </row>
    <row r="556" spans="1:14">
      <c r="A556" s="1042" t="s">
        <v>231</v>
      </c>
      <c r="B556" s="1042" t="s">
        <v>293</v>
      </c>
      <c r="C556" s="1042" t="s">
        <v>310</v>
      </c>
      <c r="D556" s="1042" t="s">
        <v>311</v>
      </c>
      <c r="E556" s="1047" t="s">
        <v>296</v>
      </c>
      <c r="F556" s="1047" t="s">
        <v>297</v>
      </c>
      <c r="G556" s="1047" t="s">
        <v>92</v>
      </c>
      <c r="H556" s="1047">
        <v>545001756</v>
      </c>
      <c r="I556" s="1047">
        <v>2018</v>
      </c>
      <c r="J556" s="1047" t="s">
        <v>298</v>
      </c>
      <c r="K556" s="1047" t="s">
        <v>39</v>
      </c>
      <c r="L556" s="1042" t="s">
        <v>299</v>
      </c>
      <c r="M556" s="1042" t="s">
        <v>283</v>
      </c>
      <c r="N556" s="1050">
        <v>45371</v>
      </c>
    </row>
    <row r="557" spans="1:14">
      <c r="A557" s="1042" t="s">
        <v>231</v>
      </c>
      <c r="B557" s="1042" t="s">
        <v>293</v>
      </c>
      <c r="C557" s="1042" t="s">
        <v>310</v>
      </c>
      <c r="D557" s="1042" t="s">
        <v>311</v>
      </c>
      <c r="E557" s="1047" t="s">
        <v>303</v>
      </c>
      <c r="F557" s="1047" t="s">
        <v>297</v>
      </c>
      <c r="G557" s="1047" t="s">
        <v>92</v>
      </c>
      <c r="H557" s="1047">
        <v>171857708</v>
      </c>
      <c r="I557" s="1047">
        <v>2018</v>
      </c>
      <c r="J557" s="1047" t="s">
        <v>298</v>
      </c>
      <c r="K557" s="1047" t="s">
        <v>39</v>
      </c>
      <c r="L557" s="1042" t="s">
        <v>299</v>
      </c>
      <c r="M557" s="1042" t="s">
        <v>283</v>
      </c>
      <c r="N557" s="1050">
        <v>45371</v>
      </c>
    </row>
    <row r="558" spans="1:14">
      <c r="A558" s="1042" t="s">
        <v>231</v>
      </c>
      <c r="B558" s="1042" t="s">
        <v>293</v>
      </c>
      <c r="C558" s="1042" t="s">
        <v>310</v>
      </c>
      <c r="D558" s="1042" t="s">
        <v>311</v>
      </c>
      <c r="E558" s="1047" t="s">
        <v>304</v>
      </c>
      <c r="F558" s="1047" t="s">
        <v>297</v>
      </c>
      <c r="G558" s="1047" t="s">
        <v>92</v>
      </c>
      <c r="H558" s="1047">
        <v>153086574</v>
      </c>
      <c r="I558" s="1047">
        <v>2018</v>
      </c>
      <c r="J558" s="1047" t="s">
        <v>298</v>
      </c>
      <c r="K558" s="1047" t="s">
        <v>39</v>
      </c>
      <c r="L558" s="1042" t="s">
        <v>299</v>
      </c>
      <c r="M558" s="1042" t="s">
        <v>283</v>
      </c>
      <c r="N558" s="1050">
        <v>45371</v>
      </c>
    </row>
    <row r="559" spans="1:14">
      <c r="A559" s="1042" t="s">
        <v>231</v>
      </c>
      <c r="B559" s="1042" t="s">
        <v>293</v>
      </c>
      <c r="C559" s="1042" t="s">
        <v>310</v>
      </c>
      <c r="D559" s="1042" t="s">
        <v>311</v>
      </c>
      <c r="E559" s="1047" t="s">
        <v>302</v>
      </c>
      <c r="F559" s="1047" t="s">
        <v>297</v>
      </c>
      <c r="G559" s="1047" t="s">
        <v>92</v>
      </c>
      <c r="H559" s="1047">
        <v>77932067</v>
      </c>
      <c r="I559" s="1047">
        <v>2018</v>
      </c>
      <c r="J559" s="1047" t="s">
        <v>298</v>
      </c>
      <c r="K559" s="1047" t="s">
        <v>39</v>
      </c>
      <c r="L559" s="1042" t="s">
        <v>299</v>
      </c>
      <c r="M559" s="1042" t="s">
        <v>283</v>
      </c>
      <c r="N559" s="1050">
        <v>45371</v>
      </c>
    </row>
    <row r="560" spans="1:14">
      <c r="A560" s="1042" t="s">
        <v>231</v>
      </c>
      <c r="B560" s="1042" t="s">
        <v>293</v>
      </c>
      <c r="C560" s="1042" t="s">
        <v>310</v>
      </c>
      <c r="D560" s="1042" t="s">
        <v>311</v>
      </c>
      <c r="E560" s="1047" t="s">
        <v>305</v>
      </c>
      <c r="F560" s="1047" t="s">
        <v>297</v>
      </c>
      <c r="G560" s="1047" t="s">
        <v>92</v>
      </c>
      <c r="H560" s="1047">
        <v>476129856</v>
      </c>
      <c r="I560" s="1047">
        <v>2018</v>
      </c>
      <c r="J560" s="1047" t="s">
        <v>298</v>
      </c>
      <c r="K560" s="1047" t="s">
        <v>39</v>
      </c>
      <c r="L560" s="1042" t="s">
        <v>299</v>
      </c>
      <c r="M560" s="1042" t="s">
        <v>283</v>
      </c>
      <c r="N560" s="1050">
        <v>45371</v>
      </c>
    </row>
    <row r="561" spans="1:14">
      <c r="A561" s="1042" t="s">
        <v>231</v>
      </c>
      <c r="B561" s="1042" t="s">
        <v>293</v>
      </c>
      <c r="C561" s="1042" t="s">
        <v>310</v>
      </c>
      <c r="D561" s="1042" t="s">
        <v>311</v>
      </c>
      <c r="E561" s="1047" t="s">
        <v>301</v>
      </c>
      <c r="F561" s="1047" t="s">
        <v>297</v>
      </c>
      <c r="G561" s="1047" t="s">
        <v>92</v>
      </c>
      <c r="H561" s="1047">
        <v>61118801</v>
      </c>
      <c r="I561" s="1047">
        <v>2018</v>
      </c>
      <c r="J561" s="1047" t="s">
        <v>298</v>
      </c>
      <c r="K561" s="1047" t="s">
        <v>39</v>
      </c>
      <c r="L561" s="1042" t="s">
        <v>299</v>
      </c>
      <c r="M561" s="1042" t="s">
        <v>283</v>
      </c>
      <c r="N561" s="1050">
        <v>45371</v>
      </c>
    </row>
    <row r="562" spans="1:14">
      <c r="A562" s="1042" t="s">
        <v>231</v>
      </c>
      <c r="B562" s="1042" t="s">
        <v>293</v>
      </c>
      <c r="C562" s="1042" t="s">
        <v>310</v>
      </c>
      <c r="D562" s="1042" t="s">
        <v>311</v>
      </c>
      <c r="E562" s="1047" t="s">
        <v>296</v>
      </c>
      <c r="F562" s="1047" t="s">
        <v>297</v>
      </c>
      <c r="G562" s="1047" t="s">
        <v>92</v>
      </c>
      <c r="H562" s="1047">
        <v>525680141</v>
      </c>
      <c r="I562" s="1047">
        <v>2019</v>
      </c>
      <c r="J562" s="1047" t="s">
        <v>298</v>
      </c>
      <c r="K562" s="1047" t="s">
        <v>39</v>
      </c>
      <c r="L562" s="1042" t="s">
        <v>299</v>
      </c>
      <c r="M562" s="1042" t="s">
        <v>283</v>
      </c>
      <c r="N562" s="1050">
        <v>45371</v>
      </c>
    </row>
    <row r="563" spans="1:14">
      <c r="A563" s="1042" t="s">
        <v>231</v>
      </c>
      <c r="B563" s="1042" t="s">
        <v>293</v>
      </c>
      <c r="C563" s="1042" t="s">
        <v>310</v>
      </c>
      <c r="D563" s="1042" t="s">
        <v>311</v>
      </c>
      <c r="E563" s="1047" t="s">
        <v>303</v>
      </c>
      <c r="F563" s="1047" t="s">
        <v>297</v>
      </c>
      <c r="G563" s="1047" t="s">
        <v>92</v>
      </c>
      <c r="H563" s="1047">
        <v>127630731</v>
      </c>
      <c r="I563" s="1047">
        <v>2019</v>
      </c>
      <c r="J563" s="1047" t="s">
        <v>298</v>
      </c>
      <c r="K563" s="1047" t="s">
        <v>39</v>
      </c>
      <c r="L563" s="1042" t="s">
        <v>299</v>
      </c>
      <c r="M563" s="1042" t="s">
        <v>283</v>
      </c>
      <c r="N563" s="1050">
        <v>45371</v>
      </c>
    </row>
    <row r="564" spans="1:14">
      <c r="A564" s="1042" t="s">
        <v>231</v>
      </c>
      <c r="B564" s="1042" t="s">
        <v>293</v>
      </c>
      <c r="C564" s="1042" t="s">
        <v>310</v>
      </c>
      <c r="D564" s="1042" t="s">
        <v>311</v>
      </c>
      <c r="E564" s="1047" t="s">
        <v>304</v>
      </c>
      <c r="F564" s="1047" t="s">
        <v>297</v>
      </c>
      <c r="G564" s="1047" t="s">
        <v>92</v>
      </c>
      <c r="H564" s="1047">
        <v>165904728</v>
      </c>
      <c r="I564" s="1047">
        <v>2019</v>
      </c>
      <c r="J564" s="1047" t="s">
        <v>298</v>
      </c>
      <c r="K564" s="1047" t="s">
        <v>39</v>
      </c>
      <c r="L564" s="1042" t="s">
        <v>299</v>
      </c>
      <c r="M564" s="1042" t="s">
        <v>283</v>
      </c>
      <c r="N564" s="1050">
        <v>45371</v>
      </c>
    </row>
    <row r="565" spans="1:14">
      <c r="A565" s="1042" t="s">
        <v>231</v>
      </c>
      <c r="B565" s="1042" t="s">
        <v>293</v>
      </c>
      <c r="C565" s="1042" t="s">
        <v>310</v>
      </c>
      <c r="D565" s="1042" t="s">
        <v>311</v>
      </c>
      <c r="E565" s="1047" t="s">
        <v>306</v>
      </c>
      <c r="F565" s="1047" t="s">
        <v>297</v>
      </c>
      <c r="G565" s="1047" t="s">
        <v>92</v>
      </c>
      <c r="H565" s="1047">
        <v>48628008</v>
      </c>
      <c r="I565" s="1047">
        <v>2019</v>
      </c>
      <c r="J565" s="1047" t="s">
        <v>298</v>
      </c>
      <c r="K565" s="1047" t="s">
        <v>39</v>
      </c>
      <c r="L565" s="1042" t="s">
        <v>299</v>
      </c>
      <c r="M565" s="1042" t="s">
        <v>283</v>
      </c>
      <c r="N565" s="1050">
        <v>45371</v>
      </c>
    </row>
    <row r="566" spans="1:14">
      <c r="A566" s="1042" t="s">
        <v>231</v>
      </c>
      <c r="B566" s="1042" t="s">
        <v>293</v>
      </c>
      <c r="C566" s="1042" t="s">
        <v>310</v>
      </c>
      <c r="D566" s="1042" t="s">
        <v>311</v>
      </c>
      <c r="E566" s="1047" t="s">
        <v>305</v>
      </c>
      <c r="F566" s="1047" t="s">
        <v>297</v>
      </c>
      <c r="G566" s="1047" t="s">
        <v>92</v>
      </c>
      <c r="H566" s="1047">
        <v>476129856</v>
      </c>
      <c r="I566" s="1047">
        <v>2019</v>
      </c>
      <c r="J566" s="1047" t="s">
        <v>298</v>
      </c>
      <c r="K566" s="1047" t="s">
        <v>39</v>
      </c>
      <c r="L566" s="1042" t="s">
        <v>299</v>
      </c>
      <c r="M566" s="1042" t="s">
        <v>283</v>
      </c>
      <c r="N566" s="1050">
        <v>45371</v>
      </c>
    </row>
    <row r="567" spans="1:14">
      <c r="A567" s="1042" t="s">
        <v>231</v>
      </c>
      <c r="B567" s="1042" t="s">
        <v>293</v>
      </c>
      <c r="C567" s="1042" t="s">
        <v>310</v>
      </c>
      <c r="D567" s="1042" t="s">
        <v>311</v>
      </c>
      <c r="E567" s="1047" t="s">
        <v>301</v>
      </c>
      <c r="F567" s="1047" t="s">
        <v>297</v>
      </c>
      <c r="G567" s="1047" t="s">
        <v>92</v>
      </c>
      <c r="I567" s="1047">
        <v>2019</v>
      </c>
      <c r="J567" s="1047" t="s">
        <v>298</v>
      </c>
      <c r="K567" s="1047" t="s">
        <v>39</v>
      </c>
      <c r="L567" s="1042" t="s">
        <v>299</v>
      </c>
      <c r="M567" s="1042" t="s">
        <v>283</v>
      </c>
      <c r="N567" s="1050">
        <v>45371</v>
      </c>
    </row>
    <row r="568" spans="1:14">
      <c r="A568" s="1042" t="s">
        <v>231</v>
      </c>
      <c r="B568" s="1042" t="s">
        <v>293</v>
      </c>
      <c r="C568" s="1042" t="s">
        <v>310</v>
      </c>
      <c r="D568" s="1042" t="s">
        <v>311</v>
      </c>
      <c r="E568" s="1047" t="s">
        <v>296</v>
      </c>
      <c r="F568" s="1047" t="s">
        <v>297</v>
      </c>
      <c r="G568" s="1047" t="s">
        <v>92</v>
      </c>
      <c r="H568" s="1047">
        <v>486184847</v>
      </c>
      <c r="I568" s="1047">
        <v>2020</v>
      </c>
      <c r="J568" s="1047" t="s">
        <v>298</v>
      </c>
      <c r="K568" s="1047" t="s">
        <v>39</v>
      </c>
      <c r="L568" s="1042" t="s">
        <v>299</v>
      </c>
      <c r="M568" s="1042" t="s">
        <v>283</v>
      </c>
      <c r="N568" s="1050">
        <v>45371</v>
      </c>
    </row>
    <row r="569" spans="1:14">
      <c r="A569" s="1042" t="s">
        <v>231</v>
      </c>
      <c r="B569" s="1042" t="s">
        <v>293</v>
      </c>
      <c r="C569" s="1042" t="s">
        <v>310</v>
      </c>
      <c r="D569" s="1042" t="s">
        <v>311</v>
      </c>
      <c r="E569" s="1047" t="s">
        <v>303</v>
      </c>
      <c r="F569" s="1047" t="s">
        <v>297</v>
      </c>
      <c r="G569" s="1047" t="s">
        <v>92</v>
      </c>
      <c r="H569" s="1047">
        <v>77870532</v>
      </c>
      <c r="I569" s="1047">
        <v>2020</v>
      </c>
      <c r="J569" s="1047" t="s">
        <v>298</v>
      </c>
      <c r="K569" s="1047" t="s">
        <v>39</v>
      </c>
      <c r="L569" s="1042" t="s">
        <v>299</v>
      </c>
      <c r="M569" s="1042" t="s">
        <v>283</v>
      </c>
      <c r="N569" s="1050">
        <v>45371</v>
      </c>
    </row>
    <row r="570" spans="1:14">
      <c r="A570" s="1042" t="s">
        <v>231</v>
      </c>
      <c r="B570" s="1042" t="s">
        <v>293</v>
      </c>
      <c r="C570" s="1042" t="s">
        <v>310</v>
      </c>
      <c r="D570" s="1042" t="s">
        <v>311</v>
      </c>
      <c r="E570" s="1047" t="s">
        <v>304</v>
      </c>
      <c r="F570" s="1047" t="s">
        <v>297</v>
      </c>
      <c r="G570" s="1047" t="s">
        <v>92</v>
      </c>
      <c r="H570" s="1047">
        <v>125000000</v>
      </c>
      <c r="I570" s="1047">
        <v>2020</v>
      </c>
      <c r="J570" s="1047" t="s">
        <v>298</v>
      </c>
      <c r="K570" s="1047" t="s">
        <v>39</v>
      </c>
      <c r="L570" s="1042" t="s">
        <v>299</v>
      </c>
      <c r="M570" s="1042" t="s">
        <v>283</v>
      </c>
      <c r="N570" s="1050">
        <v>45371</v>
      </c>
    </row>
    <row r="571" spans="1:14">
      <c r="A571" s="1042" t="s">
        <v>231</v>
      </c>
      <c r="B571" s="1042" t="s">
        <v>293</v>
      </c>
      <c r="C571" s="1042" t="s">
        <v>310</v>
      </c>
      <c r="D571" s="1042" t="s">
        <v>311</v>
      </c>
      <c r="E571" s="1047" t="s">
        <v>306</v>
      </c>
      <c r="F571" s="1047" t="s">
        <v>297</v>
      </c>
      <c r="G571" s="1047" t="s">
        <v>92</v>
      </c>
      <c r="H571" s="1047">
        <v>146252601</v>
      </c>
      <c r="I571" s="1047">
        <v>2020</v>
      </c>
      <c r="J571" s="1047" t="s">
        <v>298</v>
      </c>
      <c r="K571" s="1047" t="s">
        <v>39</v>
      </c>
      <c r="L571" s="1042" t="s">
        <v>299</v>
      </c>
      <c r="M571" s="1042" t="s">
        <v>283</v>
      </c>
      <c r="N571" s="1050">
        <v>45371</v>
      </c>
    </row>
    <row r="572" spans="1:14">
      <c r="A572" s="1042" t="s">
        <v>231</v>
      </c>
      <c r="B572" s="1042" t="s">
        <v>293</v>
      </c>
      <c r="C572" s="1042" t="s">
        <v>310</v>
      </c>
      <c r="D572" s="1042" t="s">
        <v>311</v>
      </c>
      <c r="E572" s="1047" t="s">
        <v>307</v>
      </c>
      <c r="F572" s="1047" t="s">
        <v>297</v>
      </c>
      <c r="G572" s="1047" t="s">
        <v>92</v>
      </c>
      <c r="H572" s="1047">
        <v>89408153</v>
      </c>
      <c r="I572" s="1047">
        <v>2020</v>
      </c>
      <c r="J572" s="1047" t="s">
        <v>298</v>
      </c>
      <c r="K572" s="1047" t="s">
        <v>39</v>
      </c>
      <c r="L572" s="1042" t="s">
        <v>299</v>
      </c>
      <c r="M572" s="1042" t="s">
        <v>283</v>
      </c>
      <c r="N572" s="1050">
        <v>45371</v>
      </c>
    </row>
    <row r="573" spans="1:14">
      <c r="A573" s="1042" t="s">
        <v>231</v>
      </c>
      <c r="B573" s="1042" t="s">
        <v>293</v>
      </c>
      <c r="C573" s="1042" t="s">
        <v>310</v>
      </c>
      <c r="D573" s="1042" t="s">
        <v>311</v>
      </c>
      <c r="E573" s="1047" t="s">
        <v>308</v>
      </c>
      <c r="F573" s="1047" t="s">
        <v>297</v>
      </c>
      <c r="G573" s="1047" t="s">
        <v>92</v>
      </c>
      <c r="H573" s="1047">
        <v>66071387</v>
      </c>
      <c r="I573" s="1047">
        <v>2020</v>
      </c>
      <c r="J573" s="1047" t="s">
        <v>298</v>
      </c>
      <c r="K573" s="1047" t="s">
        <v>39</v>
      </c>
      <c r="L573" s="1042" t="s">
        <v>299</v>
      </c>
      <c r="M573" s="1042" t="s">
        <v>283</v>
      </c>
      <c r="N573" s="1050">
        <v>45371</v>
      </c>
    </row>
    <row r="574" spans="1:14">
      <c r="A574" s="1042" t="s">
        <v>231</v>
      </c>
      <c r="B574" s="1042" t="s">
        <v>293</v>
      </c>
      <c r="C574" s="1042" t="s">
        <v>310</v>
      </c>
      <c r="D574" s="1042" t="s">
        <v>311</v>
      </c>
      <c r="E574" s="1047" t="s">
        <v>296</v>
      </c>
      <c r="F574" s="1047" t="s">
        <v>297</v>
      </c>
      <c r="G574" s="1047" t="s">
        <v>92</v>
      </c>
      <c r="H574" s="1047">
        <v>565439076</v>
      </c>
      <c r="I574" s="1047">
        <v>2021</v>
      </c>
      <c r="J574" s="1047" t="s">
        <v>298</v>
      </c>
      <c r="K574" s="1047" t="s">
        <v>39</v>
      </c>
      <c r="L574" s="1042" t="s">
        <v>299</v>
      </c>
      <c r="M574" s="1042" t="s">
        <v>283</v>
      </c>
      <c r="N574" s="1050">
        <v>45371</v>
      </c>
    </row>
    <row r="575" spans="1:14">
      <c r="A575" s="1042" t="s">
        <v>231</v>
      </c>
      <c r="B575" s="1042" t="s">
        <v>293</v>
      </c>
      <c r="C575" s="1042" t="s">
        <v>310</v>
      </c>
      <c r="D575" s="1042" t="s">
        <v>311</v>
      </c>
      <c r="E575" s="1047" t="s">
        <v>303</v>
      </c>
      <c r="F575" s="1047" t="s">
        <v>297</v>
      </c>
      <c r="G575" s="1047" t="s">
        <v>92</v>
      </c>
      <c r="H575" s="1047">
        <v>80885889</v>
      </c>
      <c r="I575" s="1047">
        <v>2021</v>
      </c>
      <c r="J575" s="1047" t="s">
        <v>298</v>
      </c>
      <c r="K575" s="1047" t="s">
        <v>39</v>
      </c>
      <c r="L575" s="1042" t="s">
        <v>299</v>
      </c>
      <c r="M575" s="1042" t="s">
        <v>283</v>
      </c>
      <c r="N575" s="1050">
        <v>45371</v>
      </c>
    </row>
    <row r="576" spans="1:14">
      <c r="A576" s="1042" t="s">
        <v>231</v>
      </c>
      <c r="B576" s="1042" t="s">
        <v>293</v>
      </c>
      <c r="C576" s="1042" t="s">
        <v>310</v>
      </c>
      <c r="D576" s="1042" t="s">
        <v>311</v>
      </c>
      <c r="E576" s="1047" t="s">
        <v>304</v>
      </c>
      <c r="F576" s="1047" t="s">
        <v>297</v>
      </c>
      <c r="G576" s="1047" t="s">
        <v>92</v>
      </c>
      <c r="H576" s="1047">
        <v>144966799</v>
      </c>
      <c r="I576" s="1047">
        <v>2021</v>
      </c>
      <c r="J576" s="1047" t="s">
        <v>298</v>
      </c>
      <c r="K576" s="1047" t="s">
        <v>39</v>
      </c>
      <c r="L576" s="1042" t="s">
        <v>299</v>
      </c>
      <c r="M576" s="1042" t="s">
        <v>283</v>
      </c>
      <c r="N576" s="1050">
        <v>45371</v>
      </c>
    </row>
    <row r="577" spans="1:14">
      <c r="A577" s="1042" t="s">
        <v>231</v>
      </c>
      <c r="B577" s="1042" t="s">
        <v>293</v>
      </c>
      <c r="C577" s="1042" t="s">
        <v>310</v>
      </c>
      <c r="D577" s="1042" t="s">
        <v>311</v>
      </c>
      <c r="E577" s="1047" t="s">
        <v>306</v>
      </c>
      <c r="F577" s="1047" t="s">
        <v>297</v>
      </c>
      <c r="G577" s="1047" t="s">
        <v>92</v>
      </c>
      <c r="H577" s="1047">
        <v>56059866</v>
      </c>
      <c r="I577" s="1047">
        <v>2021</v>
      </c>
      <c r="J577" s="1047" t="s">
        <v>298</v>
      </c>
      <c r="K577" s="1047" t="s">
        <v>39</v>
      </c>
      <c r="L577" s="1042" t="s">
        <v>299</v>
      </c>
      <c r="M577" s="1042" t="s">
        <v>283</v>
      </c>
      <c r="N577" s="1050">
        <v>45371</v>
      </c>
    </row>
    <row r="578" spans="1:14">
      <c r="A578" s="1042" t="s">
        <v>231</v>
      </c>
      <c r="B578" s="1042" t="s">
        <v>293</v>
      </c>
      <c r="C578" s="1042" t="s">
        <v>310</v>
      </c>
      <c r="D578" s="1042" t="s">
        <v>311</v>
      </c>
      <c r="E578" s="1047" t="s">
        <v>308</v>
      </c>
      <c r="F578" s="1047" t="s">
        <v>297</v>
      </c>
      <c r="G578" s="1047" t="s">
        <v>92</v>
      </c>
      <c r="H578" s="1047">
        <v>162196303</v>
      </c>
      <c r="I578" s="1047">
        <v>2021</v>
      </c>
      <c r="J578" s="1047" t="s">
        <v>298</v>
      </c>
      <c r="K578" s="1047" t="s">
        <v>39</v>
      </c>
      <c r="L578" s="1042" t="s">
        <v>299</v>
      </c>
      <c r="M578" s="1042" t="s">
        <v>283</v>
      </c>
      <c r="N578" s="1050">
        <v>45371</v>
      </c>
    </row>
    <row r="579" spans="1:14">
      <c r="A579" s="1042" t="s">
        <v>231</v>
      </c>
      <c r="B579" s="1042" t="s">
        <v>293</v>
      </c>
      <c r="C579" s="1042" t="s">
        <v>310</v>
      </c>
      <c r="D579" s="1042" t="s">
        <v>311</v>
      </c>
      <c r="E579" s="1047" t="s">
        <v>296</v>
      </c>
      <c r="F579" s="1047" t="s">
        <v>297</v>
      </c>
      <c r="G579" s="1047" t="s">
        <v>92</v>
      </c>
      <c r="H579" s="1047">
        <v>324694879</v>
      </c>
      <c r="I579" s="1047">
        <v>2022</v>
      </c>
      <c r="J579" s="1047" t="s">
        <v>298</v>
      </c>
      <c r="K579" s="1047" t="s">
        <v>39</v>
      </c>
      <c r="L579" s="1042" t="s">
        <v>299</v>
      </c>
      <c r="M579" s="1042" t="s">
        <v>283</v>
      </c>
      <c r="N579" s="1050">
        <v>45371</v>
      </c>
    </row>
    <row r="580" spans="1:14">
      <c r="A580" s="1042" t="s">
        <v>231</v>
      </c>
      <c r="B580" s="1042" t="s">
        <v>293</v>
      </c>
      <c r="C580" s="1042" t="s">
        <v>310</v>
      </c>
      <c r="D580" s="1042" t="s">
        <v>311</v>
      </c>
      <c r="E580" s="1047" t="s">
        <v>309</v>
      </c>
      <c r="F580" s="1047" t="s">
        <v>297</v>
      </c>
      <c r="G580" s="1047" t="s">
        <v>92</v>
      </c>
      <c r="H580" s="1047">
        <v>341549400</v>
      </c>
      <c r="I580" s="1047">
        <v>2022</v>
      </c>
      <c r="J580" s="1047" t="s">
        <v>298</v>
      </c>
      <c r="K580" s="1047" t="s">
        <v>39</v>
      </c>
      <c r="L580" s="1042" t="s">
        <v>299</v>
      </c>
      <c r="M580" s="1042" t="s">
        <v>283</v>
      </c>
      <c r="N580" s="1050">
        <v>45371</v>
      </c>
    </row>
    <row r="581" spans="1:14">
      <c r="A581" s="1042" t="s">
        <v>231</v>
      </c>
      <c r="B581" s="1042" t="s">
        <v>293</v>
      </c>
      <c r="C581" s="1042" t="s">
        <v>310</v>
      </c>
      <c r="D581" s="1042" t="s">
        <v>311</v>
      </c>
      <c r="E581" s="1047" t="s">
        <v>304</v>
      </c>
      <c r="F581" s="1047" t="s">
        <v>297</v>
      </c>
      <c r="G581" s="1047" t="s">
        <v>92</v>
      </c>
      <c r="H581" s="1047">
        <v>69640528</v>
      </c>
      <c r="I581" s="1047">
        <v>2022</v>
      </c>
      <c r="J581" s="1047" t="s">
        <v>298</v>
      </c>
      <c r="K581" s="1047" t="s">
        <v>39</v>
      </c>
      <c r="L581" s="1042" t="s">
        <v>299</v>
      </c>
      <c r="M581" s="1042" t="s">
        <v>283</v>
      </c>
      <c r="N581" s="1050">
        <v>45371</v>
      </c>
    </row>
    <row r="582" spans="1:14">
      <c r="A582" s="1042" t="s">
        <v>231</v>
      </c>
      <c r="B582" s="1042" t="s">
        <v>293</v>
      </c>
      <c r="C582" s="1042" t="s">
        <v>310</v>
      </c>
      <c r="D582" s="1042" t="s">
        <v>311</v>
      </c>
      <c r="E582" s="1047" t="s">
        <v>308</v>
      </c>
      <c r="F582" s="1047" t="s">
        <v>297</v>
      </c>
      <c r="G582" s="1047" t="s">
        <v>92</v>
      </c>
      <c r="H582" s="1047">
        <v>138240511</v>
      </c>
      <c r="I582" s="1047">
        <v>2022</v>
      </c>
      <c r="J582" s="1047" t="s">
        <v>298</v>
      </c>
      <c r="K582" s="1047" t="s">
        <v>39</v>
      </c>
      <c r="L582" s="1042" t="s">
        <v>299</v>
      </c>
      <c r="M582" s="1042" t="s">
        <v>283</v>
      </c>
      <c r="N582" s="1050">
        <v>45371</v>
      </c>
    </row>
    <row r="583" spans="1:14">
      <c r="A583" s="1042" t="s">
        <v>231</v>
      </c>
      <c r="B583" s="1042" t="s">
        <v>293</v>
      </c>
      <c r="C583" s="1042" t="s">
        <v>312</v>
      </c>
      <c r="D583" s="1042" t="s">
        <v>313</v>
      </c>
      <c r="E583" s="1047" t="s">
        <v>296</v>
      </c>
      <c r="F583" s="1047" t="s">
        <v>297</v>
      </c>
      <c r="G583" s="1047" t="s">
        <v>92</v>
      </c>
      <c r="H583" s="1047">
        <v>41401482</v>
      </c>
      <c r="I583" s="1047">
        <v>2014</v>
      </c>
      <c r="J583" s="1047" t="s">
        <v>298</v>
      </c>
      <c r="K583" s="1047" t="s">
        <v>39</v>
      </c>
      <c r="L583" s="1042" t="s">
        <v>299</v>
      </c>
      <c r="M583" s="1042" t="s">
        <v>283</v>
      </c>
      <c r="N583" s="1050">
        <v>45371</v>
      </c>
    </row>
    <row r="584" spans="1:14">
      <c r="A584" s="1042" t="s">
        <v>231</v>
      </c>
      <c r="B584" s="1042" t="s">
        <v>293</v>
      </c>
      <c r="C584" s="1042" t="s">
        <v>312</v>
      </c>
      <c r="D584" s="1042" t="s">
        <v>313</v>
      </c>
      <c r="E584" s="1047" t="s">
        <v>300</v>
      </c>
      <c r="F584" s="1047" t="s">
        <v>297</v>
      </c>
      <c r="G584" s="1047" t="s">
        <v>92</v>
      </c>
      <c r="H584" s="1047">
        <v>0</v>
      </c>
      <c r="I584" s="1047">
        <v>2014</v>
      </c>
      <c r="J584" s="1047" t="s">
        <v>298</v>
      </c>
      <c r="K584" s="1047" t="s">
        <v>39</v>
      </c>
      <c r="L584" s="1042" t="s">
        <v>299</v>
      </c>
      <c r="M584" s="1042" t="s">
        <v>283</v>
      </c>
      <c r="N584" s="1050">
        <v>45371</v>
      </c>
    </row>
    <row r="585" spans="1:14">
      <c r="A585" s="1042" t="s">
        <v>231</v>
      </c>
      <c r="B585" s="1042" t="s">
        <v>293</v>
      </c>
      <c r="C585" s="1042" t="s">
        <v>312</v>
      </c>
      <c r="D585" s="1042" t="s">
        <v>313</v>
      </c>
      <c r="E585" s="1047" t="s">
        <v>296</v>
      </c>
      <c r="F585" s="1047" t="s">
        <v>297</v>
      </c>
      <c r="G585" s="1047" t="s">
        <v>92</v>
      </c>
      <c r="H585" s="1047">
        <v>84777671</v>
      </c>
      <c r="I585" s="1047">
        <v>2015</v>
      </c>
      <c r="J585" s="1047" t="s">
        <v>298</v>
      </c>
      <c r="K585" s="1047" t="s">
        <v>39</v>
      </c>
      <c r="L585" s="1042" t="s">
        <v>299</v>
      </c>
      <c r="M585" s="1042" t="s">
        <v>283</v>
      </c>
      <c r="N585" s="1050">
        <v>45371</v>
      </c>
    </row>
    <row r="586" spans="1:14">
      <c r="A586" s="1042" t="s">
        <v>231</v>
      </c>
      <c r="B586" s="1042" t="s">
        <v>293</v>
      </c>
      <c r="C586" s="1042" t="s">
        <v>312</v>
      </c>
      <c r="D586" s="1042" t="s">
        <v>313</v>
      </c>
      <c r="E586" s="1047" t="s">
        <v>300</v>
      </c>
      <c r="F586" s="1047" t="s">
        <v>297</v>
      </c>
      <c r="G586" s="1047" t="s">
        <v>92</v>
      </c>
      <c r="H586" s="1047">
        <v>74179200.8046875</v>
      </c>
      <c r="I586" s="1047">
        <v>2015</v>
      </c>
      <c r="J586" s="1047" t="s">
        <v>298</v>
      </c>
      <c r="K586" s="1047" t="s">
        <v>39</v>
      </c>
      <c r="L586" s="1042" t="s">
        <v>299</v>
      </c>
      <c r="M586" s="1042" t="s">
        <v>283</v>
      </c>
      <c r="N586" s="1050">
        <v>45371</v>
      </c>
    </row>
    <row r="587" spans="1:14">
      <c r="A587" s="1042" t="s">
        <v>231</v>
      </c>
      <c r="B587" s="1042" t="s">
        <v>293</v>
      </c>
      <c r="C587" s="1042" t="s">
        <v>312</v>
      </c>
      <c r="D587" s="1042" t="s">
        <v>313</v>
      </c>
      <c r="E587" s="1047" t="s">
        <v>301</v>
      </c>
      <c r="F587" s="1047" t="s">
        <v>297</v>
      </c>
      <c r="G587" s="1047" t="s">
        <v>92</v>
      </c>
      <c r="H587" s="1047">
        <v>60157332.9453125</v>
      </c>
      <c r="I587" s="1047">
        <v>2015</v>
      </c>
      <c r="J587" s="1047" t="s">
        <v>298</v>
      </c>
      <c r="K587" s="1047" t="s">
        <v>39</v>
      </c>
      <c r="L587" s="1042" t="s">
        <v>299</v>
      </c>
      <c r="M587" s="1042" t="s">
        <v>283</v>
      </c>
      <c r="N587" s="1050">
        <v>45371</v>
      </c>
    </row>
    <row r="588" spans="1:14">
      <c r="A588" s="1042" t="s">
        <v>231</v>
      </c>
      <c r="B588" s="1042" t="s">
        <v>293</v>
      </c>
      <c r="C588" s="1042" t="s">
        <v>312</v>
      </c>
      <c r="D588" s="1042" t="s">
        <v>313</v>
      </c>
      <c r="E588" s="1047" t="s">
        <v>296</v>
      </c>
      <c r="F588" s="1047" t="s">
        <v>297</v>
      </c>
      <c r="G588" s="1047" t="s">
        <v>92</v>
      </c>
      <c r="H588" s="1047">
        <v>61713461</v>
      </c>
      <c r="I588" s="1047">
        <v>2016</v>
      </c>
      <c r="J588" s="1047" t="s">
        <v>298</v>
      </c>
      <c r="K588" s="1047" t="s">
        <v>39</v>
      </c>
      <c r="L588" s="1042" t="s">
        <v>299</v>
      </c>
      <c r="M588" s="1042" t="s">
        <v>283</v>
      </c>
      <c r="N588" s="1050">
        <v>45371</v>
      </c>
    </row>
    <row r="589" spans="1:14">
      <c r="A589" s="1042" t="s">
        <v>231</v>
      </c>
      <c r="B589" s="1042" t="s">
        <v>293</v>
      </c>
      <c r="C589" s="1042" t="s">
        <v>312</v>
      </c>
      <c r="D589" s="1042" t="s">
        <v>313</v>
      </c>
      <c r="E589" s="1047" t="s">
        <v>300</v>
      </c>
      <c r="F589" s="1047" t="s">
        <v>297</v>
      </c>
      <c r="G589" s="1047" t="s">
        <v>92</v>
      </c>
      <c r="H589" s="1047">
        <v>102631538</v>
      </c>
      <c r="I589" s="1047">
        <v>2016</v>
      </c>
      <c r="J589" s="1047" t="s">
        <v>298</v>
      </c>
      <c r="K589" s="1047" t="s">
        <v>39</v>
      </c>
      <c r="L589" s="1042" t="s">
        <v>299</v>
      </c>
      <c r="M589" s="1042" t="s">
        <v>283</v>
      </c>
      <c r="N589" s="1050">
        <v>45371</v>
      </c>
    </row>
    <row r="590" spans="1:14">
      <c r="A590" s="1042" t="s">
        <v>231</v>
      </c>
      <c r="B590" s="1042" t="s">
        <v>293</v>
      </c>
      <c r="C590" s="1042" t="s">
        <v>312</v>
      </c>
      <c r="D590" s="1042" t="s">
        <v>313</v>
      </c>
      <c r="E590" s="1047" t="s">
        <v>301</v>
      </c>
      <c r="F590" s="1047" t="s">
        <v>297</v>
      </c>
      <c r="G590" s="1047" t="s">
        <v>92</v>
      </c>
      <c r="H590" s="1047">
        <v>13441553</v>
      </c>
      <c r="I590" s="1047">
        <v>2016</v>
      </c>
      <c r="J590" s="1047" t="s">
        <v>298</v>
      </c>
      <c r="K590" s="1047" t="s">
        <v>39</v>
      </c>
      <c r="L590" s="1042" t="s">
        <v>299</v>
      </c>
      <c r="M590" s="1042" t="s">
        <v>283</v>
      </c>
      <c r="N590" s="1050">
        <v>45371</v>
      </c>
    </row>
    <row r="591" spans="1:14">
      <c r="A591" s="1042" t="s">
        <v>231</v>
      </c>
      <c r="B591" s="1042" t="s">
        <v>293</v>
      </c>
      <c r="C591" s="1042" t="s">
        <v>312</v>
      </c>
      <c r="D591" s="1042" t="s">
        <v>313</v>
      </c>
      <c r="E591" s="1047" t="s">
        <v>296</v>
      </c>
      <c r="F591" s="1047" t="s">
        <v>297</v>
      </c>
      <c r="G591" s="1047" t="s">
        <v>92</v>
      </c>
      <c r="H591" s="1047">
        <v>92808623.5</v>
      </c>
      <c r="I591" s="1047">
        <v>2017</v>
      </c>
      <c r="J591" s="1047" t="s">
        <v>298</v>
      </c>
      <c r="K591" s="1047" t="s">
        <v>39</v>
      </c>
      <c r="L591" s="1042" t="s">
        <v>299</v>
      </c>
      <c r="M591" s="1042" t="s">
        <v>283</v>
      </c>
      <c r="N591" s="1050">
        <v>45371</v>
      </c>
    </row>
    <row r="592" spans="1:14">
      <c r="A592" s="1042" t="s">
        <v>231</v>
      </c>
      <c r="B592" s="1042" t="s">
        <v>293</v>
      </c>
      <c r="C592" s="1042" t="s">
        <v>312</v>
      </c>
      <c r="D592" s="1042" t="s">
        <v>313</v>
      </c>
      <c r="E592" s="1047" t="s">
        <v>302</v>
      </c>
      <c r="F592" s="1047" t="s">
        <v>297</v>
      </c>
      <c r="G592" s="1047" t="s">
        <v>92</v>
      </c>
      <c r="H592" s="1047">
        <v>153701645</v>
      </c>
      <c r="I592" s="1047">
        <v>2017</v>
      </c>
      <c r="J592" s="1047" t="s">
        <v>298</v>
      </c>
      <c r="K592" s="1047" t="s">
        <v>39</v>
      </c>
      <c r="L592" s="1042" t="s">
        <v>299</v>
      </c>
      <c r="M592" s="1042" t="s">
        <v>283</v>
      </c>
      <c r="N592" s="1050">
        <v>45371</v>
      </c>
    </row>
    <row r="593" spans="1:14">
      <c r="A593" s="1042" t="s">
        <v>231</v>
      </c>
      <c r="B593" s="1042" t="s">
        <v>293</v>
      </c>
      <c r="C593" s="1042" t="s">
        <v>312</v>
      </c>
      <c r="D593" s="1042" t="s">
        <v>313</v>
      </c>
      <c r="E593" s="1047" t="s">
        <v>301</v>
      </c>
      <c r="F593" s="1047" t="s">
        <v>297</v>
      </c>
      <c r="G593" s="1047" t="s">
        <v>92</v>
      </c>
      <c r="H593" s="1047">
        <v>23213436</v>
      </c>
      <c r="I593" s="1047">
        <v>2017</v>
      </c>
      <c r="J593" s="1047" t="s">
        <v>298</v>
      </c>
      <c r="K593" s="1047" t="s">
        <v>39</v>
      </c>
      <c r="L593" s="1042" t="s">
        <v>299</v>
      </c>
      <c r="M593" s="1042" t="s">
        <v>283</v>
      </c>
      <c r="N593" s="1050">
        <v>45371</v>
      </c>
    </row>
    <row r="594" spans="1:14">
      <c r="A594" s="1042" t="s">
        <v>231</v>
      </c>
      <c r="B594" s="1042" t="s">
        <v>293</v>
      </c>
      <c r="C594" s="1042" t="s">
        <v>312</v>
      </c>
      <c r="D594" s="1042" t="s">
        <v>313</v>
      </c>
      <c r="E594" s="1047" t="s">
        <v>296</v>
      </c>
      <c r="F594" s="1047" t="s">
        <v>297</v>
      </c>
      <c r="G594" s="1047" t="s">
        <v>92</v>
      </c>
      <c r="H594" s="1047">
        <v>287092000</v>
      </c>
      <c r="I594" s="1047">
        <v>2018</v>
      </c>
      <c r="J594" s="1047" t="s">
        <v>298</v>
      </c>
      <c r="K594" s="1047" t="s">
        <v>39</v>
      </c>
      <c r="L594" s="1042" t="s">
        <v>299</v>
      </c>
      <c r="M594" s="1042" t="s">
        <v>283</v>
      </c>
      <c r="N594" s="1050">
        <v>45371</v>
      </c>
    </row>
    <row r="595" spans="1:14">
      <c r="A595" s="1042" t="s">
        <v>231</v>
      </c>
      <c r="B595" s="1042" t="s">
        <v>293</v>
      </c>
      <c r="C595" s="1042" t="s">
        <v>312</v>
      </c>
      <c r="D595" s="1042" t="s">
        <v>313</v>
      </c>
      <c r="E595" s="1047" t="s">
        <v>303</v>
      </c>
      <c r="F595" s="1047" t="s">
        <v>297</v>
      </c>
      <c r="G595" s="1047" t="s">
        <v>92</v>
      </c>
      <c r="H595" s="1047">
        <v>134788924</v>
      </c>
      <c r="I595" s="1047">
        <v>2018</v>
      </c>
      <c r="J595" s="1047" t="s">
        <v>298</v>
      </c>
      <c r="K595" s="1047" t="s">
        <v>39</v>
      </c>
      <c r="L595" s="1042" t="s">
        <v>299</v>
      </c>
      <c r="M595" s="1042" t="s">
        <v>283</v>
      </c>
      <c r="N595" s="1050">
        <v>45371</v>
      </c>
    </row>
    <row r="596" spans="1:14">
      <c r="A596" s="1042" t="s">
        <v>231</v>
      </c>
      <c r="B596" s="1042" t="s">
        <v>293</v>
      </c>
      <c r="C596" s="1042" t="s">
        <v>312</v>
      </c>
      <c r="D596" s="1042" t="s">
        <v>313</v>
      </c>
      <c r="E596" s="1047" t="s">
        <v>304</v>
      </c>
      <c r="F596" s="1047" t="s">
        <v>297</v>
      </c>
      <c r="G596" s="1047" t="s">
        <v>92</v>
      </c>
      <c r="H596" s="1047">
        <v>104087950</v>
      </c>
      <c r="I596" s="1047">
        <v>2018</v>
      </c>
      <c r="J596" s="1047" t="s">
        <v>298</v>
      </c>
      <c r="K596" s="1047" t="s">
        <v>39</v>
      </c>
      <c r="L596" s="1042" t="s">
        <v>299</v>
      </c>
      <c r="M596" s="1042" t="s">
        <v>283</v>
      </c>
      <c r="N596" s="1050">
        <v>45371</v>
      </c>
    </row>
    <row r="597" spans="1:14">
      <c r="A597" s="1042" t="s">
        <v>231</v>
      </c>
      <c r="B597" s="1042" t="s">
        <v>293</v>
      </c>
      <c r="C597" s="1042" t="s">
        <v>312</v>
      </c>
      <c r="D597" s="1042" t="s">
        <v>313</v>
      </c>
      <c r="E597" s="1047" t="s">
        <v>302</v>
      </c>
      <c r="F597" s="1047" t="s">
        <v>297</v>
      </c>
      <c r="G597" s="1047" t="s">
        <v>92</v>
      </c>
      <c r="H597" s="1047">
        <v>70147067</v>
      </c>
      <c r="I597" s="1047">
        <v>2018</v>
      </c>
      <c r="J597" s="1047" t="s">
        <v>298</v>
      </c>
      <c r="K597" s="1047" t="s">
        <v>39</v>
      </c>
      <c r="L597" s="1042" t="s">
        <v>299</v>
      </c>
      <c r="M597" s="1042" t="s">
        <v>283</v>
      </c>
      <c r="N597" s="1050">
        <v>45371</v>
      </c>
    </row>
    <row r="598" spans="1:14">
      <c r="A598" s="1042" t="s">
        <v>231</v>
      </c>
      <c r="B598" s="1042" t="s">
        <v>293</v>
      </c>
      <c r="C598" s="1042" t="s">
        <v>312</v>
      </c>
      <c r="D598" s="1042" t="s">
        <v>313</v>
      </c>
      <c r="E598" s="1047" t="s">
        <v>305</v>
      </c>
      <c r="F598" s="1047" t="s">
        <v>297</v>
      </c>
      <c r="G598" s="1047" t="s">
        <v>92</v>
      </c>
      <c r="H598" s="1047">
        <v>46704355</v>
      </c>
      <c r="I598" s="1047">
        <v>2018</v>
      </c>
      <c r="J598" s="1047" t="s">
        <v>298</v>
      </c>
      <c r="K598" s="1047" t="s">
        <v>39</v>
      </c>
      <c r="L598" s="1042" t="s">
        <v>299</v>
      </c>
      <c r="M598" s="1042" t="s">
        <v>283</v>
      </c>
      <c r="N598" s="1050">
        <v>45371</v>
      </c>
    </row>
    <row r="599" spans="1:14">
      <c r="A599" s="1042" t="s">
        <v>231</v>
      </c>
      <c r="B599" s="1042" t="s">
        <v>293</v>
      </c>
      <c r="C599" s="1042" t="s">
        <v>312</v>
      </c>
      <c r="D599" s="1042" t="s">
        <v>313</v>
      </c>
      <c r="E599" s="1047" t="s">
        <v>301</v>
      </c>
      <c r="F599" s="1047" t="s">
        <v>297</v>
      </c>
      <c r="G599" s="1047" t="s">
        <v>92</v>
      </c>
      <c r="H599" s="1047">
        <v>5612955</v>
      </c>
      <c r="I599" s="1047">
        <v>2018</v>
      </c>
      <c r="J599" s="1047" t="s">
        <v>298</v>
      </c>
      <c r="K599" s="1047" t="s">
        <v>39</v>
      </c>
      <c r="L599" s="1042" t="s">
        <v>299</v>
      </c>
      <c r="M599" s="1042" t="s">
        <v>283</v>
      </c>
      <c r="N599" s="1050">
        <v>45371</v>
      </c>
    </row>
    <row r="600" spans="1:14">
      <c r="A600" s="1042" t="s">
        <v>231</v>
      </c>
      <c r="B600" s="1042" t="s">
        <v>293</v>
      </c>
      <c r="C600" s="1042" t="s">
        <v>312</v>
      </c>
      <c r="D600" s="1042" t="s">
        <v>313</v>
      </c>
      <c r="E600" s="1047" t="s">
        <v>296</v>
      </c>
      <c r="F600" s="1047" t="s">
        <v>297</v>
      </c>
      <c r="G600" s="1047" t="s">
        <v>92</v>
      </c>
      <c r="H600" s="1047">
        <v>260400141</v>
      </c>
      <c r="I600" s="1047">
        <v>2019</v>
      </c>
      <c r="J600" s="1047" t="s">
        <v>298</v>
      </c>
      <c r="K600" s="1047" t="s">
        <v>39</v>
      </c>
      <c r="L600" s="1042" t="s">
        <v>299</v>
      </c>
      <c r="M600" s="1042" t="s">
        <v>283</v>
      </c>
      <c r="N600" s="1050">
        <v>45371</v>
      </c>
    </row>
    <row r="601" spans="1:14">
      <c r="A601" s="1042" t="s">
        <v>231</v>
      </c>
      <c r="B601" s="1042" t="s">
        <v>293</v>
      </c>
      <c r="C601" s="1042" t="s">
        <v>312</v>
      </c>
      <c r="D601" s="1042" t="s">
        <v>313</v>
      </c>
      <c r="E601" s="1047" t="s">
        <v>303</v>
      </c>
      <c r="F601" s="1047" t="s">
        <v>297</v>
      </c>
      <c r="G601" s="1047" t="s">
        <v>92</v>
      </c>
      <c r="H601" s="1047">
        <v>10737643</v>
      </c>
      <c r="I601" s="1047">
        <v>2019</v>
      </c>
      <c r="J601" s="1047" t="s">
        <v>298</v>
      </c>
      <c r="K601" s="1047" t="s">
        <v>39</v>
      </c>
      <c r="L601" s="1042" t="s">
        <v>299</v>
      </c>
      <c r="M601" s="1042" t="s">
        <v>283</v>
      </c>
      <c r="N601" s="1050">
        <v>45371</v>
      </c>
    </row>
    <row r="602" spans="1:14">
      <c r="A602" s="1042" t="s">
        <v>231</v>
      </c>
      <c r="B602" s="1042" t="s">
        <v>293</v>
      </c>
      <c r="C602" s="1042" t="s">
        <v>312</v>
      </c>
      <c r="D602" s="1042" t="s">
        <v>313</v>
      </c>
      <c r="E602" s="1047" t="s">
        <v>304</v>
      </c>
      <c r="F602" s="1047" t="s">
        <v>297</v>
      </c>
      <c r="G602" s="1047" t="s">
        <v>92</v>
      </c>
      <c r="H602" s="1047">
        <v>99175428</v>
      </c>
      <c r="I602" s="1047">
        <v>2019</v>
      </c>
      <c r="J602" s="1047" t="s">
        <v>298</v>
      </c>
      <c r="K602" s="1047" t="s">
        <v>39</v>
      </c>
      <c r="L602" s="1042" t="s">
        <v>299</v>
      </c>
      <c r="M602" s="1042" t="s">
        <v>283</v>
      </c>
      <c r="N602" s="1050">
        <v>45371</v>
      </c>
    </row>
    <row r="603" spans="1:14">
      <c r="A603" s="1042" t="s">
        <v>231</v>
      </c>
      <c r="B603" s="1042" t="s">
        <v>293</v>
      </c>
      <c r="C603" s="1042" t="s">
        <v>312</v>
      </c>
      <c r="D603" s="1042" t="s">
        <v>313</v>
      </c>
      <c r="E603" s="1047" t="s">
        <v>306</v>
      </c>
      <c r="F603" s="1047" t="s">
        <v>297</v>
      </c>
      <c r="G603" s="1047" t="s">
        <v>92</v>
      </c>
      <c r="H603" s="1047">
        <v>48628008</v>
      </c>
      <c r="I603" s="1047">
        <v>2019</v>
      </c>
      <c r="J603" s="1047" t="s">
        <v>298</v>
      </c>
      <c r="K603" s="1047" t="s">
        <v>39</v>
      </c>
      <c r="L603" s="1042" t="s">
        <v>299</v>
      </c>
      <c r="M603" s="1042" t="s">
        <v>283</v>
      </c>
      <c r="N603" s="1050">
        <v>45371</v>
      </c>
    </row>
    <row r="604" spans="1:14">
      <c r="A604" s="1042" t="s">
        <v>231</v>
      </c>
      <c r="B604" s="1042" t="s">
        <v>293</v>
      </c>
      <c r="C604" s="1042" t="s">
        <v>312</v>
      </c>
      <c r="D604" s="1042" t="s">
        <v>313</v>
      </c>
      <c r="E604" s="1047" t="s">
        <v>305</v>
      </c>
      <c r="F604" s="1047" t="s">
        <v>297</v>
      </c>
      <c r="G604" s="1047" t="s">
        <v>92</v>
      </c>
      <c r="H604" s="1047">
        <v>46704355</v>
      </c>
      <c r="I604" s="1047">
        <v>2019</v>
      </c>
      <c r="J604" s="1047" t="s">
        <v>298</v>
      </c>
      <c r="K604" s="1047" t="s">
        <v>39</v>
      </c>
      <c r="L604" s="1042" t="s">
        <v>299</v>
      </c>
      <c r="M604" s="1042" t="s">
        <v>283</v>
      </c>
      <c r="N604" s="1050">
        <v>45371</v>
      </c>
    </row>
    <row r="605" spans="1:14">
      <c r="A605" s="1042" t="s">
        <v>231</v>
      </c>
      <c r="B605" s="1042" t="s">
        <v>293</v>
      </c>
      <c r="C605" s="1042" t="s">
        <v>312</v>
      </c>
      <c r="D605" s="1042" t="s">
        <v>313</v>
      </c>
      <c r="E605" s="1047" t="s">
        <v>301</v>
      </c>
      <c r="F605" s="1047" t="s">
        <v>297</v>
      </c>
      <c r="G605" s="1047" t="s">
        <v>92</v>
      </c>
      <c r="I605" s="1047">
        <v>2019</v>
      </c>
      <c r="J605" s="1047" t="s">
        <v>298</v>
      </c>
      <c r="K605" s="1047" t="s">
        <v>39</v>
      </c>
      <c r="L605" s="1042" t="s">
        <v>299</v>
      </c>
      <c r="M605" s="1042" t="s">
        <v>283</v>
      </c>
      <c r="N605" s="1050">
        <v>45371</v>
      </c>
    </row>
    <row r="606" spans="1:14">
      <c r="A606" s="1042" t="s">
        <v>231</v>
      </c>
      <c r="B606" s="1042" t="s">
        <v>293</v>
      </c>
      <c r="C606" s="1042" t="s">
        <v>312</v>
      </c>
      <c r="D606" s="1042" t="s">
        <v>313</v>
      </c>
      <c r="E606" s="1047" t="s">
        <v>296</v>
      </c>
      <c r="F606" s="1047" t="s">
        <v>297</v>
      </c>
      <c r="G606" s="1047" t="s">
        <v>92</v>
      </c>
      <c r="H606" s="1047">
        <v>306328847</v>
      </c>
      <c r="I606" s="1047">
        <v>2020</v>
      </c>
      <c r="J606" s="1047" t="s">
        <v>298</v>
      </c>
      <c r="K606" s="1047" t="s">
        <v>39</v>
      </c>
      <c r="L606" s="1042" t="s">
        <v>299</v>
      </c>
      <c r="M606" s="1042" t="s">
        <v>283</v>
      </c>
      <c r="N606" s="1050">
        <v>45371</v>
      </c>
    </row>
    <row r="607" spans="1:14">
      <c r="A607" s="1042" t="s">
        <v>231</v>
      </c>
      <c r="B607" s="1042" t="s">
        <v>293</v>
      </c>
      <c r="C607" s="1042" t="s">
        <v>312</v>
      </c>
      <c r="D607" s="1042" t="s">
        <v>313</v>
      </c>
      <c r="E607" s="1047" t="s">
        <v>303</v>
      </c>
      <c r="F607" s="1047" t="s">
        <v>297</v>
      </c>
      <c r="G607" s="1047" t="s">
        <v>92</v>
      </c>
      <c r="H607" s="1047">
        <v>60935632</v>
      </c>
      <c r="I607" s="1047">
        <v>2020</v>
      </c>
      <c r="J607" s="1047" t="s">
        <v>298</v>
      </c>
      <c r="K607" s="1047" t="s">
        <v>39</v>
      </c>
      <c r="L607" s="1042" t="s">
        <v>299</v>
      </c>
      <c r="M607" s="1042" t="s">
        <v>283</v>
      </c>
      <c r="N607" s="1050">
        <v>45371</v>
      </c>
    </row>
    <row r="608" spans="1:14">
      <c r="A608" s="1042" t="s">
        <v>231</v>
      </c>
      <c r="B608" s="1042" t="s">
        <v>293</v>
      </c>
      <c r="C608" s="1042" t="s">
        <v>312</v>
      </c>
      <c r="D608" s="1042" t="s">
        <v>313</v>
      </c>
      <c r="E608" s="1047" t="s">
        <v>304</v>
      </c>
      <c r="F608" s="1047" t="s">
        <v>297</v>
      </c>
      <c r="G608" s="1047" t="s">
        <v>92</v>
      </c>
      <c r="H608" s="1047">
        <v>125000000</v>
      </c>
      <c r="I608" s="1047">
        <v>2020</v>
      </c>
      <c r="J608" s="1047" t="s">
        <v>298</v>
      </c>
      <c r="K608" s="1047" t="s">
        <v>39</v>
      </c>
      <c r="L608" s="1042" t="s">
        <v>299</v>
      </c>
      <c r="M608" s="1042" t="s">
        <v>283</v>
      </c>
      <c r="N608" s="1050">
        <v>45371</v>
      </c>
    </row>
    <row r="609" spans="1:14">
      <c r="A609" s="1042" t="s">
        <v>231</v>
      </c>
      <c r="B609" s="1042" t="s">
        <v>293</v>
      </c>
      <c r="C609" s="1042" t="s">
        <v>312</v>
      </c>
      <c r="D609" s="1042" t="s">
        <v>313</v>
      </c>
      <c r="E609" s="1047" t="s">
        <v>306</v>
      </c>
      <c r="F609" s="1047" t="s">
        <v>297</v>
      </c>
      <c r="G609" s="1047" t="s">
        <v>92</v>
      </c>
      <c r="H609" s="1047">
        <v>60462240</v>
      </c>
      <c r="I609" s="1047">
        <v>2020</v>
      </c>
      <c r="J609" s="1047" t="s">
        <v>298</v>
      </c>
      <c r="K609" s="1047" t="s">
        <v>39</v>
      </c>
      <c r="L609" s="1042" t="s">
        <v>299</v>
      </c>
      <c r="M609" s="1042" t="s">
        <v>283</v>
      </c>
      <c r="N609" s="1050">
        <v>45371</v>
      </c>
    </row>
    <row r="610" spans="1:14">
      <c r="A610" s="1042" t="s">
        <v>231</v>
      </c>
      <c r="B610" s="1042" t="s">
        <v>293</v>
      </c>
      <c r="C610" s="1042" t="s">
        <v>312</v>
      </c>
      <c r="D610" s="1042" t="s">
        <v>313</v>
      </c>
      <c r="E610" s="1047" t="s">
        <v>307</v>
      </c>
      <c r="F610" s="1047" t="s">
        <v>297</v>
      </c>
      <c r="G610" s="1047" t="s">
        <v>92</v>
      </c>
      <c r="H610" s="1047">
        <v>46520153</v>
      </c>
      <c r="I610" s="1047">
        <v>2020</v>
      </c>
      <c r="J610" s="1047" t="s">
        <v>298</v>
      </c>
      <c r="K610" s="1047" t="s">
        <v>39</v>
      </c>
      <c r="L610" s="1042" t="s">
        <v>299</v>
      </c>
      <c r="M610" s="1042" t="s">
        <v>283</v>
      </c>
      <c r="N610" s="1050">
        <v>45371</v>
      </c>
    </row>
    <row r="611" spans="1:14">
      <c r="A611" s="1042" t="s">
        <v>231</v>
      </c>
      <c r="B611" s="1042" t="s">
        <v>293</v>
      </c>
      <c r="C611" s="1042" t="s">
        <v>312</v>
      </c>
      <c r="D611" s="1042" t="s">
        <v>313</v>
      </c>
      <c r="E611" s="1047" t="s">
        <v>308</v>
      </c>
      <c r="F611" s="1047" t="s">
        <v>297</v>
      </c>
      <c r="G611" s="1047" t="s">
        <v>92</v>
      </c>
      <c r="H611" s="1047">
        <v>34530387</v>
      </c>
      <c r="I611" s="1047">
        <v>2020</v>
      </c>
      <c r="J611" s="1047" t="s">
        <v>298</v>
      </c>
      <c r="K611" s="1047" t="s">
        <v>39</v>
      </c>
      <c r="L611" s="1042" t="s">
        <v>299</v>
      </c>
      <c r="M611" s="1042" t="s">
        <v>283</v>
      </c>
      <c r="N611" s="1050">
        <v>45371</v>
      </c>
    </row>
    <row r="612" spans="1:14">
      <c r="A612" s="1042" t="s">
        <v>231</v>
      </c>
      <c r="B612" s="1042" t="s">
        <v>293</v>
      </c>
      <c r="C612" s="1042" t="s">
        <v>312</v>
      </c>
      <c r="D612" s="1042" t="s">
        <v>313</v>
      </c>
      <c r="E612" s="1047" t="s">
        <v>296</v>
      </c>
      <c r="F612" s="1047" t="s">
        <v>297</v>
      </c>
      <c r="G612" s="1047" t="s">
        <v>92</v>
      </c>
      <c r="H612" s="1047">
        <v>237809777</v>
      </c>
      <c r="I612" s="1047">
        <v>2021</v>
      </c>
      <c r="J612" s="1047" t="s">
        <v>298</v>
      </c>
      <c r="K612" s="1047" t="s">
        <v>39</v>
      </c>
      <c r="L612" s="1042" t="s">
        <v>299</v>
      </c>
      <c r="M612" s="1042" t="s">
        <v>283</v>
      </c>
      <c r="N612" s="1050">
        <v>45371</v>
      </c>
    </row>
    <row r="613" spans="1:14">
      <c r="A613" s="1042" t="s">
        <v>231</v>
      </c>
      <c r="B613" s="1042" t="s">
        <v>293</v>
      </c>
      <c r="C613" s="1042" t="s">
        <v>312</v>
      </c>
      <c r="D613" s="1042" t="s">
        <v>313</v>
      </c>
      <c r="E613" s="1047" t="s">
        <v>303</v>
      </c>
      <c r="F613" s="1047" t="s">
        <v>297</v>
      </c>
      <c r="G613" s="1047" t="s">
        <v>92</v>
      </c>
      <c r="H613" s="1047">
        <v>80885889</v>
      </c>
      <c r="I613" s="1047">
        <v>2021</v>
      </c>
      <c r="J613" s="1047" t="s">
        <v>298</v>
      </c>
      <c r="K613" s="1047" t="s">
        <v>39</v>
      </c>
      <c r="L613" s="1042" t="s">
        <v>299</v>
      </c>
      <c r="M613" s="1042" t="s">
        <v>283</v>
      </c>
      <c r="N613" s="1050">
        <v>45371</v>
      </c>
    </row>
    <row r="614" spans="1:14">
      <c r="A614" s="1042" t="s">
        <v>231</v>
      </c>
      <c r="B614" s="1042" t="s">
        <v>293</v>
      </c>
      <c r="C614" s="1042" t="s">
        <v>312</v>
      </c>
      <c r="D614" s="1042" t="s">
        <v>313</v>
      </c>
      <c r="E614" s="1047" t="s">
        <v>304</v>
      </c>
      <c r="F614" s="1047" t="s">
        <v>297</v>
      </c>
      <c r="G614" s="1047" t="s">
        <v>92</v>
      </c>
      <c r="H614" s="1047">
        <v>84966799</v>
      </c>
      <c r="I614" s="1047">
        <v>2021</v>
      </c>
      <c r="J614" s="1047" t="s">
        <v>298</v>
      </c>
      <c r="K614" s="1047" t="s">
        <v>39</v>
      </c>
      <c r="L614" s="1042" t="s">
        <v>299</v>
      </c>
      <c r="M614" s="1042" t="s">
        <v>283</v>
      </c>
      <c r="N614" s="1050">
        <v>45371</v>
      </c>
    </row>
    <row r="615" spans="1:14">
      <c r="A615" s="1042" t="s">
        <v>231</v>
      </c>
      <c r="B615" s="1042" t="s">
        <v>293</v>
      </c>
      <c r="C615" s="1042" t="s">
        <v>312</v>
      </c>
      <c r="D615" s="1042" t="s">
        <v>313</v>
      </c>
      <c r="E615" s="1047" t="s">
        <v>306</v>
      </c>
      <c r="F615" s="1047" t="s">
        <v>297</v>
      </c>
      <c r="G615" s="1047" t="s">
        <v>92</v>
      </c>
      <c r="H615" s="1047">
        <v>0</v>
      </c>
      <c r="I615" s="1047">
        <v>2021</v>
      </c>
      <c r="J615" s="1047" t="s">
        <v>298</v>
      </c>
      <c r="K615" s="1047" t="s">
        <v>39</v>
      </c>
      <c r="L615" s="1042" t="s">
        <v>299</v>
      </c>
      <c r="M615" s="1042" t="s">
        <v>283</v>
      </c>
      <c r="N615" s="1050">
        <v>45371</v>
      </c>
    </row>
    <row r="616" spans="1:14">
      <c r="A616" s="1042" t="s">
        <v>231</v>
      </c>
      <c r="B616" s="1042" t="s">
        <v>293</v>
      </c>
      <c r="C616" s="1042" t="s">
        <v>312</v>
      </c>
      <c r="D616" s="1042" t="s">
        <v>313</v>
      </c>
      <c r="E616" s="1047" t="s">
        <v>308</v>
      </c>
      <c r="F616" s="1047" t="s">
        <v>297</v>
      </c>
      <c r="G616" s="1047" t="s">
        <v>92</v>
      </c>
      <c r="H616" s="1047">
        <v>15747663</v>
      </c>
      <c r="I616" s="1047">
        <v>2021</v>
      </c>
      <c r="J616" s="1047" t="s">
        <v>298</v>
      </c>
      <c r="K616" s="1047" t="s">
        <v>39</v>
      </c>
      <c r="L616" s="1042" t="s">
        <v>299</v>
      </c>
      <c r="M616" s="1042" t="s">
        <v>283</v>
      </c>
      <c r="N616" s="1050">
        <v>45371</v>
      </c>
    </row>
    <row r="617" spans="1:14">
      <c r="A617" s="1042" t="s">
        <v>231</v>
      </c>
      <c r="B617" s="1042" t="s">
        <v>293</v>
      </c>
      <c r="C617" s="1042" t="s">
        <v>312</v>
      </c>
      <c r="D617" s="1042" t="s">
        <v>313</v>
      </c>
      <c r="E617" s="1047" t="s">
        <v>296</v>
      </c>
      <c r="F617" s="1047" t="s">
        <v>297</v>
      </c>
      <c r="G617" s="1047" t="s">
        <v>92</v>
      </c>
      <c r="H617" s="1047">
        <v>280921568</v>
      </c>
      <c r="I617" s="1047">
        <v>2022</v>
      </c>
      <c r="J617" s="1047" t="s">
        <v>298</v>
      </c>
      <c r="K617" s="1047" t="s">
        <v>39</v>
      </c>
      <c r="L617" s="1042" t="s">
        <v>299</v>
      </c>
      <c r="M617" s="1042" t="s">
        <v>283</v>
      </c>
      <c r="N617" s="1050">
        <v>45371</v>
      </c>
    </row>
    <row r="618" spans="1:14">
      <c r="A618" s="1042" t="s">
        <v>231</v>
      </c>
      <c r="B618" s="1042" t="s">
        <v>293</v>
      </c>
      <c r="C618" s="1042" t="s">
        <v>312</v>
      </c>
      <c r="D618" s="1042" t="s">
        <v>313</v>
      </c>
      <c r="E618" s="1047" t="s">
        <v>309</v>
      </c>
      <c r="F618" s="1047" t="s">
        <v>297</v>
      </c>
      <c r="G618" s="1047" t="s">
        <v>92</v>
      </c>
      <c r="H618" s="1047">
        <v>160550000</v>
      </c>
      <c r="I618" s="1047">
        <v>2022</v>
      </c>
      <c r="J618" s="1047" t="s">
        <v>298</v>
      </c>
      <c r="K618" s="1047" t="s">
        <v>39</v>
      </c>
      <c r="L618" s="1042" t="s">
        <v>299</v>
      </c>
      <c r="M618" s="1042" t="s">
        <v>283</v>
      </c>
      <c r="N618" s="1050">
        <v>45371</v>
      </c>
    </row>
    <row r="619" spans="1:14">
      <c r="A619" s="1042" t="s">
        <v>231</v>
      </c>
      <c r="B619" s="1042" t="s">
        <v>293</v>
      </c>
      <c r="C619" s="1042" t="s">
        <v>312</v>
      </c>
      <c r="D619" s="1042" t="s">
        <v>313</v>
      </c>
      <c r="E619" s="1047" t="s">
        <v>304</v>
      </c>
      <c r="F619" s="1047" t="s">
        <v>297</v>
      </c>
      <c r="G619" s="1047" t="s">
        <v>92</v>
      </c>
      <c r="H619" s="1047">
        <v>60000000</v>
      </c>
      <c r="I619" s="1047">
        <v>2022</v>
      </c>
      <c r="J619" s="1047" t="s">
        <v>298</v>
      </c>
      <c r="K619" s="1047" t="s">
        <v>39</v>
      </c>
      <c r="L619" s="1042" t="s">
        <v>299</v>
      </c>
      <c r="M619" s="1042" t="s">
        <v>283</v>
      </c>
      <c r="N619" s="1050">
        <v>45371</v>
      </c>
    </row>
    <row r="620" spans="1:14">
      <c r="A620" s="1042" t="s">
        <v>231</v>
      </c>
      <c r="B620" s="1042" t="s">
        <v>293</v>
      </c>
      <c r="C620" s="1042" t="s">
        <v>312</v>
      </c>
      <c r="D620" s="1042" t="s">
        <v>313</v>
      </c>
      <c r="E620" s="1047" t="s">
        <v>308</v>
      </c>
      <c r="F620" s="1047" t="s">
        <v>297</v>
      </c>
      <c r="G620" s="1047" t="s">
        <v>92</v>
      </c>
      <c r="H620" s="1047">
        <v>79200000</v>
      </c>
      <c r="I620" s="1047">
        <v>2022</v>
      </c>
      <c r="J620" s="1047" t="s">
        <v>298</v>
      </c>
      <c r="K620" s="1047" t="s">
        <v>39</v>
      </c>
      <c r="L620" s="1042" t="s">
        <v>299</v>
      </c>
      <c r="M620" s="1042" t="s">
        <v>283</v>
      </c>
      <c r="N620" s="1050">
        <v>45371</v>
      </c>
    </row>
    <row r="621" spans="1:14">
      <c r="A621" s="1042" t="s">
        <v>231</v>
      </c>
      <c r="B621" s="1042" t="s">
        <v>293</v>
      </c>
      <c r="C621" s="1042" t="s">
        <v>314</v>
      </c>
      <c r="D621" s="1042" t="s">
        <v>315</v>
      </c>
      <c r="E621" s="1047" t="s">
        <v>296</v>
      </c>
      <c r="F621" s="1047" t="s">
        <v>297</v>
      </c>
      <c r="G621" s="1047" t="s">
        <v>92</v>
      </c>
      <c r="H621" s="1047">
        <v>0</v>
      </c>
      <c r="I621" s="1047">
        <v>2014</v>
      </c>
      <c r="J621" s="1047" t="s">
        <v>298</v>
      </c>
      <c r="K621" s="1047" t="s">
        <v>39</v>
      </c>
      <c r="L621" s="1042" t="s">
        <v>299</v>
      </c>
      <c r="M621" s="1042" t="s">
        <v>283</v>
      </c>
      <c r="N621" s="1050">
        <v>45371</v>
      </c>
    </row>
    <row r="622" spans="1:14">
      <c r="A622" s="1042" t="s">
        <v>231</v>
      </c>
      <c r="B622" s="1042" t="s">
        <v>293</v>
      </c>
      <c r="C622" s="1042" t="s">
        <v>314</v>
      </c>
      <c r="D622" s="1042" t="s">
        <v>315</v>
      </c>
      <c r="E622" s="1047" t="s">
        <v>300</v>
      </c>
      <c r="F622" s="1047" t="s">
        <v>297</v>
      </c>
      <c r="G622" s="1047" t="s">
        <v>92</v>
      </c>
      <c r="H622" s="1047">
        <v>0</v>
      </c>
      <c r="I622" s="1047">
        <v>2014</v>
      </c>
      <c r="J622" s="1047" t="s">
        <v>298</v>
      </c>
      <c r="K622" s="1047" t="s">
        <v>39</v>
      </c>
      <c r="L622" s="1042" t="s">
        <v>299</v>
      </c>
      <c r="M622" s="1042" t="s">
        <v>283</v>
      </c>
      <c r="N622" s="1050">
        <v>45371</v>
      </c>
    </row>
    <row r="623" spans="1:14">
      <c r="A623" s="1042" t="s">
        <v>231</v>
      </c>
      <c r="B623" s="1042" t="s">
        <v>293</v>
      </c>
      <c r="C623" s="1042" t="s">
        <v>314</v>
      </c>
      <c r="D623" s="1042" t="s">
        <v>315</v>
      </c>
      <c r="E623" s="1047" t="s">
        <v>296</v>
      </c>
      <c r="F623" s="1047" t="s">
        <v>297</v>
      </c>
      <c r="G623" s="1047" t="s">
        <v>92</v>
      </c>
      <c r="H623" s="1047">
        <v>40489519</v>
      </c>
      <c r="I623" s="1047">
        <v>2015</v>
      </c>
      <c r="J623" s="1047" t="s">
        <v>298</v>
      </c>
      <c r="K623" s="1047" t="s">
        <v>39</v>
      </c>
      <c r="L623" s="1042" t="s">
        <v>299</v>
      </c>
      <c r="M623" s="1042" t="s">
        <v>283</v>
      </c>
      <c r="N623" s="1050">
        <v>45371</v>
      </c>
    </row>
    <row r="624" spans="1:14">
      <c r="A624" s="1042" t="s">
        <v>231</v>
      </c>
      <c r="B624" s="1042" t="s">
        <v>293</v>
      </c>
      <c r="C624" s="1042" t="s">
        <v>314</v>
      </c>
      <c r="D624" s="1042" t="s">
        <v>315</v>
      </c>
      <c r="E624" s="1047" t="s">
        <v>300</v>
      </c>
      <c r="F624" s="1047" t="s">
        <v>297</v>
      </c>
      <c r="G624" s="1047" t="s">
        <v>92</v>
      </c>
      <c r="H624" s="1047">
        <v>310801737</v>
      </c>
      <c r="I624" s="1047">
        <v>2015</v>
      </c>
      <c r="J624" s="1047" t="s">
        <v>298</v>
      </c>
      <c r="K624" s="1047" t="s">
        <v>39</v>
      </c>
      <c r="L624" s="1042" t="s">
        <v>299</v>
      </c>
      <c r="M624" s="1042" t="s">
        <v>283</v>
      </c>
      <c r="N624" s="1050">
        <v>45371</v>
      </c>
    </row>
    <row r="625" spans="1:14">
      <c r="A625" s="1042" t="s">
        <v>231</v>
      </c>
      <c r="B625" s="1042" t="s">
        <v>293</v>
      </c>
      <c r="C625" s="1042" t="s">
        <v>314</v>
      </c>
      <c r="D625" s="1042" t="s">
        <v>315</v>
      </c>
      <c r="E625" s="1047" t="s">
        <v>301</v>
      </c>
      <c r="F625" s="1047" t="s">
        <v>297</v>
      </c>
      <c r="G625" s="1047" t="s">
        <v>92</v>
      </c>
      <c r="H625" s="1047">
        <v>7112050</v>
      </c>
      <c r="I625" s="1047">
        <v>2015</v>
      </c>
      <c r="J625" s="1047" t="s">
        <v>298</v>
      </c>
      <c r="K625" s="1047" t="s">
        <v>39</v>
      </c>
      <c r="L625" s="1042" t="s">
        <v>299</v>
      </c>
      <c r="M625" s="1042" t="s">
        <v>283</v>
      </c>
      <c r="N625" s="1050">
        <v>45371</v>
      </c>
    </row>
    <row r="626" spans="1:14">
      <c r="A626" s="1042" t="s">
        <v>231</v>
      </c>
      <c r="B626" s="1042" t="s">
        <v>293</v>
      </c>
      <c r="C626" s="1042" t="s">
        <v>314</v>
      </c>
      <c r="D626" s="1042" t="s">
        <v>315</v>
      </c>
      <c r="E626" s="1047" t="s">
        <v>296</v>
      </c>
      <c r="F626" s="1047" t="s">
        <v>297</v>
      </c>
      <c r="G626" s="1047" t="s">
        <v>92</v>
      </c>
      <c r="H626" s="1047">
        <v>55340800</v>
      </c>
      <c r="I626" s="1047">
        <v>2016</v>
      </c>
      <c r="J626" s="1047" t="s">
        <v>298</v>
      </c>
      <c r="K626" s="1047" t="s">
        <v>39</v>
      </c>
      <c r="L626" s="1042" t="s">
        <v>299</v>
      </c>
      <c r="M626" s="1042" t="s">
        <v>283</v>
      </c>
      <c r="N626" s="1050">
        <v>45371</v>
      </c>
    </row>
    <row r="627" spans="1:14">
      <c r="A627" s="1042" t="s">
        <v>231</v>
      </c>
      <c r="B627" s="1042" t="s">
        <v>293</v>
      </c>
      <c r="C627" s="1042" t="s">
        <v>314</v>
      </c>
      <c r="D627" s="1042" t="s">
        <v>315</v>
      </c>
      <c r="E627" s="1047" t="s">
        <v>300</v>
      </c>
      <c r="F627" s="1047" t="s">
        <v>297</v>
      </c>
      <c r="G627" s="1047" t="s">
        <v>92</v>
      </c>
      <c r="H627" s="1047">
        <v>409471305</v>
      </c>
      <c r="I627" s="1047">
        <v>2016</v>
      </c>
      <c r="J627" s="1047" t="s">
        <v>298</v>
      </c>
      <c r="K627" s="1047" t="s">
        <v>39</v>
      </c>
      <c r="L627" s="1042" t="s">
        <v>299</v>
      </c>
      <c r="M627" s="1042" t="s">
        <v>283</v>
      </c>
      <c r="N627" s="1050">
        <v>45371</v>
      </c>
    </row>
    <row r="628" spans="1:14">
      <c r="A628" s="1042" t="s">
        <v>231</v>
      </c>
      <c r="B628" s="1042" t="s">
        <v>293</v>
      </c>
      <c r="C628" s="1042" t="s">
        <v>314</v>
      </c>
      <c r="D628" s="1042" t="s">
        <v>315</v>
      </c>
      <c r="E628" s="1047" t="s">
        <v>301</v>
      </c>
      <c r="F628" s="1047" t="s">
        <v>297</v>
      </c>
      <c r="G628" s="1047" t="s">
        <v>92</v>
      </c>
      <c r="H628" s="1047">
        <v>0</v>
      </c>
      <c r="I628" s="1047">
        <v>2016</v>
      </c>
      <c r="J628" s="1047" t="s">
        <v>298</v>
      </c>
      <c r="K628" s="1047" t="s">
        <v>39</v>
      </c>
      <c r="L628" s="1042" t="s">
        <v>299</v>
      </c>
      <c r="M628" s="1042" t="s">
        <v>283</v>
      </c>
      <c r="N628" s="1050">
        <v>45371</v>
      </c>
    </row>
    <row r="629" spans="1:14">
      <c r="A629" s="1042" t="s">
        <v>231</v>
      </c>
      <c r="B629" s="1042" t="s">
        <v>293</v>
      </c>
      <c r="C629" s="1042" t="s">
        <v>314</v>
      </c>
      <c r="D629" s="1042" t="s">
        <v>315</v>
      </c>
      <c r="E629" s="1047" t="s">
        <v>296</v>
      </c>
      <c r="F629" s="1047" t="s">
        <v>297</v>
      </c>
      <c r="G629" s="1047" t="s">
        <v>92</v>
      </c>
      <c r="H629" s="1047">
        <v>99032000</v>
      </c>
      <c r="I629" s="1047">
        <v>2017</v>
      </c>
      <c r="J629" s="1047" t="s">
        <v>298</v>
      </c>
      <c r="K629" s="1047" t="s">
        <v>39</v>
      </c>
      <c r="L629" s="1042" t="s">
        <v>299</v>
      </c>
      <c r="M629" s="1042" t="s">
        <v>283</v>
      </c>
      <c r="N629" s="1050">
        <v>45371</v>
      </c>
    </row>
    <row r="630" spans="1:14">
      <c r="A630" s="1042" t="s">
        <v>231</v>
      </c>
      <c r="B630" s="1042" t="s">
        <v>293</v>
      </c>
      <c r="C630" s="1042" t="s">
        <v>314</v>
      </c>
      <c r="D630" s="1042" t="s">
        <v>315</v>
      </c>
      <c r="E630" s="1047" t="s">
        <v>302</v>
      </c>
      <c r="F630" s="1047" t="s">
        <v>297</v>
      </c>
      <c r="G630" s="1047" t="s">
        <v>92</v>
      </c>
      <c r="H630" s="1047">
        <v>562668019</v>
      </c>
      <c r="I630" s="1047">
        <v>2017</v>
      </c>
      <c r="J630" s="1047" t="s">
        <v>298</v>
      </c>
      <c r="K630" s="1047" t="s">
        <v>39</v>
      </c>
      <c r="L630" s="1042" t="s">
        <v>299</v>
      </c>
      <c r="M630" s="1042" t="s">
        <v>283</v>
      </c>
      <c r="N630" s="1050">
        <v>45371</v>
      </c>
    </row>
    <row r="631" spans="1:14">
      <c r="A631" s="1042" t="s">
        <v>231</v>
      </c>
      <c r="B631" s="1042" t="s">
        <v>293</v>
      </c>
      <c r="C631" s="1042" t="s">
        <v>314</v>
      </c>
      <c r="D631" s="1042" t="s">
        <v>315</v>
      </c>
      <c r="E631" s="1047" t="s">
        <v>301</v>
      </c>
      <c r="F631" s="1047" t="s">
        <v>297</v>
      </c>
      <c r="G631" s="1047" t="s">
        <v>92</v>
      </c>
      <c r="H631" s="1047">
        <v>0</v>
      </c>
      <c r="I631" s="1047">
        <v>2017</v>
      </c>
      <c r="J631" s="1047" t="s">
        <v>298</v>
      </c>
      <c r="K631" s="1047" t="s">
        <v>39</v>
      </c>
      <c r="L631" s="1042" t="s">
        <v>299</v>
      </c>
      <c r="M631" s="1042" t="s">
        <v>283</v>
      </c>
      <c r="N631" s="1050">
        <v>45371</v>
      </c>
    </row>
    <row r="632" spans="1:14">
      <c r="A632" s="1042" t="s">
        <v>231</v>
      </c>
      <c r="B632" s="1042" t="s">
        <v>293</v>
      </c>
      <c r="C632" s="1042" t="s">
        <v>314</v>
      </c>
      <c r="D632" s="1042" t="s">
        <v>315</v>
      </c>
      <c r="E632" s="1047" t="s">
        <v>296</v>
      </c>
      <c r="F632" s="1047" t="s">
        <v>297</v>
      </c>
      <c r="G632" s="1047" t="s">
        <v>92</v>
      </c>
      <c r="H632" s="1047">
        <v>257909756</v>
      </c>
      <c r="I632" s="1047">
        <v>2018</v>
      </c>
      <c r="J632" s="1047" t="s">
        <v>298</v>
      </c>
      <c r="K632" s="1047" t="s">
        <v>39</v>
      </c>
      <c r="L632" s="1042" t="s">
        <v>299</v>
      </c>
      <c r="M632" s="1042" t="s">
        <v>283</v>
      </c>
      <c r="N632" s="1050">
        <v>45371</v>
      </c>
    </row>
    <row r="633" spans="1:14">
      <c r="A633" s="1042" t="s">
        <v>231</v>
      </c>
      <c r="B633" s="1042" t="s">
        <v>293</v>
      </c>
      <c r="C633" s="1042" t="s">
        <v>314</v>
      </c>
      <c r="D633" s="1042" t="s">
        <v>315</v>
      </c>
      <c r="E633" s="1047" t="s">
        <v>303</v>
      </c>
      <c r="F633" s="1047" t="s">
        <v>297</v>
      </c>
      <c r="G633" s="1047" t="s">
        <v>92</v>
      </c>
      <c r="H633" s="1047">
        <v>37068784</v>
      </c>
      <c r="I633" s="1047">
        <v>2018</v>
      </c>
      <c r="J633" s="1047" t="s">
        <v>298</v>
      </c>
      <c r="K633" s="1047" t="s">
        <v>39</v>
      </c>
      <c r="L633" s="1042" t="s">
        <v>299</v>
      </c>
      <c r="M633" s="1042" t="s">
        <v>283</v>
      </c>
      <c r="N633" s="1050">
        <v>45371</v>
      </c>
    </row>
    <row r="634" spans="1:14">
      <c r="A634" s="1042" t="s">
        <v>231</v>
      </c>
      <c r="B634" s="1042" t="s">
        <v>293</v>
      </c>
      <c r="C634" s="1042" t="s">
        <v>314</v>
      </c>
      <c r="D634" s="1042" t="s">
        <v>315</v>
      </c>
      <c r="E634" s="1047" t="s">
        <v>304</v>
      </c>
      <c r="F634" s="1047" t="s">
        <v>297</v>
      </c>
      <c r="G634" s="1047" t="s">
        <v>92</v>
      </c>
      <c r="H634" s="1047">
        <v>48998624</v>
      </c>
      <c r="I634" s="1047">
        <v>2018</v>
      </c>
      <c r="J634" s="1047" t="s">
        <v>298</v>
      </c>
      <c r="K634" s="1047" t="s">
        <v>39</v>
      </c>
      <c r="L634" s="1042" t="s">
        <v>299</v>
      </c>
      <c r="M634" s="1042" t="s">
        <v>283</v>
      </c>
      <c r="N634" s="1050">
        <v>45371</v>
      </c>
    </row>
    <row r="635" spans="1:14">
      <c r="A635" s="1042" t="s">
        <v>231</v>
      </c>
      <c r="B635" s="1042" t="s">
        <v>293</v>
      </c>
      <c r="C635" s="1042" t="s">
        <v>314</v>
      </c>
      <c r="D635" s="1042" t="s">
        <v>315</v>
      </c>
      <c r="E635" s="1047" t="s">
        <v>302</v>
      </c>
      <c r="F635" s="1047" t="s">
        <v>297</v>
      </c>
      <c r="G635" s="1047" t="s">
        <v>92</v>
      </c>
      <c r="H635" s="1047">
        <v>7785000</v>
      </c>
      <c r="I635" s="1047">
        <v>2018</v>
      </c>
      <c r="J635" s="1047" t="s">
        <v>298</v>
      </c>
      <c r="K635" s="1047" t="s">
        <v>39</v>
      </c>
      <c r="L635" s="1042" t="s">
        <v>299</v>
      </c>
      <c r="M635" s="1042" t="s">
        <v>283</v>
      </c>
      <c r="N635" s="1050">
        <v>45371</v>
      </c>
    </row>
    <row r="636" spans="1:14">
      <c r="A636" s="1042" t="s">
        <v>231</v>
      </c>
      <c r="B636" s="1042" t="s">
        <v>293</v>
      </c>
      <c r="C636" s="1042" t="s">
        <v>314</v>
      </c>
      <c r="D636" s="1042" t="s">
        <v>315</v>
      </c>
      <c r="E636" s="1047" t="s">
        <v>305</v>
      </c>
      <c r="F636" s="1047" t="s">
        <v>297</v>
      </c>
      <c r="G636" s="1047" t="s">
        <v>92</v>
      </c>
      <c r="H636" s="1047">
        <v>429425501</v>
      </c>
      <c r="I636" s="1047">
        <v>2018</v>
      </c>
      <c r="J636" s="1047" t="s">
        <v>298</v>
      </c>
      <c r="K636" s="1047" t="s">
        <v>39</v>
      </c>
      <c r="L636" s="1042" t="s">
        <v>299</v>
      </c>
      <c r="M636" s="1042" t="s">
        <v>283</v>
      </c>
      <c r="N636" s="1050">
        <v>45371</v>
      </c>
    </row>
    <row r="637" spans="1:14">
      <c r="A637" s="1042" t="s">
        <v>231</v>
      </c>
      <c r="B637" s="1042" t="s">
        <v>293</v>
      </c>
      <c r="C637" s="1042" t="s">
        <v>314</v>
      </c>
      <c r="D637" s="1042" t="s">
        <v>315</v>
      </c>
      <c r="E637" s="1047" t="s">
        <v>301</v>
      </c>
      <c r="F637" s="1047" t="s">
        <v>297</v>
      </c>
      <c r="G637" s="1047" t="s">
        <v>92</v>
      </c>
      <c r="H637" s="1047">
        <v>55505846</v>
      </c>
      <c r="I637" s="1047">
        <v>2018</v>
      </c>
      <c r="J637" s="1047" t="s">
        <v>298</v>
      </c>
      <c r="K637" s="1047" t="s">
        <v>39</v>
      </c>
      <c r="L637" s="1042" t="s">
        <v>299</v>
      </c>
      <c r="M637" s="1042" t="s">
        <v>283</v>
      </c>
      <c r="N637" s="1050">
        <v>45371</v>
      </c>
    </row>
    <row r="638" spans="1:14">
      <c r="A638" s="1042" t="s">
        <v>231</v>
      </c>
      <c r="B638" s="1042" t="s">
        <v>293</v>
      </c>
      <c r="C638" s="1042" t="s">
        <v>314</v>
      </c>
      <c r="D638" s="1042" t="s">
        <v>315</v>
      </c>
      <c r="E638" s="1047" t="s">
        <v>296</v>
      </c>
      <c r="F638" s="1047" t="s">
        <v>297</v>
      </c>
      <c r="G638" s="1047" t="s">
        <v>92</v>
      </c>
      <c r="H638" s="1047">
        <v>265280000</v>
      </c>
      <c r="I638" s="1047">
        <v>2019</v>
      </c>
      <c r="J638" s="1047" t="s">
        <v>298</v>
      </c>
      <c r="K638" s="1047" t="s">
        <v>39</v>
      </c>
      <c r="L638" s="1042" t="s">
        <v>299</v>
      </c>
      <c r="M638" s="1042" t="s">
        <v>283</v>
      </c>
      <c r="N638" s="1050">
        <v>45371</v>
      </c>
    </row>
    <row r="639" spans="1:14">
      <c r="A639" s="1042" t="s">
        <v>231</v>
      </c>
      <c r="B639" s="1042" t="s">
        <v>293</v>
      </c>
      <c r="C639" s="1042" t="s">
        <v>314</v>
      </c>
      <c r="D639" s="1042" t="s">
        <v>315</v>
      </c>
      <c r="E639" s="1047" t="s">
        <v>303</v>
      </c>
      <c r="F639" s="1047" t="s">
        <v>297</v>
      </c>
      <c r="G639" s="1047" t="s">
        <v>92</v>
      </c>
      <c r="H639" s="1047">
        <v>116893088</v>
      </c>
      <c r="I639" s="1047">
        <v>2019</v>
      </c>
      <c r="J639" s="1047" t="s">
        <v>298</v>
      </c>
      <c r="K639" s="1047" t="s">
        <v>39</v>
      </c>
      <c r="L639" s="1042" t="s">
        <v>299</v>
      </c>
      <c r="M639" s="1042" t="s">
        <v>283</v>
      </c>
      <c r="N639" s="1050">
        <v>45371</v>
      </c>
    </row>
    <row r="640" spans="1:14">
      <c r="A640" s="1042" t="s">
        <v>231</v>
      </c>
      <c r="B640" s="1042" t="s">
        <v>293</v>
      </c>
      <c r="C640" s="1042" t="s">
        <v>314</v>
      </c>
      <c r="D640" s="1042" t="s">
        <v>315</v>
      </c>
      <c r="E640" s="1047" t="s">
        <v>304</v>
      </c>
      <c r="F640" s="1047" t="s">
        <v>297</v>
      </c>
      <c r="G640" s="1047" t="s">
        <v>92</v>
      </c>
      <c r="H640" s="1047">
        <v>66729300</v>
      </c>
      <c r="I640" s="1047">
        <v>2019</v>
      </c>
      <c r="J640" s="1047" t="s">
        <v>298</v>
      </c>
      <c r="K640" s="1047" t="s">
        <v>39</v>
      </c>
      <c r="L640" s="1042" t="s">
        <v>299</v>
      </c>
      <c r="M640" s="1042" t="s">
        <v>283</v>
      </c>
      <c r="N640" s="1050">
        <v>45371</v>
      </c>
    </row>
    <row r="641" spans="1:14">
      <c r="A641" s="1042" t="s">
        <v>231</v>
      </c>
      <c r="B641" s="1042" t="s">
        <v>293</v>
      </c>
      <c r="C641" s="1042" t="s">
        <v>314</v>
      </c>
      <c r="D641" s="1042" t="s">
        <v>315</v>
      </c>
      <c r="E641" s="1047" t="s">
        <v>306</v>
      </c>
      <c r="F641" s="1047" t="s">
        <v>297</v>
      </c>
      <c r="G641" s="1047" t="s">
        <v>92</v>
      </c>
      <c r="H641" s="1047">
        <v>0</v>
      </c>
      <c r="I641" s="1047">
        <v>2019</v>
      </c>
      <c r="J641" s="1047" t="s">
        <v>298</v>
      </c>
      <c r="K641" s="1047" t="s">
        <v>39</v>
      </c>
      <c r="L641" s="1042" t="s">
        <v>299</v>
      </c>
      <c r="M641" s="1042" t="s">
        <v>283</v>
      </c>
      <c r="N641" s="1050">
        <v>45371</v>
      </c>
    </row>
    <row r="642" spans="1:14">
      <c r="A642" s="1042" t="s">
        <v>231</v>
      </c>
      <c r="B642" s="1042" t="s">
        <v>293</v>
      </c>
      <c r="C642" s="1042" t="s">
        <v>314</v>
      </c>
      <c r="D642" s="1042" t="s">
        <v>315</v>
      </c>
      <c r="E642" s="1047" t="s">
        <v>305</v>
      </c>
      <c r="F642" s="1047" t="s">
        <v>297</v>
      </c>
      <c r="G642" s="1047" t="s">
        <v>92</v>
      </c>
      <c r="H642" s="1047">
        <v>429425501</v>
      </c>
      <c r="I642" s="1047">
        <v>2019</v>
      </c>
      <c r="J642" s="1047" t="s">
        <v>298</v>
      </c>
      <c r="K642" s="1047" t="s">
        <v>39</v>
      </c>
      <c r="L642" s="1042" t="s">
        <v>299</v>
      </c>
      <c r="M642" s="1042" t="s">
        <v>283</v>
      </c>
      <c r="N642" s="1050">
        <v>45371</v>
      </c>
    </row>
    <row r="643" spans="1:14">
      <c r="A643" s="1042" t="s">
        <v>231</v>
      </c>
      <c r="B643" s="1042" t="s">
        <v>293</v>
      </c>
      <c r="C643" s="1042" t="s">
        <v>314</v>
      </c>
      <c r="D643" s="1042" t="s">
        <v>315</v>
      </c>
      <c r="E643" s="1047" t="s">
        <v>301</v>
      </c>
      <c r="F643" s="1047" t="s">
        <v>297</v>
      </c>
      <c r="G643" s="1047" t="s">
        <v>92</v>
      </c>
      <c r="I643" s="1047">
        <v>2019</v>
      </c>
      <c r="J643" s="1047" t="s">
        <v>298</v>
      </c>
      <c r="K643" s="1047" t="s">
        <v>39</v>
      </c>
      <c r="L643" s="1042" t="s">
        <v>299</v>
      </c>
      <c r="M643" s="1042" t="s">
        <v>283</v>
      </c>
      <c r="N643" s="1050">
        <v>45371</v>
      </c>
    </row>
    <row r="644" spans="1:14">
      <c r="A644" s="1042" t="s">
        <v>231</v>
      </c>
      <c r="B644" s="1042" t="s">
        <v>293</v>
      </c>
      <c r="C644" s="1042" t="s">
        <v>314</v>
      </c>
      <c r="D644" s="1042" t="s">
        <v>315</v>
      </c>
      <c r="E644" s="1047" t="s">
        <v>296</v>
      </c>
      <c r="F644" s="1047" t="s">
        <v>297</v>
      </c>
      <c r="G644" s="1047" t="s">
        <v>92</v>
      </c>
      <c r="H644" s="1047">
        <v>179856000</v>
      </c>
      <c r="I644" s="1047">
        <v>2020</v>
      </c>
      <c r="J644" s="1047" t="s">
        <v>298</v>
      </c>
      <c r="K644" s="1047" t="s">
        <v>39</v>
      </c>
      <c r="L644" s="1042" t="s">
        <v>299</v>
      </c>
      <c r="M644" s="1042" t="s">
        <v>283</v>
      </c>
      <c r="N644" s="1050">
        <v>45371</v>
      </c>
    </row>
    <row r="645" spans="1:14">
      <c r="A645" s="1042" t="s">
        <v>231</v>
      </c>
      <c r="B645" s="1042" t="s">
        <v>293</v>
      </c>
      <c r="C645" s="1042" t="s">
        <v>314</v>
      </c>
      <c r="D645" s="1042" t="s">
        <v>315</v>
      </c>
      <c r="E645" s="1047" t="s">
        <v>303</v>
      </c>
      <c r="F645" s="1047" t="s">
        <v>297</v>
      </c>
      <c r="G645" s="1047" t="s">
        <v>92</v>
      </c>
      <c r="H645" s="1047">
        <v>16934900</v>
      </c>
      <c r="I645" s="1047">
        <v>2020</v>
      </c>
      <c r="J645" s="1047" t="s">
        <v>298</v>
      </c>
      <c r="K645" s="1047" t="s">
        <v>39</v>
      </c>
      <c r="L645" s="1042" t="s">
        <v>299</v>
      </c>
      <c r="M645" s="1042" t="s">
        <v>283</v>
      </c>
      <c r="N645" s="1050">
        <v>45371</v>
      </c>
    </row>
    <row r="646" spans="1:14">
      <c r="A646" s="1042" t="s">
        <v>231</v>
      </c>
      <c r="B646" s="1042" t="s">
        <v>293</v>
      </c>
      <c r="C646" s="1042" t="s">
        <v>314</v>
      </c>
      <c r="D646" s="1042" t="s">
        <v>315</v>
      </c>
      <c r="E646" s="1047" t="s">
        <v>304</v>
      </c>
      <c r="F646" s="1047" t="s">
        <v>297</v>
      </c>
      <c r="G646" s="1047" t="s">
        <v>92</v>
      </c>
      <c r="H646" s="1047">
        <v>0</v>
      </c>
      <c r="I646" s="1047">
        <v>2020</v>
      </c>
      <c r="J646" s="1047" t="s">
        <v>298</v>
      </c>
      <c r="K646" s="1047" t="s">
        <v>39</v>
      </c>
      <c r="L646" s="1042" t="s">
        <v>299</v>
      </c>
      <c r="M646" s="1042" t="s">
        <v>283</v>
      </c>
      <c r="N646" s="1050">
        <v>45371</v>
      </c>
    </row>
    <row r="647" spans="1:14">
      <c r="A647" s="1042" t="s">
        <v>231</v>
      </c>
      <c r="B647" s="1042" t="s">
        <v>293</v>
      </c>
      <c r="C647" s="1042" t="s">
        <v>314</v>
      </c>
      <c r="D647" s="1042" t="s">
        <v>315</v>
      </c>
      <c r="E647" s="1047" t="s">
        <v>306</v>
      </c>
      <c r="F647" s="1047" t="s">
        <v>297</v>
      </c>
      <c r="G647" s="1047" t="s">
        <v>92</v>
      </c>
      <c r="H647" s="1047">
        <v>85790361</v>
      </c>
      <c r="I647" s="1047">
        <v>2020</v>
      </c>
      <c r="J647" s="1047" t="s">
        <v>298</v>
      </c>
      <c r="K647" s="1047" t="s">
        <v>39</v>
      </c>
      <c r="L647" s="1042" t="s">
        <v>299</v>
      </c>
      <c r="M647" s="1042" t="s">
        <v>283</v>
      </c>
      <c r="N647" s="1050">
        <v>45371</v>
      </c>
    </row>
    <row r="648" spans="1:14">
      <c r="A648" s="1042" t="s">
        <v>231</v>
      </c>
      <c r="B648" s="1042" t="s">
        <v>293</v>
      </c>
      <c r="C648" s="1042" t="s">
        <v>314</v>
      </c>
      <c r="D648" s="1042" t="s">
        <v>315</v>
      </c>
      <c r="E648" s="1047" t="s">
        <v>307</v>
      </c>
      <c r="F648" s="1047" t="s">
        <v>297</v>
      </c>
      <c r="G648" s="1047" t="s">
        <v>92</v>
      </c>
      <c r="H648" s="1047">
        <v>42888000</v>
      </c>
      <c r="I648" s="1047">
        <v>2020</v>
      </c>
      <c r="J648" s="1047" t="s">
        <v>298</v>
      </c>
      <c r="K648" s="1047" t="s">
        <v>39</v>
      </c>
      <c r="L648" s="1042" t="s">
        <v>299</v>
      </c>
      <c r="M648" s="1042" t="s">
        <v>283</v>
      </c>
      <c r="N648" s="1050">
        <v>45371</v>
      </c>
    </row>
    <row r="649" spans="1:14">
      <c r="A649" s="1042" t="s">
        <v>231</v>
      </c>
      <c r="B649" s="1042" t="s">
        <v>293</v>
      </c>
      <c r="C649" s="1042" t="s">
        <v>314</v>
      </c>
      <c r="D649" s="1042" t="s">
        <v>315</v>
      </c>
      <c r="E649" s="1047" t="s">
        <v>308</v>
      </c>
      <c r="F649" s="1047" t="s">
        <v>297</v>
      </c>
      <c r="G649" s="1047" t="s">
        <v>92</v>
      </c>
      <c r="H649" s="1047">
        <v>31541000</v>
      </c>
      <c r="I649" s="1047">
        <v>2020</v>
      </c>
      <c r="J649" s="1047" t="s">
        <v>298</v>
      </c>
      <c r="K649" s="1047" t="s">
        <v>39</v>
      </c>
      <c r="L649" s="1042" t="s">
        <v>299</v>
      </c>
      <c r="M649" s="1042" t="s">
        <v>283</v>
      </c>
      <c r="N649" s="1050">
        <v>45371</v>
      </c>
    </row>
    <row r="650" spans="1:14">
      <c r="A650" s="1042" t="s">
        <v>231</v>
      </c>
      <c r="B650" s="1042" t="s">
        <v>293</v>
      </c>
      <c r="C650" s="1042" t="s">
        <v>314</v>
      </c>
      <c r="D650" s="1042" t="s">
        <v>315</v>
      </c>
      <c r="E650" s="1047" t="s">
        <v>296</v>
      </c>
      <c r="F650" s="1047" t="s">
        <v>297</v>
      </c>
      <c r="G650" s="1047" t="s">
        <v>92</v>
      </c>
      <c r="H650" s="1047">
        <v>327629299</v>
      </c>
      <c r="I650" s="1047">
        <v>2021</v>
      </c>
      <c r="J650" s="1047" t="s">
        <v>298</v>
      </c>
      <c r="K650" s="1047" t="s">
        <v>39</v>
      </c>
      <c r="L650" s="1042" t="s">
        <v>299</v>
      </c>
      <c r="M650" s="1042" t="s">
        <v>283</v>
      </c>
      <c r="N650" s="1050">
        <v>45371</v>
      </c>
    </row>
    <row r="651" spans="1:14">
      <c r="A651" s="1042" t="s">
        <v>231</v>
      </c>
      <c r="B651" s="1042" t="s">
        <v>293</v>
      </c>
      <c r="C651" s="1042" t="s">
        <v>314</v>
      </c>
      <c r="D651" s="1042" t="s">
        <v>315</v>
      </c>
      <c r="E651" s="1047" t="s">
        <v>303</v>
      </c>
      <c r="F651" s="1047" t="s">
        <v>297</v>
      </c>
      <c r="G651" s="1047" t="s">
        <v>92</v>
      </c>
      <c r="H651" s="1047">
        <v>0</v>
      </c>
      <c r="I651" s="1047">
        <v>2021</v>
      </c>
      <c r="J651" s="1047" t="s">
        <v>298</v>
      </c>
      <c r="K651" s="1047" t="s">
        <v>39</v>
      </c>
      <c r="L651" s="1042" t="s">
        <v>299</v>
      </c>
      <c r="M651" s="1042" t="s">
        <v>283</v>
      </c>
      <c r="N651" s="1050">
        <v>45371</v>
      </c>
    </row>
    <row r="652" spans="1:14">
      <c r="A652" s="1042" t="s">
        <v>231</v>
      </c>
      <c r="B652" s="1042" t="s">
        <v>293</v>
      </c>
      <c r="C652" s="1042" t="s">
        <v>314</v>
      </c>
      <c r="D652" s="1042" t="s">
        <v>315</v>
      </c>
      <c r="E652" s="1047" t="s">
        <v>304</v>
      </c>
      <c r="F652" s="1047" t="s">
        <v>297</v>
      </c>
      <c r="G652" s="1047" t="s">
        <v>92</v>
      </c>
      <c r="H652" s="1047">
        <v>60000000</v>
      </c>
      <c r="I652" s="1047">
        <v>2021</v>
      </c>
      <c r="J652" s="1047" t="s">
        <v>298</v>
      </c>
      <c r="K652" s="1047" t="s">
        <v>39</v>
      </c>
      <c r="L652" s="1042" t="s">
        <v>299</v>
      </c>
      <c r="M652" s="1042" t="s">
        <v>283</v>
      </c>
      <c r="N652" s="1050">
        <v>45371</v>
      </c>
    </row>
    <row r="653" spans="1:14">
      <c r="A653" s="1042" t="s">
        <v>231</v>
      </c>
      <c r="B653" s="1042" t="s">
        <v>293</v>
      </c>
      <c r="C653" s="1042" t="s">
        <v>314</v>
      </c>
      <c r="D653" s="1042" t="s">
        <v>315</v>
      </c>
      <c r="E653" s="1047" t="s">
        <v>306</v>
      </c>
      <c r="F653" s="1047" t="s">
        <v>297</v>
      </c>
      <c r="G653" s="1047" t="s">
        <v>92</v>
      </c>
      <c r="H653" s="1047">
        <v>56059866</v>
      </c>
      <c r="I653" s="1047">
        <v>2021</v>
      </c>
      <c r="J653" s="1047" t="s">
        <v>298</v>
      </c>
      <c r="K653" s="1047" t="s">
        <v>39</v>
      </c>
      <c r="L653" s="1042" t="s">
        <v>299</v>
      </c>
      <c r="M653" s="1042" t="s">
        <v>283</v>
      </c>
      <c r="N653" s="1050">
        <v>45371</v>
      </c>
    </row>
    <row r="654" spans="1:14">
      <c r="A654" s="1042" t="s">
        <v>231</v>
      </c>
      <c r="B654" s="1042" t="s">
        <v>293</v>
      </c>
      <c r="C654" s="1042" t="s">
        <v>314</v>
      </c>
      <c r="D654" s="1042" t="s">
        <v>315</v>
      </c>
      <c r="E654" s="1047" t="s">
        <v>308</v>
      </c>
      <c r="F654" s="1047" t="s">
        <v>297</v>
      </c>
      <c r="G654" s="1047" t="s">
        <v>92</v>
      </c>
      <c r="H654" s="1047">
        <v>146448640</v>
      </c>
      <c r="I654" s="1047">
        <v>2021</v>
      </c>
      <c r="J654" s="1047" t="s">
        <v>298</v>
      </c>
      <c r="K654" s="1047" t="s">
        <v>39</v>
      </c>
      <c r="L654" s="1042" t="s">
        <v>299</v>
      </c>
      <c r="M654" s="1042" t="s">
        <v>283</v>
      </c>
      <c r="N654" s="1050">
        <v>45371</v>
      </c>
    </row>
    <row r="655" spans="1:14">
      <c r="A655" s="1042" t="s">
        <v>231</v>
      </c>
      <c r="B655" s="1042" t="s">
        <v>293</v>
      </c>
      <c r="C655" s="1042" t="s">
        <v>314</v>
      </c>
      <c r="D655" s="1042" t="s">
        <v>315</v>
      </c>
      <c r="E655" s="1047" t="s">
        <v>296</v>
      </c>
      <c r="F655" s="1047" t="s">
        <v>297</v>
      </c>
      <c r="G655" s="1047" t="s">
        <v>92</v>
      </c>
      <c r="H655" s="1047">
        <v>43773311</v>
      </c>
      <c r="I655" s="1047">
        <v>2022</v>
      </c>
      <c r="J655" s="1047" t="s">
        <v>298</v>
      </c>
      <c r="K655" s="1047" t="s">
        <v>39</v>
      </c>
      <c r="L655" s="1042" t="s">
        <v>299</v>
      </c>
      <c r="M655" s="1042" t="s">
        <v>283</v>
      </c>
      <c r="N655" s="1050">
        <v>45371</v>
      </c>
    </row>
    <row r="656" spans="1:14">
      <c r="A656" s="1042" t="s">
        <v>231</v>
      </c>
      <c r="B656" s="1042" t="s">
        <v>293</v>
      </c>
      <c r="C656" s="1042" t="s">
        <v>314</v>
      </c>
      <c r="D656" s="1042" t="s">
        <v>315</v>
      </c>
      <c r="E656" s="1047" t="s">
        <v>309</v>
      </c>
      <c r="F656" s="1047" t="s">
        <v>297</v>
      </c>
      <c r="G656" s="1047" t="s">
        <v>92</v>
      </c>
      <c r="H656" s="1047">
        <v>180999400</v>
      </c>
      <c r="I656" s="1047">
        <v>2022</v>
      </c>
      <c r="J656" s="1047" t="s">
        <v>298</v>
      </c>
      <c r="K656" s="1047" t="s">
        <v>39</v>
      </c>
      <c r="L656" s="1042" t="s">
        <v>299</v>
      </c>
      <c r="M656" s="1042" t="s">
        <v>283</v>
      </c>
      <c r="N656" s="1050">
        <v>45371</v>
      </c>
    </row>
    <row r="657" spans="1:14">
      <c r="A657" s="1042" t="s">
        <v>231</v>
      </c>
      <c r="B657" s="1042" t="s">
        <v>293</v>
      </c>
      <c r="C657" s="1042" t="s">
        <v>314</v>
      </c>
      <c r="D657" s="1042" t="s">
        <v>315</v>
      </c>
      <c r="E657" s="1047" t="s">
        <v>304</v>
      </c>
      <c r="F657" s="1047" t="s">
        <v>297</v>
      </c>
      <c r="G657" s="1047" t="s">
        <v>92</v>
      </c>
      <c r="H657" s="1047">
        <v>9640528</v>
      </c>
      <c r="I657" s="1047">
        <v>2022</v>
      </c>
      <c r="J657" s="1047" t="s">
        <v>298</v>
      </c>
      <c r="K657" s="1047" t="s">
        <v>39</v>
      </c>
      <c r="L657" s="1042" t="s">
        <v>299</v>
      </c>
      <c r="M657" s="1042" t="s">
        <v>283</v>
      </c>
      <c r="N657" s="1050">
        <v>45371</v>
      </c>
    </row>
    <row r="658" spans="1:14">
      <c r="A658" s="1042" t="s">
        <v>231</v>
      </c>
      <c r="B658" s="1042" t="s">
        <v>293</v>
      </c>
      <c r="C658" s="1042" t="s">
        <v>314</v>
      </c>
      <c r="D658" s="1042" t="s">
        <v>315</v>
      </c>
      <c r="E658" s="1047" t="s">
        <v>308</v>
      </c>
      <c r="F658" s="1047" t="s">
        <v>297</v>
      </c>
      <c r="G658" s="1047" t="s">
        <v>92</v>
      </c>
      <c r="H658" s="1047">
        <v>59040511</v>
      </c>
      <c r="I658" s="1047">
        <v>2022</v>
      </c>
      <c r="J658" s="1047" t="s">
        <v>298</v>
      </c>
      <c r="K658" s="1047" t="s">
        <v>39</v>
      </c>
      <c r="L658" s="1042" t="s">
        <v>299</v>
      </c>
      <c r="M658" s="1042" t="s">
        <v>283</v>
      </c>
      <c r="N658" s="1050">
        <v>45371</v>
      </c>
    </row>
    <row r="659" spans="1:14">
      <c r="A659" s="1042" t="s">
        <v>231</v>
      </c>
      <c r="B659" s="1042" t="s">
        <v>232</v>
      </c>
      <c r="C659" s="1042" t="s">
        <v>235</v>
      </c>
      <c r="D659" s="1049" t="s">
        <v>174</v>
      </c>
      <c r="E659" s="1047" t="s">
        <v>144</v>
      </c>
      <c r="F659" s="1047" t="s">
        <v>39</v>
      </c>
      <c r="G659" s="1047" t="s">
        <v>39</v>
      </c>
      <c r="H659" s="1048">
        <v>1914776458</v>
      </c>
      <c r="I659" s="1047">
        <v>2024</v>
      </c>
      <c r="J659" s="1047" t="s">
        <v>233</v>
      </c>
      <c r="K659" s="1047" t="s">
        <v>39</v>
      </c>
      <c r="L659" s="1042" t="s">
        <v>281</v>
      </c>
      <c r="M659" s="1042" t="s">
        <v>283</v>
      </c>
      <c r="N659" s="1050">
        <v>45371</v>
      </c>
    </row>
    <row r="660" spans="1:14">
      <c r="A660" s="1042" t="s">
        <v>231</v>
      </c>
      <c r="B660" s="1042" t="s">
        <v>232</v>
      </c>
      <c r="C660" s="1042" t="s">
        <v>252</v>
      </c>
      <c r="D660" s="1049" t="s">
        <v>191</v>
      </c>
      <c r="E660" s="1047" t="s">
        <v>144</v>
      </c>
      <c r="F660" s="1047" t="s">
        <v>39</v>
      </c>
      <c r="G660" s="1047" t="s">
        <v>39</v>
      </c>
      <c r="H660" s="1048">
        <v>2565755559</v>
      </c>
      <c r="I660" s="1047">
        <v>2024</v>
      </c>
      <c r="J660" s="1047" t="s">
        <v>233</v>
      </c>
      <c r="K660" s="1047" t="s">
        <v>39</v>
      </c>
      <c r="L660" s="1042" t="s">
        <v>281</v>
      </c>
      <c r="M660" s="1042" t="s">
        <v>283</v>
      </c>
      <c r="N660" s="1050">
        <v>45371</v>
      </c>
    </row>
    <row r="661" spans="1:14">
      <c r="A661" s="1042" t="s">
        <v>231</v>
      </c>
      <c r="B661" s="1042" t="s">
        <v>232</v>
      </c>
      <c r="C661" s="1042" t="s">
        <v>266</v>
      </c>
      <c r="D661" s="1049" t="s">
        <v>208</v>
      </c>
      <c r="E661" s="1047" t="s">
        <v>144</v>
      </c>
      <c r="F661" s="1047" t="s">
        <v>39</v>
      </c>
      <c r="G661" s="1047" t="s">
        <v>39</v>
      </c>
      <c r="H661" s="1047">
        <v>74.628171467210294</v>
      </c>
      <c r="I661" s="1047">
        <v>2024</v>
      </c>
      <c r="J661" s="1047" t="s">
        <v>233</v>
      </c>
      <c r="K661" s="1047" t="s">
        <v>39</v>
      </c>
      <c r="L661" s="1042" t="s">
        <v>281</v>
      </c>
      <c r="M661" s="1042" t="s">
        <v>283</v>
      </c>
      <c r="N661" s="1050">
        <v>45371</v>
      </c>
    </row>
    <row r="662" spans="1:14">
      <c r="A662" s="1042" t="s">
        <v>231</v>
      </c>
      <c r="B662" s="1042" t="s">
        <v>232</v>
      </c>
      <c r="C662" s="1042" t="s">
        <v>234</v>
      </c>
      <c r="D662" s="1049" t="s">
        <v>173</v>
      </c>
      <c r="E662" s="1047" t="s">
        <v>144</v>
      </c>
      <c r="F662" s="1047" t="s">
        <v>39</v>
      </c>
      <c r="G662" s="1047" t="s">
        <v>39</v>
      </c>
      <c r="H662" s="1048">
        <v>1731216405</v>
      </c>
      <c r="I662" s="1047">
        <v>2024</v>
      </c>
      <c r="J662" s="1047" t="s">
        <v>233</v>
      </c>
      <c r="K662" s="1047" t="s">
        <v>39</v>
      </c>
      <c r="L662" s="1042" t="s">
        <v>281</v>
      </c>
      <c r="M662" s="1042" t="s">
        <v>283</v>
      </c>
      <c r="N662" s="1050">
        <v>45371</v>
      </c>
    </row>
    <row r="663" spans="1:14">
      <c r="A663" s="1042" t="s">
        <v>231</v>
      </c>
      <c r="B663" s="1042" t="s">
        <v>236</v>
      </c>
      <c r="C663" s="1042" t="s">
        <v>237</v>
      </c>
      <c r="D663" s="1049" t="s">
        <v>175</v>
      </c>
      <c r="E663" s="1047" t="s">
        <v>40</v>
      </c>
      <c r="F663" s="1047" t="s">
        <v>39</v>
      </c>
      <c r="G663" s="1047" t="s">
        <v>39</v>
      </c>
      <c r="H663" s="1047">
        <v>104</v>
      </c>
      <c r="I663" s="1047">
        <v>2023</v>
      </c>
      <c r="J663" s="1047" t="s">
        <v>233</v>
      </c>
      <c r="K663" s="1047" t="s">
        <v>39</v>
      </c>
      <c r="L663" s="1042" t="s">
        <v>281</v>
      </c>
      <c r="M663" s="1042" t="s">
        <v>284</v>
      </c>
      <c r="N663" s="1050">
        <v>45371</v>
      </c>
    </row>
    <row r="664" spans="1:14">
      <c r="A664" s="1042" t="s">
        <v>231</v>
      </c>
      <c r="B664" s="1042" t="s">
        <v>236</v>
      </c>
      <c r="C664" s="1042" t="s">
        <v>237</v>
      </c>
      <c r="D664" s="1049" t="s">
        <v>175</v>
      </c>
      <c r="E664" s="1047" t="s">
        <v>144</v>
      </c>
      <c r="F664" s="1047" t="s">
        <v>39</v>
      </c>
      <c r="G664" s="1047" t="s">
        <v>39</v>
      </c>
      <c r="H664" s="1047">
        <v>1078</v>
      </c>
      <c r="I664" s="1047">
        <v>2023</v>
      </c>
      <c r="J664" s="1047" t="s">
        <v>233</v>
      </c>
      <c r="K664" s="1047" t="s">
        <v>39</v>
      </c>
      <c r="L664" s="1042" t="s">
        <v>281</v>
      </c>
      <c r="M664" s="1042" t="s">
        <v>284</v>
      </c>
      <c r="N664" s="1050">
        <v>45371</v>
      </c>
    </row>
    <row r="665" spans="1:14">
      <c r="A665" s="1042" t="s">
        <v>231</v>
      </c>
      <c r="B665" s="1042" t="s">
        <v>236</v>
      </c>
      <c r="C665" s="1042" t="s">
        <v>238</v>
      </c>
      <c r="D665" s="1049" t="s">
        <v>176</v>
      </c>
      <c r="E665" s="1047" t="s">
        <v>144</v>
      </c>
      <c r="F665" s="1047" t="s">
        <v>39</v>
      </c>
      <c r="G665" s="1047" t="s">
        <v>39</v>
      </c>
      <c r="H665" s="1048">
        <v>24</v>
      </c>
      <c r="I665" s="1047">
        <v>2024</v>
      </c>
      <c r="J665" s="1047" t="s">
        <v>233</v>
      </c>
      <c r="K665" s="1047" t="s">
        <v>39</v>
      </c>
      <c r="L665" s="1042" t="s">
        <v>281</v>
      </c>
      <c r="M665" s="1042" t="s">
        <v>285</v>
      </c>
      <c r="N665" s="1050">
        <v>45371</v>
      </c>
    </row>
    <row r="666" spans="1:14">
      <c r="A666" s="1042" t="s">
        <v>231</v>
      </c>
      <c r="B666" s="1042" t="s">
        <v>336</v>
      </c>
      <c r="C666" s="1042" t="s">
        <v>337</v>
      </c>
      <c r="D666" s="1042" t="s">
        <v>331</v>
      </c>
      <c r="E666" s="1047" t="s">
        <v>144</v>
      </c>
      <c r="F666" s="1047" t="s">
        <v>39</v>
      </c>
      <c r="G666" s="1047" t="s">
        <v>39</v>
      </c>
      <c r="H666" s="1048">
        <v>1346</v>
      </c>
      <c r="I666" s="1048">
        <v>2025</v>
      </c>
      <c r="J666" s="1047" t="s">
        <v>233</v>
      </c>
      <c r="K666" s="1047" t="s">
        <v>39</v>
      </c>
      <c r="L666" s="1042" t="s">
        <v>342</v>
      </c>
      <c r="M666" s="1042" t="s">
        <v>284</v>
      </c>
      <c r="N666" s="1050">
        <v>45928</v>
      </c>
    </row>
    <row r="667" spans="1:14">
      <c r="A667" s="1042" t="s">
        <v>231</v>
      </c>
      <c r="B667" s="1042" t="s">
        <v>336</v>
      </c>
      <c r="C667" s="1042" t="s">
        <v>338</v>
      </c>
      <c r="D667" s="1042" t="s">
        <v>332</v>
      </c>
      <c r="E667" s="1047" t="s">
        <v>144</v>
      </c>
      <c r="F667" s="1047" t="s">
        <v>39</v>
      </c>
      <c r="G667" s="1047" t="s">
        <v>39</v>
      </c>
      <c r="H667" s="1048">
        <v>942755394</v>
      </c>
      <c r="I667" s="1048">
        <v>2025</v>
      </c>
      <c r="J667" s="1047" t="s">
        <v>233</v>
      </c>
      <c r="K667" s="1047" t="s">
        <v>39</v>
      </c>
      <c r="L667" s="1053" t="s">
        <v>342</v>
      </c>
      <c r="M667" s="1053" t="s">
        <v>283</v>
      </c>
      <c r="N667" s="1050">
        <v>45928</v>
      </c>
    </row>
    <row r="668" spans="1:14">
      <c r="A668" s="1042" t="s">
        <v>231</v>
      </c>
      <c r="B668" s="1042" t="s">
        <v>336</v>
      </c>
      <c r="C668" s="1042" t="s">
        <v>339</v>
      </c>
      <c r="D668" s="1042" t="s">
        <v>333</v>
      </c>
      <c r="E668" s="1047" t="s">
        <v>144</v>
      </c>
      <c r="F668" s="1047" t="s">
        <v>39</v>
      </c>
      <c r="G668" s="1047" t="s">
        <v>39</v>
      </c>
      <c r="H668" s="1048">
        <v>322</v>
      </c>
      <c r="I668" s="1048">
        <v>2025</v>
      </c>
      <c r="J668" s="1047" t="s">
        <v>233</v>
      </c>
      <c r="K668" s="1047" t="s">
        <v>39</v>
      </c>
      <c r="L668" s="1053" t="s">
        <v>342</v>
      </c>
      <c r="M668" s="1053" t="s">
        <v>284</v>
      </c>
      <c r="N668" s="1050">
        <v>45928</v>
      </c>
    </row>
    <row r="669" spans="1:14">
      <c r="A669" s="1042" t="s">
        <v>231</v>
      </c>
      <c r="B669" s="1042" t="s">
        <v>336</v>
      </c>
      <c r="C669" s="1042" t="s">
        <v>340</v>
      </c>
      <c r="D669" s="1042" t="s">
        <v>334</v>
      </c>
      <c r="E669" s="1047" t="s">
        <v>144</v>
      </c>
      <c r="F669" s="1047" t="s">
        <v>39</v>
      </c>
      <c r="G669" s="1047" t="s">
        <v>39</v>
      </c>
      <c r="H669" s="1048">
        <v>80</v>
      </c>
      <c r="I669" s="1048">
        <v>2025</v>
      </c>
      <c r="J669" s="1047" t="s">
        <v>233</v>
      </c>
      <c r="K669" s="1047" t="s">
        <v>39</v>
      </c>
      <c r="L669" s="1053" t="s">
        <v>342</v>
      </c>
      <c r="M669" s="1053" t="s">
        <v>343</v>
      </c>
      <c r="N669" s="1050">
        <v>45928</v>
      </c>
    </row>
    <row r="670" spans="1:14">
      <c r="A670" s="1042" t="s">
        <v>231</v>
      </c>
      <c r="B670" s="1042" t="s">
        <v>336</v>
      </c>
      <c r="C670" s="1042" t="s">
        <v>341</v>
      </c>
      <c r="D670" s="1042" t="s">
        <v>335</v>
      </c>
      <c r="E670" s="1047" t="s">
        <v>144</v>
      </c>
      <c r="F670" s="1047" t="s">
        <v>39</v>
      </c>
      <c r="G670" s="1047" t="s">
        <v>39</v>
      </c>
      <c r="H670" s="1047">
        <v>43.333333333333336</v>
      </c>
      <c r="I670" s="1048">
        <v>2025</v>
      </c>
      <c r="J670" s="1047" t="s">
        <v>233</v>
      </c>
      <c r="K670" s="1047" t="s">
        <v>39</v>
      </c>
      <c r="L670" s="1054" t="s">
        <v>342</v>
      </c>
      <c r="M670" s="1053" t="s">
        <v>343</v>
      </c>
      <c r="N670" s="1050">
        <v>45928</v>
      </c>
    </row>
    <row r="671" spans="1:14" ht="15.5">
      <c r="E671" s="1051"/>
      <c r="F671" s="1052"/>
    </row>
  </sheetData>
  <autoFilter ref="A1:M670" xr:uid="{13235B72-7543-4622-B60B-164ACCD843C4}"/>
  <phoneticPr fontId="40" type="noConversion"/>
  <pageMargins left="0.7" right="0.7" top="0.75" bottom="0.75" header="0" footer="0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6"/>
  <sheetViews>
    <sheetView workbookViewId="0"/>
  </sheetViews>
  <sheetFormatPr baseColWidth="10" defaultColWidth="14.453125" defaultRowHeight="15" customHeight="1"/>
  <cols>
    <col min="2" max="2" width="46.08984375" customWidth="1"/>
  </cols>
  <sheetData>
    <row r="1" spans="1:13">
      <c r="A1" s="51" t="s">
        <v>121</v>
      </c>
      <c r="B1" s="51" t="s">
        <v>122</v>
      </c>
    </row>
    <row r="2" spans="1:13">
      <c r="B2" s="51" t="s">
        <v>123</v>
      </c>
    </row>
    <row r="3" spans="1:13">
      <c r="B3" s="51">
        <v>2</v>
      </c>
    </row>
    <row r="5" spans="1:13">
      <c r="A5" s="323">
        <v>196817650</v>
      </c>
    </row>
    <row r="6" spans="1:13">
      <c r="A6" s="323">
        <v>1501590576</v>
      </c>
    </row>
    <row r="7" spans="1:13">
      <c r="A7" s="323">
        <v>1851443573</v>
      </c>
    </row>
    <row r="8" spans="1:13">
      <c r="A8" s="323">
        <v>1153763902</v>
      </c>
    </row>
    <row r="10" spans="1:13">
      <c r="A10" s="1063">
        <v>2023</v>
      </c>
      <c r="B10" s="1064"/>
      <c r="C10" s="1064"/>
      <c r="D10" s="1064"/>
      <c r="E10" s="1064"/>
      <c r="F10" s="1064"/>
      <c r="G10" s="1064"/>
      <c r="H10" s="4"/>
      <c r="I10" s="5">
        <v>2024</v>
      </c>
      <c r="J10" s="5"/>
      <c r="K10" s="1065"/>
      <c r="L10" s="1066"/>
      <c r="M10" s="1067"/>
    </row>
    <row r="11" spans="1:13">
      <c r="A11" s="17" t="s">
        <v>11</v>
      </c>
      <c r="B11" s="17" t="s">
        <v>12</v>
      </c>
      <c r="C11" s="18" t="s">
        <v>13</v>
      </c>
      <c r="D11" s="17" t="s">
        <v>14</v>
      </c>
      <c r="E11" s="19" t="s">
        <v>4</v>
      </c>
      <c r="F11" s="19" t="s">
        <v>5</v>
      </c>
      <c r="G11" s="19" t="s">
        <v>3</v>
      </c>
      <c r="H11" s="20" t="s">
        <v>15</v>
      </c>
      <c r="I11" s="20" t="s">
        <v>124</v>
      </c>
      <c r="J11" s="791"/>
      <c r="K11" s="21" t="s">
        <v>16</v>
      </c>
      <c r="L11" s="13" t="s">
        <v>17</v>
      </c>
      <c r="M11" s="11" t="s">
        <v>3</v>
      </c>
    </row>
    <row r="12" spans="1:13">
      <c r="A12" s="792">
        <f t="shared" ref="A12:D12" si="0">+A13+A14+A15+A16</f>
        <v>1198789916</v>
      </c>
      <c r="B12" s="313">
        <f t="shared" si="0"/>
        <v>1708672813</v>
      </c>
      <c r="C12" s="309">
        <f t="shared" si="0"/>
        <v>1796152972</v>
      </c>
      <c r="D12" s="310">
        <f t="shared" si="0"/>
        <v>0</v>
      </c>
      <c r="E12" s="290">
        <f t="shared" ref="E12:F12" si="1">E13+E14+E15+E16</f>
        <v>3604025666</v>
      </c>
      <c r="F12" s="311">
        <f t="shared" si="1"/>
        <v>4784803425</v>
      </c>
      <c r="G12" s="246">
        <f t="shared" ref="G12:G16" si="2">E12/F12</f>
        <v>0.75322335023616982</v>
      </c>
      <c r="H12" s="315"/>
      <c r="I12" s="315"/>
      <c r="K12" s="793" t="e">
        <f t="shared" ref="K12:K16" si="3">+#REF!+#REF!+#REF!+#REF!+E12+H12</f>
        <v>#REF!</v>
      </c>
      <c r="L12" s="793">
        <v>13455879321</v>
      </c>
      <c r="M12" s="794" t="e">
        <f t="shared" ref="M12:M16" si="4">+K12/L12</f>
        <v>#REF!</v>
      </c>
    </row>
    <row r="13" spans="1:13">
      <c r="A13" s="502">
        <v>47498150</v>
      </c>
      <c r="B13" s="70">
        <v>79467200</v>
      </c>
      <c r="C13" s="70">
        <v>69852300</v>
      </c>
      <c r="D13" s="322"/>
      <c r="E13" s="323">
        <v>196817650</v>
      </c>
      <c r="F13" s="323">
        <v>223000000</v>
      </c>
      <c r="G13" s="118">
        <f t="shared" si="2"/>
        <v>0.88259035874439462</v>
      </c>
      <c r="H13" s="324"/>
      <c r="I13" s="324"/>
      <c r="J13" s="324"/>
      <c r="K13" s="795" t="e">
        <f t="shared" si="3"/>
        <v>#REF!</v>
      </c>
      <c r="L13" s="322">
        <v>661270718.1720854</v>
      </c>
      <c r="M13" s="246" t="e">
        <f t="shared" si="4"/>
        <v>#REF!</v>
      </c>
    </row>
    <row r="14" spans="1:13">
      <c r="A14" s="502">
        <v>308844028</v>
      </c>
      <c r="B14" s="70">
        <v>453288465</v>
      </c>
      <c r="C14" s="70">
        <v>739458083</v>
      </c>
      <c r="D14" s="322"/>
      <c r="E14" s="323">
        <v>1402000541</v>
      </c>
      <c r="F14" s="323">
        <v>2000000000</v>
      </c>
      <c r="G14" s="118">
        <f t="shared" si="2"/>
        <v>0.70100027050000002</v>
      </c>
      <c r="H14" s="324"/>
      <c r="I14" s="324"/>
      <c r="J14" s="324"/>
      <c r="K14" s="795" t="e">
        <f t="shared" si="3"/>
        <v>#REF!</v>
      </c>
      <c r="L14" s="322">
        <v>6391542677.1994705</v>
      </c>
      <c r="M14" s="246" t="e">
        <f t="shared" si="4"/>
        <v>#REF!</v>
      </c>
    </row>
    <row r="15" spans="1:13">
      <c r="A15" s="502">
        <v>552070435</v>
      </c>
      <c r="B15" s="70">
        <v>696469098</v>
      </c>
      <c r="C15" s="70">
        <v>602904040</v>
      </c>
      <c r="D15" s="322"/>
      <c r="E15" s="324">
        <v>1051443573</v>
      </c>
      <c r="F15" s="324">
        <v>1242000000</v>
      </c>
      <c r="G15" s="118">
        <f t="shared" si="2"/>
        <v>0.84657292512077298</v>
      </c>
      <c r="H15" s="324"/>
      <c r="I15" s="324"/>
      <c r="J15" s="324"/>
      <c r="K15" s="795" t="e">
        <f t="shared" si="3"/>
        <v>#REF!</v>
      </c>
      <c r="L15" s="322">
        <v>2029905148.2321503</v>
      </c>
      <c r="M15" s="246" t="e">
        <f t="shared" si="4"/>
        <v>#REF!</v>
      </c>
    </row>
    <row r="16" spans="1:13">
      <c r="A16" s="512">
        <v>290377303</v>
      </c>
      <c r="B16" s="346">
        <v>479448050</v>
      </c>
      <c r="C16" s="346">
        <v>383938549</v>
      </c>
      <c r="D16" s="796"/>
      <c r="E16" s="323">
        <v>953763902</v>
      </c>
      <c r="F16" s="797">
        <v>1319803425</v>
      </c>
      <c r="G16" s="681">
        <f t="shared" si="2"/>
        <v>0.72265602887035996</v>
      </c>
      <c r="H16" s="324"/>
      <c r="I16" s="324"/>
      <c r="J16" s="324"/>
      <c r="K16" s="795" t="e">
        <f t="shared" si="3"/>
        <v>#REF!</v>
      </c>
      <c r="L16" s="322">
        <v>4373160777.3962936</v>
      </c>
      <c r="M16" s="246" t="e">
        <f t="shared" si="4"/>
        <v>#REF!</v>
      </c>
    </row>
  </sheetData>
  <mergeCells count="2">
    <mergeCell ref="A10:G10"/>
    <mergeCell ref="K10:M10"/>
  </mergeCells>
  <conditionalFormatting sqref="G12:G16">
    <cfRule type="cellIs" dxfId="43" priority="3" operator="greaterThanOrEqual">
      <formula>1</formula>
    </cfRule>
    <cfRule type="cellIs" dxfId="42" priority="4" operator="lessThan">
      <formula>1</formula>
    </cfRule>
  </conditionalFormatting>
  <conditionalFormatting sqref="M12:M16">
    <cfRule type="cellIs" dxfId="41" priority="1" operator="greaterThanOrEqual">
      <formula>1</formula>
    </cfRule>
    <cfRule type="cellIs" dxfId="40" priority="2" operator="less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103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453125" defaultRowHeight="15" customHeight="1"/>
  <cols>
    <col min="1" max="1" width="46.81640625" customWidth="1"/>
    <col min="2" max="2" width="15.81640625" customWidth="1"/>
    <col min="3" max="3" width="14.81640625" customWidth="1"/>
    <col min="4" max="4" width="8" customWidth="1"/>
    <col min="5" max="6" width="14.81640625" customWidth="1"/>
    <col min="7" max="7" width="7" customWidth="1"/>
    <col min="8" max="8" width="13.81640625" customWidth="1"/>
    <col min="9" max="9" width="14.08984375" customWidth="1"/>
    <col min="10" max="11" width="13.453125" customWidth="1"/>
    <col min="12" max="12" width="17.81640625" customWidth="1"/>
    <col min="13" max="13" width="15.08984375" customWidth="1"/>
    <col min="14" max="14" width="8.81640625" customWidth="1"/>
    <col min="15" max="15" width="12.81640625" customWidth="1"/>
    <col min="16" max="16" width="13" customWidth="1"/>
    <col min="17" max="17" width="13.81640625" customWidth="1"/>
    <col min="18" max="18" width="11.453125" customWidth="1"/>
    <col min="19" max="19" width="13.81640625" customWidth="1"/>
    <col min="20" max="20" width="15.08984375" customWidth="1"/>
    <col min="21" max="21" width="13.81640625" customWidth="1"/>
    <col min="22" max="22" width="13.08984375" customWidth="1"/>
    <col min="23" max="23" width="15.08984375" customWidth="1"/>
    <col min="24" max="24" width="12.81640625" customWidth="1"/>
    <col min="25" max="25" width="13.453125" customWidth="1"/>
    <col min="26" max="26" width="17.81640625" customWidth="1"/>
    <col min="27" max="27" width="15.81640625" customWidth="1"/>
    <col min="28" max="28" width="8.453125" customWidth="1"/>
    <col min="29" max="31" width="15.08984375" hidden="1" customWidth="1"/>
    <col min="32" max="32" width="15.08984375" customWidth="1"/>
    <col min="33" max="33" width="16.81640625" customWidth="1"/>
    <col min="34" max="34" width="10.81640625" customWidth="1"/>
    <col min="35" max="35" width="17.81640625" customWidth="1"/>
    <col min="36" max="36" width="15.08984375" customWidth="1"/>
    <col min="37" max="37" width="15.453125" customWidth="1"/>
    <col min="38" max="71" width="2.81640625" customWidth="1"/>
    <col min="72" max="72" width="4.81640625" customWidth="1"/>
    <col min="73" max="73" width="3.453125" customWidth="1"/>
    <col min="74" max="92" width="2.81640625" customWidth="1"/>
    <col min="93" max="93" width="3.453125" customWidth="1"/>
    <col min="94" max="94" width="2.81640625" customWidth="1"/>
    <col min="95" max="95" width="3.81640625" customWidth="1"/>
    <col min="96" max="96" width="4.81640625" customWidth="1"/>
  </cols>
  <sheetData>
    <row r="1" spans="1:96" ht="21" customHeight="1">
      <c r="A1" s="1080"/>
      <c r="B1" s="1082">
        <v>2019</v>
      </c>
      <c r="C1" s="1066"/>
      <c r="D1" s="1067"/>
      <c r="E1" s="1">
        <v>2020</v>
      </c>
      <c r="F1" s="2"/>
      <c r="G1" s="3"/>
      <c r="H1" s="1065">
        <v>2021</v>
      </c>
      <c r="I1" s="1066"/>
      <c r="J1" s="1066"/>
      <c r="K1" s="1066"/>
      <c r="L1" s="1066"/>
      <c r="M1" s="1066"/>
      <c r="N1" s="1067"/>
      <c r="O1" s="1082">
        <v>2022</v>
      </c>
      <c r="P1" s="1066"/>
      <c r="Q1" s="1066"/>
      <c r="R1" s="1066"/>
      <c r="S1" s="1066"/>
      <c r="T1" s="1066"/>
      <c r="U1" s="1067"/>
      <c r="V1" s="1063">
        <v>2023</v>
      </c>
      <c r="W1" s="1064"/>
      <c r="X1" s="1064"/>
      <c r="Y1" s="1064"/>
      <c r="Z1" s="1064"/>
      <c r="AA1" s="1064"/>
      <c r="AB1" s="1064"/>
      <c r="AC1" s="4"/>
      <c r="AD1" s="5">
        <v>2024</v>
      </c>
      <c r="AE1" s="5"/>
      <c r="AF1" s="1065"/>
      <c r="AG1" s="1066"/>
      <c r="AH1" s="1067"/>
      <c r="AI1" s="6"/>
      <c r="AJ1" s="6"/>
      <c r="AK1" s="7" t="s">
        <v>0</v>
      </c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</row>
    <row r="2" spans="1:96" ht="12.75" customHeight="1">
      <c r="A2" s="1081"/>
      <c r="B2" s="9" t="s">
        <v>1</v>
      </c>
      <c r="C2" s="10" t="s">
        <v>2</v>
      </c>
      <c r="D2" s="11" t="s">
        <v>3</v>
      </c>
      <c r="E2" s="9" t="s">
        <v>4</v>
      </c>
      <c r="F2" s="10" t="s">
        <v>5</v>
      </c>
      <c r="G2" s="11" t="s">
        <v>3</v>
      </c>
      <c r="H2" s="12" t="s">
        <v>6</v>
      </c>
      <c r="I2" s="13" t="s">
        <v>7</v>
      </c>
      <c r="J2" s="14" t="s">
        <v>8</v>
      </c>
      <c r="K2" s="13" t="s">
        <v>9</v>
      </c>
      <c r="L2" s="15" t="s">
        <v>4</v>
      </c>
      <c r="M2" s="10" t="s">
        <v>10</v>
      </c>
      <c r="N2" s="11" t="s">
        <v>3</v>
      </c>
      <c r="O2" s="12" t="s">
        <v>6</v>
      </c>
      <c r="P2" s="13" t="s">
        <v>7</v>
      </c>
      <c r="Q2" s="14" t="s">
        <v>8</v>
      </c>
      <c r="R2" s="13" t="s">
        <v>9</v>
      </c>
      <c r="S2" s="9" t="s">
        <v>4</v>
      </c>
      <c r="T2" s="9" t="s">
        <v>5</v>
      </c>
      <c r="U2" s="16" t="s">
        <v>3</v>
      </c>
      <c r="V2" s="17" t="s">
        <v>11</v>
      </c>
      <c r="W2" s="17" t="s">
        <v>12</v>
      </c>
      <c r="X2" s="18" t="s">
        <v>13</v>
      </c>
      <c r="Y2" s="17" t="s">
        <v>14</v>
      </c>
      <c r="Z2" s="19" t="s">
        <v>4</v>
      </c>
      <c r="AA2" s="19" t="s">
        <v>5</v>
      </c>
      <c r="AB2" s="19" t="s">
        <v>3</v>
      </c>
      <c r="AC2" s="20" t="s">
        <v>15</v>
      </c>
      <c r="AD2" s="20" t="s">
        <v>124</v>
      </c>
      <c r="AE2" s="791"/>
      <c r="AF2" s="21" t="s">
        <v>16</v>
      </c>
      <c r="AG2" s="13" t="s">
        <v>17</v>
      </c>
      <c r="AH2" s="11" t="s">
        <v>3</v>
      </c>
      <c r="AI2" s="6"/>
      <c r="AJ2" s="6"/>
      <c r="AK2" s="1076" t="s">
        <v>18</v>
      </c>
      <c r="AL2" s="1077"/>
      <c r="AM2" s="1077"/>
      <c r="AN2" s="1077"/>
      <c r="AO2" s="1077"/>
      <c r="AP2" s="1077"/>
      <c r="AQ2" s="1077"/>
      <c r="AR2" s="1077"/>
      <c r="AS2" s="1077"/>
      <c r="AT2" s="1077"/>
      <c r="AU2" s="1077"/>
      <c r="AV2" s="1077"/>
      <c r="AW2" s="1077"/>
      <c r="AX2" s="1077"/>
      <c r="AY2" s="1077"/>
      <c r="AZ2" s="1077"/>
      <c r="BA2" s="1077"/>
      <c r="BB2" s="1077"/>
      <c r="BC2" s="1077"/>
      <c r="BD2" s="1077"/>
      <c r="BE2" s="1077"/>
      <c r="BF2" s="1077"/>
      <c r="BG2" s="1077"/>
      <c r="BH2" s="1077"/>
      <c r="BI2" s="1077"/>
      <c r="BJ2" s="1077"/>
      <c r="BK2" s="1077"/>
      <c r="BL2" s="1077"/>
      <c r="BM2" s="1077"/>
      <c r="BN2" s="1077"/>
      <c r="BO2" s="1077"/>
      <c r="BP2" s="1077"/>
      <c r="BQ2" s="1077"/>
      <c r="BR2" s="1077"/>
      <c r="BS2" s="1077"/>
      <c r="BT2" s="1077"/>
      <c r="BU2" s="1077"/>
      <c r="BV2" s="1077"/>
      <c r="BW2" s="1077"/>
      <c r="BX2" s="1077"/>
      <c r="BY2" s="1077"/>
      <c r="BZ2" s="1077"/>
      <c r="CA2" s="1077"/>
      <c r="CB2" s="1077"/>
      <c r="CC2" s="1077"/>
      <c r="CD2" s="1077"/>
      <c r="CE2" s="1077"/>
      <c r="CF2" s="1077"/>
      <c r="CG2" s="1077"/>
      <c r="CH2" s="1077"/>
      <c r="CI2" s="1077"/>
      <c r="CJ2" s="1077"/>
      <c r="CK2" s="1077"/>
      <c r="CL2" s="1077"/>
      <c r="CM2" s="1077"/>
      <c r="CN2" s="1077"/>
      <c r="CO2" s="1077"/>
      <c r="CP2" s="1077"/>
      <c r="CQ2" s="1077"/>
      <c r="CR2" s="1078"/>
    </row>
    <row r="3" spans="1:96" ht="12.75" customHeight="1">
      <c r="A3" s="22" t="s">
        <v>19</v>
      </c>
      <c r="B3" s="23"/>
      <c r="C3" s="24"/>
      <c r="D3" s="25"/>
      <c r="E3" s="23"/>
      <c r="F3" s="24"/>
      <c r="G3" s="26"/>
      <c r="H3" s="27"/>
      <c r="I3" s="28"/>
      <c r="J3" s="29"/>
      <c r="K3" s="28"/>
      <c r="L3" s="28"/>
      <c r="M3" s="28"/>
      <c r="N3" s="26"/>
      <c r="O3" s="34"/>
      <c r="P3" s="34"/>
      <c r="Q3" s="34"/>
      <c r="R3" s="34"/>
      <c r="S3" s="27"/>
      <c r="T3" s="28"/>
      <c r="U3" s="798"/>
      <c r="V3" s="30"/>
      <c r="W3" s="31"/>
      <c r="X3" s="32"/>
      <c r="Y3" s="31"/>
      <c r="Z3" s="31"/>
      <c r="AA3" s="31"/>
      <c r="AB3" s="33"/>
      <c r="AC3" s="34"/>
      <c r="AD3" s="34"/>
      <c r="AE3" s="34"/>
      <c r="AF3" s="23"/>
      <c r="AG3" s="24"/>
      <c r="AH3" s="25"/>
      <c r="AI3" s="35"/>
      <c r="AJ3" s="35"/>
      <c r="AK3" s="1079">
        <v>2019</v>
      </c>
      <c r="AL3" s="1064"/>
      <c r="AM3" s="1064"/>
      <c r="AN3" s="1064"/>
      <c r="AO3" s="1064"/>
      <c r="AP3" s="1064"/>
      <c r="AQ3" s="1064"/>
      <c r="AR3" s="1064"/>
      <c r="AS3" s="1079">
        <v>2020</v>
      </c>
      <c r="AT3" s="1064"/>
      <c r="AU3" s="1064"/>
      <c r="AV3" s="1064"/>
      <c r="AW3" s="1064"/>
      <c r="AX3" s="1064"/>
      <c r="AY3" s="1064"/>
      <c r="AZ3" s="1064"/>
      <c r="BA3" s="1064"/>
      <c r="BB3" s="1064"/>
      <c r="BC3" s="1064"/>
      <c r="BD3" s="1064"/>
      <c r="BE3" s="1079">
        <v>2021</v>
      </c>
      <c r="BF3" s="1064"/>
      <c r="BG3" s="1064"/>
      <c r="BH3" s="1064"/>
      <c r="BI3" s="1064"/>
      <c r="BJ3" s="1064"/>
      <c r="BK3" s="1064"/>
      <c r="BL3" s="1064"/>
      <c r="BM3" s="1064"/>
      <c r="BN3" s="1064"/>
      <c r="BO3" s="1064"/>
      <c r="BP3" s="1064"/>
      <c r="BQ3" s="37"/>
      <c r="BR3" s="37"/>
      <c r="BS3" s="37"/>
      <c r="BT3" s="1079">
        <v>2022</v>
      </c>
      <c r="BU3" s="1064"/>
      <c r="BV3" s="1064"/>
      <c r="BW3" s="1064"/>
      <c r="BX3" s="1064"/>
      <c r="BY3" s="1064"/>
      <c r="BZ3" s="1064"/>
      <c r="CA3" s="1064"/>
      <c r="CB3" s="1064"/>
      <c r="CC3" s="1064"/>
      <c r="CD3" s="1064"/>
      <c r="CE3" s="1064"/>
      <c r="CF3" s="1079">
        <v>2023</v>
      </c>
      <c r="CG3" s="1064"/>
      <c r="CH3" s="1064"/>
      <c r="CI3" s="1064"/>
      <c r="CJ3" s="1064"/>
      <c r="CK3" s="1064"/>
      <c r="CL3" s="1064"/>
      <c r="CM3" s="1064"/>
      <c r="CN3" s="1064"/>
      <c r="CO3" s="1064"/>
      <c r="CP3" s="1064"/>
      <c r="CQ3" s="1064"/>
      <c r="CR3" s="37">
        <v>2024</v>
      </c>
    </row>
    <row r="4" spans="1:96" ht="12.75" customHeight="1">
      <c r="A4" s="38" t="s">
        <v>20</v>
      </c>
      <c r="B4" s="39">
        <v>508863</v>
      </c>
      <c r="C4" s="40">
        <v>916569</v>
      </c>
      <c r="D4" s="41">
        <f t="shared" ref="D4:D5" si="0">B4/C4</f>
        <v>0.55518242489108838</v>
      </c>
      <c r="E4" s="39">
        <v>1232531</v>
      </c>
      <c r="F4" s="40">
        <v>1794892</v>
      </c>
      <c r="G4" s="42">
        <f t="shared" ref="G4:G5" si="1">E4/F4</f>
        <v>0.68668811271095975</v>
      </c>
      <c r="H4" s="43">
        <v>384244.47999999998</v>
      </c>
      <c r="I4" s="44">
        <v>319812.43</v>
      </c>
      <c r="J4" s="44">
        <v>392333.58</v>
      </c>
      <c r="K4" s="44">
        <v>405785</v>
      </c>
      <c r="L4" s="45">
        <f t="shared" ref="L4:L5" si="2">H4+I4+J4+K4</f>
        <v>1502175.49</v>
      </c>
      <c r="M4" s="45">
        <v>1604838</v>
      </c>
      <c r="N4" s="799">
        <f t="shared" ref="N4:N8" si="3">L4/M4</f>
        <v>0.93602936246524571</v>
      </c>
      <c r="O4" s="44">
        <v>433081</v>
      </c>
      <c r="P4" s="44">
        <v>312316</v>
      </c>
      <c r="Q4" s="44">
        <v>279525</v>
      </c>
      <c r="R4" s="44">
        <v>242276</v>
      </c>
      <c r="S4" s="75">
        <f t="shared" ref="S4:S7" si="4">O4+P4+Q4+R4</f>
        <v>1267198</v>
      </c>
      <c r="T4" s="44">
        <v>1154550</v>
      </c>
      <c r="U4" s="46">
        <f t="shared" ref="U4:U8" si="5">S4/T4</f>
        <v>1.0975687497293318</v>
      </c>
      <c r="V4" s="800">
        <v>338724</v>
      </c>
      <c r="W4" s="801">
        <v>409776</v>
      </c>
      <c r="X4" s="47">
        <v>309109</v>
      </c>
      <c r="Y4" s="47"/>
      <c r="Z4" s="802">
        <f t="shared" ref="Z4:Z6" si="6">V4+W4+X4+Y4</f>
        <v>1057609</v>
      </c>
      <c r="AA4" s="802">
        <f>1453028-200443</f>
        <v>1252585</v>
      </c>
      <c r="AB4" s="46">
        <f t="shared" ref="AB4:AB7" si="7">Z4/AA4</f>
        <v>0.84434110259982353</v>
      </c>
      <c r="AC4" s="40"/>
      <c r="AD4" s="40"/>
      <c r="AE4" s="40"/>
      <c r="AF4" s="39">
        <f t="shared" ref="AF4:AF7" si="8">B4+E4+L4+S4+Z4+AC4</f>
        <v>5568376.4900000002</v>
      </c>
      <c r="AG4" s="49">
        <v>6921181</v>
      </c>
      <c r="AH4" s="41">
        <f t="shared" ref="AH4:AH7" si="9">+AF4/AG4</f>
        <v>0.80454137668123404</v>
      </c>
      <c r="AJ4" s="50"/>
      <c r="AK4" s="51">
        <v>1</v>
      </c>
      <c r="AL4" s="51">
        <v>2</v>
      </c>
      <c r="AM4" s="51">
        <v>3</v>
      </c>
      <c r="AN4" s="51">
        <v>4</v>
      </c>
      <c r="AO4" s="51">
        <v>5</v>
      </c>
      <c r="AP4" s="51">
        <v>6</v>
      </c>
      <c r="AQ4" s="51">
        <v>7</v>
      </c>
      <c r="AR4" s="51">
        <v>8</v>
      </c>
      <c r="AS4" s="51">
        <v>9</v>
      </c>
      <c r="AT4" s="51">
        <v>10</v>
      </c>
      <c r="AU4" s="51">
        <v>11</v>
      </c>
      <c r="AV4" s="51">
        <v>12</v>
      </c>
      <c r="AW4" s="51">
        <v>13</v>
      </c>
      <c r="AX4" s="51">
        <v>14</v>
      </c>
      <c r="AY4" s="51">
        <v>15</v>
      </c>
      <c r="AZ4" s="51">
        <v>16</v>
      </c>
      <c r="BA4" s="51">
        <v>17</v>
      </c>
      <c r="BB4" s="51">
        <v>18</v>
      </c>
      <c r="BC4" s="51">
        <v>19</v>
      </c>
      <c r="BD4" s="51">
        <v>20</v>
      </c>
      <c r="BE4" s="51">
        <v>21</v>
      </c>
      <c r="BF4" s="51">
        <v>22</v>
      </c>
      <c r="BG4" s="51">
        <v>23</v>
      </c>
      <c r="BH4" s="51">
        <v>24</v>
      </c>
      <c r="BI4" s="51">
        <v>25</v>
      </c>
      <c r="BJ4" s="51">
        <v>26</v>
      </c>
      <c r="BK4" s="51">
        <v>27</v>
      </c>
      <c r="BL4" s="51">
        <v>28</v>
      </c>
      <c r="BM4" s="51">
        <v>29</v>
      </c>
      <c r="BN4" s="51">
        <v>30</v>
      </c>
      <c r="BO4" s="51">
        <v>31</v>
      </c>
      <c r="BP4" s="51">
        <v>32</v>
      </c>
      <c r="BQ4" s="51">
        <v>33</v>
      </c>
      <c r="BR4" s="51">
        <v>34</v>
      </c>
      <c r="BS4" s="51">
        <v>35</v>
      </c>
      <c r="BT4" s="51">
        <v>36</v>
      </c>
      <c r="BU4" s="51">
        <v>37</v>
      </c>
      <c r="BV4" s="51">
        <v>38</v>
      </c>
      <c r="BW4" s="51">
        <v>39</v>
      </c>
      <c r="BX4" s="51">
        <v>40</v>
      </c>
      <c r="BY4" s="51">
        <v>41</v>
      </c>
      <c r="BZ4" s="51">
        <v>42</v>
      </c>
      <c r="CA4" s="51">
        <v>43</v>
      </c>
      <c r="CB4" s="51">
        <v>44</v>
      </c>
      <c r="CC4" s="51">
        <v>45</v>
      </c>
      <c r="CD4" s="51">
        <v>46</v>
      </c>
      <c r="CE4" s="51">
        <v>47</v>
      </c>
      <c r="CF4" s="51">
        <v>48</v>
      </c>
      <c r="CG4" s="51">
        <v>49</v>
      </c>
      <c r="CH4" s="51">
        <v>50</v>
      </c>
      <c r="CI4" s="51">
        <v>51</v>
      </c>
      <c r="CJ4" s="51">
        <v>52</v>
      </c>
      <c r="CK4" s="51">
        <v>53</v>
      </c>
      <c r="CL4" s="51">
        <v>54</v>
      </c>
      <c r="CM4" s="51">
        <v>55</v>
      </c>
      <c r="CN4" s="51">
        <v>56</v>
      </c>
      <c r="CO4" s="51">
        <v>57</v>
      </c>
      <c r="CP4" s="51">
        <v>58</v>
      </c>
      <c r="CQ4" s="51">
        <v>59</v>
      </c>
      <c r="CR4" s="51">
        <v>60</v>
      </c>
    </row>
    <row r="5" spans="1:96" ht="12.75" customHeight="1">
      <c r="A5" s="52" t="s">
        <v>21</v>
      </c>
      <c r="B5" s="53">
        <v>1680512449</v>
      </c>
      <c r="C5" s="53">
        <f>C4*2700</f>
        <v>2474736300</v>
      </c>
      <c r="D5" s="41">
        <f t="shared" si="0"/>
        <v>0.67906728042094833</v>
      </c>
      <c r="E5" s="53">
        <v>4499683513</v>
      </c>
      <c r="F5" s="54">
        <f>F4*2700</f>
        <v>4846208400</v>
      </c>
      <c r="G5" s="42">
        <f t="shared" si="1"/>
        <v>0.92849566952176465</v>
      </c>
      <c r="H5" s="55">
        <v>1343143410</v>
      </c>
      <c r="I5" s="56">
        <v>1142215784</v>
      </c>
      <c r="J5" s="57">
        <v>1480450192</v>
      </c>
      <c r="K5" s="58">
        <v>1549730524</v>
      </c>
      <c r="L5" s="59">
        <f t="shared" si="2"/>
        <v>5515539910</v>
      </c>
      <c r="M5" s="59">
        <f>M4*2700</f>
        <v>4333062600</v>
      </c>
      <c r="N5" s="799">
        <f t="shared" si="3"/>
        <v>1.2728964289599694</v>
      </c>
      <c r="O5" s="54">
        <v>1727669442</v>
      </c>
      <c r="P5" s="54">
        <v>1181399044</v>
      </c>
      <c r="Q5" s="54">
        <v>1151196344</v>
      </c>
      <c r="R5" s="54">
        <v>1063151848</v>
      </c>
      <c r="S5" s="60">
        <f t="shared" si="4"/>
        <v>5123416678</v>
      </c>
      <c r="T5" s="61">
        <f>T4*2700</f>
        <v>3117285000</v>
      </c>
      <c r="U5" s="46">
        <f t="shared" si="5"/>
        <v>1.6435509355095861</v>
      </c>
      <c r="V5" s="803">
        <v>1597149553</v>
      </c>
      <c r="W5" s="62">
        <v>1944251276</v>
      </c>
      <c r="X5" s="57">
        <v>1305841068</v>
      </c>
      <c r="Y5" s="58"/>
      <c r="Z5" s="804">
        <f t="shared" si="6"/>
        <v>4847241897</v>
      </c>
      <c r="AA5" s="59">
        <f>AA4*2700</f>
        <v>3381979500</v>
      </c>
      <c r="AB5" s="46">
        <f t="shared" si="7"/>
        <v>1.4332558482391746</v>
      </c>
      <c r="AC5" s="54"/>
      <c r="AD5" s="54"/>
      <c r="AE5" s="54"/>
      <c r="AF5" s="53">
        <f t="shared" si="8"/>
        <v>21666394447</v>
      </c>
      <c r="AG5" s="63">
        <f>AG4*2700</f>
        <v>18687188700</v>
      </c>
      <c r="AH5" s="41">
        <f t="shared" si="9"/>
        <v>1.1594250368435568</v>
      </c>
      <c r="AI5" s="35"/>
      <c r="AJ5" s="64"/>
      <c r="AK5" s="65" t="s">
        <v>22</v>
      </c>
      <c r="AL5" s="65" t="s">
        <v>23</v>
      </c>
      <c r="AM5" s="65" t="s">
        <v>24</v>
      </c>
      <c r="AN5" s="65" t="s">
        <v>23</v>
      </c>
      <c r="AO5" s="65" t="s">
        <v>25</v>
      </c>
      <c r="AP5" s="65" t="s">
        <v>25</v>
      </c>
      <c r="AQ5" s="65" t="s">
        <v>24</v>
      </c>
      <c r="AR5" s="65" t="s">
        <v>26</v>
      </c>
      <c r="AS5" s="65" t="s">
        <v>27</v>
      </c>
      <c r="AT5" s="65" t="s">
        <v>28</v>
      </c>
      <c r="AU5" s="65" t="s">
        <v>29</v>
      </c>
      <c r="AV5" s="65" t="s">
        <v>30</v>
      </c>
      <c r="AW5" s="65" t="s">
        <v>22</v>
      </c>
      <c r="AX5" s="65" t="s">
        <v>23</v>
      </c>
      <c r="AY5" s="65" t="s">
        <v>24</v>
      </c>
      <c r="AZ5" s="65" t="s">
        <v>23</v>
      </c>
      <c r="BA5" s="65" t="s">
        <v>25</v>
      </c>
      <c r="BB5" s="65" t="s">
        <v>25</v>
      </c>
      <c r="BC5" s="65" t="s">
        <v>24</v>
      </c>
      <c r="BD5" s="65" t="s">
        <v>26</v>
      </c>
      <c r="BE5" s="65" t="s">
        <v>27</v>
      </c>
      <c r="BF5" s="65" t="s">
        <v>28</v>
      </c>
      <c r="BG5" s="65" t="s">
        <v>29</v>
      </c>
      <c r="BH5" s="65" t="s">
        <v>30</v>
      </c>
      <c r="BI5" s="65" t="s">
        <v>22</v>
      </c>
      <c r="BJ5" s="65" t="s">
        <v>23</v>
      </c>
      <c r="BK5" s="65" t="s">
        <v>24</v>
      </c>
      <c r="BL5" s="65" t="s">
        <v>23</v>
      </c>
      <c r="BM5" s="65" t="s">
        <v>25</v>
      </c>
      <c r="BN5" s="65" t="s">
        <v>25</v>
      </c>
      <c r="BO5" s="65" t="s">
        <v>24</v>
      </c>
      <c r="BP5" s="65" t="s">
        <v>26</v>
      </c>
      <c r="BQ5" s="65" t="s">
        <v>27</v>
      </c>
      <c r="BR5" s="65" t="s">
        <v>28</v>
      </c>
      <c r="BS5" s="65" t="s">
        <v>29</v>
      </c>
      <c r="BT5" s="65" t="s">
        <v>30</v>
      </c>
      <c r="BU5" s="65" t="s">
        <v>22</v>
      </c>
      <c r="BV5" s="65" t="s">
        <v>23</v>
      </c>
      <c r="BW5" s="66" t="s">
        <v>24</v>
      </c>
      <c r="BX5" s="66" t="s">
        <v>23</v>
      </c>
      <c r="BY5" s="66" t="s">
        <v>25</v>
      </c>
      <c r="BZ5" s="66" t="s">
        <v>25</v>
      </c>
      <c r="CA5" s="66" t="s">
        <v>24</v>
      </c>
      <c r="CB5" s="66" t="s">
        <v>26</v>
      </c>
      <c r="CC5" s="66" t="s">
        <v>27</v>
      </c>
      <c r="CD5" s="66" t="s">
        <v>28</v>
      </c>
      <c r="CE5" s="66" t="s">
        <v>29</v>
      </c>
      <c r="CF5" s="66" t="s">
        <v>30</v>
      </c>
      <c r="CG5" s="66" t="s">
        <v>22</v>
      </c>
      <c r="CH5" s="66" t="s">
        <v>23</v>
      </c>
      <c r="CI5" s="66" t="s">
        <v>24</v>
      </c>
      <c r="CJ5" s="66" t="s">
        <v>23</v>
      </c>
      <c r="CK5" s="66" t="s">
        <v>25</v>
      </c>
      <c r="CL5" s="173" t="s">
        <v>25</v>
      </c>
      <c r="CM5" s="36" t="s">
        <v>24</v>
      </c>
      <c r="CN5" s="36" t="s">
        <v>26</v>
      </c>
      <c r="CO5" s="36" t="s">
        <v>27</v>
      </c>
      <c r="CP5" s="36" t="s">
        <v>28</v>
      </c>
      <c r="CQ5" s="36" t="s">
        <v>29</v>
      </c>
      <c r="CR5" s="36" t="s">
        <v>30</v>
      </c>
    </row>
    <row r="6" spans="1:96" ht="12.75" customHeight="1">
      <c r="A6" s="52" t="s">
        <v>31</v>
      </c>
      <c r="B6" s="53">
        <f t="shared" ref="B6:E6" si="10">B7*2700</f>
        <v>42915382200</v>
      </c>
      <c r="C6" s="54">
        <f t="shared" si="10"/>
        <v>28640506612.815582</v>
      </c>
      <c r="D6" s="67">
        <f t="shared" si="10"/>
        <v>4045.7221482301475</v>
      </c>
      <c r="E6" s="53">
        <f t="shared" si="10"/>
        <v>23410471500</v>
      </c>
      <c r="F6" s="54">
        <v>17279111700</v>
      </c>
      <c r="G6" s="68">
        <f t="shared" ref="G6:J6" si="11">G7*2700</f>
        <v>3658.074352154465</v>
      </c>
      <c r="H6" s="55">
        <f t="shared" si="11"/>
        <v>3459069900</v>
      </c>
      <c r="I6" s="56">
        <f t="shared" si="11"/>
        <v>2958649200</v>
      </c>
      <c r="J6" s="57">
        <f t="shared" si="11"/>
        <v>4388758200</v>
      </c>
      <c r="K6" s="57">
        <v>4524717535</v>
      </c>
      <c r="L6" s="59">
        <f t="shared" ref="L6:M6" si="12">L7*2700</f>
        <v>15331194000</v>
      </c>
      <c r="M6" s="59">
        <f t="shared" si="12"/>
        <v>10395118800</v>
      </c>
      <c r="N6" s="799">
        <f t="shared" si="3"/>
        <v>1.4748454822853974</v>
      </c>
      <c r="O6" s="54">
        <f t="shared" ref="O6:Q6" si="13">O7*2700</f>
        <v>4930448400</v>
      </c>
      <c r="P6" s="54">
        <f t="shared" si="13"/>
        <v>4099626000</v>
      </c>
      <c r="Q6" s="54">
        <f t="shared" si="13"/>
        <v>5592393900</v>
      </c>
      <c r="R6" s="54">
        <v>3908590542</v>
      </c>
      <c r="S6" s="60">
        <f t="shared" si="4"/>
        <v>18531058842</v>
      </c>
      <c r="T6" s="61">
        <f>T7*2700</f>
        <v>10335759300</v>
      </c>
      <c r="U6" s="46">
        <f t="shared" si="5"/>
        <v>1.7929073524380545</v>
      </c>
      <c r="V6" s="803">
        <v>4481908448</v>
      </c>
      <c r="W6" s="62">
        <v>4279997288</v>
      </c>
      <c r="X6" s="57">
        <v>3924935641</v>
      </c>
      <c r="Y6" s="57"/>
      <c r="Z6" s="804">
        <f t="shared" si="6"/>
        <v>12686841377</v>
      </c>
      <c r="AA6" s="59">
        <f>AA7*2700</f>
        <v>10306005300</v>
      </c>
      <c r="AB6" s="46">
        <f t="shared" si="7"/>
        <v>1.2310144432974433</v>
      </c>
      <c r="AC6" s="54">
        <f>AC7*2700</f>
        <v>0</v>
      </c>
      <c r="AD6" s="54"/>
      <c r="AE6" s="54">
        <f>AE7*2700</f>
        <v>0</v>
      </c>
      <c r="AF6" s="53">
        <f t="shared" si="8"/>
        <v>112874947919</v>
      </c>
      <c r="AG6" s="63">
        <f>AG7*2700</f>
        <v>79467507000</v>
      </c>
      <c r="AH6" s="41">
        <f t="shared" si="9"/>
        <v>1.4203912036525821</v>
      </c>
      <c r="AI6" s="35"/>
      <c r="AJ6" s="64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69"/>
      <c r="BR6" s="69"/>
      <c r="BS6" s="69"/>
      <c r="BT6" s="69"/>
      <c r="BU6" s="70">
        <f t="shared" ref="BU6:CR6" si="14">1.66*BU4</f>
        <v>61.419999999999995</v>
      </c>
      <c r="BV6" s="70">
        <f t="shared" si="14"/>
        <v>63.08</v>
      </c>
      <c r="BW6" s="70">
        <f t="shared" si="14"/>
        <v>64.739999999999995</v>
      </c>
      <c r="BX6" s="70">
        <f t="shared" si="14"/>
        <v>66.399999999999991</v>
      </c>
      <c r="BY6" s="70">
        <f t="shared" si="14"/>
        <v>68.06</v>
      </c>
      <c r="BZ6" s="70">
        <f t="shared" si="14"/>
        <v>69.72</v>
      </c>
      <c r="CA6" s="70">
        <f t="shared" si="14"/>
        <v>71.38</v>
      </c>
      <c r="CB6" s="70">
        <f t="shared" si="14"/>
        <v>73.039999999999992</v>
      </c>
      <c r="CC6" s="70">
        <f t="shared" si="14"/>
        <v>74.7</v>
      </c>
      <c r="CD6" s="70">
        <f t="shared" si="14"/>
        <v>76.36</v>
      </c>
      <c r="CE6" s="70">
        <f t="shared" si="14"/>
        <v>78.02</v>
      </c>
      <c r="CF6" s="70">
        <f t="shared" si="14"/>
        <v>79.679999999999993</v>
      </c>
      <c r="CG6" s="71">
        <f t="shared" si="14"/>
        <v>81.339999999999989</v>
      </c>
      <c r="CH6" s="70">
        <f t="shared" si="14"/>
        <v>83</v>
      </c>
      <c r="CI6" s="70">
        <f t="shared" si="14"/>
        <v>84.66</v>
      </c>
      <c r="CJ6" s="70">
        <f t="shared" si="14"/>
        <v>86.32</v>
      </c>
      <c r="CK6" s="70">
        <f t="shared" si="14"/>
        <v>87.97999999999999</v>
      </c>
      <c r="CL6" s="70">
        <f t="shared" si="14"/>
        <v>89.64</v>
      </c>
      <c r="CM6" s="70">
        <f t="shared" si="14"/>
        <v>91.3</v>
      </c>
      <c r="CN6" s="70">
        <f t="shared" si="14"/>
        <v>92.96</v>
      </c>
      <c r="CO6" s="70">
        <f t="shared" si="14"/>
        <v>94.61999999999999</v>
      </c>
      <c r="CP6" s="70">
        <f t="shared" si="14"/>
        <v>96.28</v>
      </c>
      <c r="CQ6" s="70">
        <f t="shared" si="14"/>
        <v>97.94</v>
      </c>
      <c r="CR6" s="70">
        <f t="shared" si="14"/>
        <v>99.6</v>
      </c>
    </row>
    <row r="7" spans="1:96" ht="12.75" customHeight="1">
      <c r="A7" s="38" t="s">
        <v>32</v>
      </c>
      <c r="B7" s="39">
        <v>15894586</v>
      </c>
      <c r="C7" s="40">
        <v>10607595.041783549</v>
      </c>
      <c r="D7" s="41">
        <f>B7/C7</f>
        <v>1.4984156104556101</v>
      </c>
      <c r="E7" s="39">
        <v>8670545</v>
      </c>
      <c r="F7" s="40">
        <v>6399670.768368098</v>
      </c>
      <c r="G7" s="42">
        <f>E7/F7</f>
        <v>1.3548423526498019</v>
      </c>
      <c r="H7" s="72">
        <v>1281137</v>
      </c>
      <c r="I7" s="73">
        <v>1095796</v>
      </c>
      <c r="J7" s="74">
        <v>1625466</v>
      </c>
      <c r="K7" s="74">
        <v>1675821</v>
      </c>
      <c r="L7" s="45">
        <f>H7+I7+J7+K7</f>
        <v>5678220</v>
      </c>
      <c r="M7" s="45">
        <v>3850044</v>
      </c>
      <c r="N7" s="799">
        <f t="shared" si="3"/>
        <v>1.4748454822853974</v>
      </c>
      <c r="O7" s="40">
        <v>1826092</v>
      </c>
      <c r="P7" s="40">
        <v>1518380</v>
      </c>
      <c r="Q7" s="40">
        <v>2071257</v>
      </c>
      <c r="R7" s="40">
        <v>1447626</v>
      </c>
      <c r="S7" s="75">
        <f t="shared" si="4"/>
        <v>6863355</v>
      </c>
      <c r="T7" s="44">
        <v>3828059</v>
      </c>
      <c r="U7" s="46">
        <f t="shared" si="5"/>
        <v>1.7929073193490488</v>
      </c>
      <c r="V7" s="805">
        <v>1659966</v>
      </c>
      <c r="W7" s="48">
        <v>1585184</v>
      </c>
      <c r="X7" s="74">
        <v>1453680</v>
      </c>
      <c r="Y7" s="74"/>
      <c r="Z7" s="806"/>
      <c r="AA7" s="45">
        <v>3817039</v>
      </c>
      <c r="AB7" s="46">
        <f t="shared" si="7"/>
        <v>0</v>
      </c>
      <c r="AC7" s="40"/>
      <c r="AD7" s="40"/>
      <c r="AE7" s="40"/>
      <c r="AF7" s="39">
        <f t="shared" si="8"/>
        <v>37106706</v>
      </c>
      <c r="AG7" s="49">
        <v>29432410</v>
      </c>
      <c r="AH7" s="41">
        <f t="shared" si="9"/>
        <v>1.2607430380318838</v>
      </c>
      <c r="AI7" s="76"/>
      <c r="AJ7" s="50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1074" t="s">
        <v>33</v>
      </c>
      <c r="BH7" s="1064"/>
      <c r="BI7" s="1064"/>
      <c r="BJ7" s="1064"/>
      <c r="BK7" s="1064"/>
      <c r="BL7" s="1064"/>
      <c r="BM7" s="1064"/>
      <c r="BN7" s="1064"/>
      <c r="BO7" s="1064"/>
      <c r="BP7" s="1064"/>
      <c r="BQ7" s="1064"/>
      <c r="BR7" s="1064"/>
      <c r="BS7" s="1064"/>
      <c r="BT7" s="1064"/>
      <c r="BU7" s="1064"/>
      <c r="BV7" s="1064"/>
      <c r="BW7" s="1064"/>
      <c r="BX7" s="1064"/>
      <c r="BY7" s="1064"/>
      <c r="BZ7" s="1064"/>
      <c r="CA7" s="1064"/>
      <c r="CB7" s="1064"/>
      <c r="CC7" s="1064"/>
      <c r="CD7" s="1064"/>
      <c r="CE7" s="1064"/>
      <c r="CF7" s="1064"/>
      <c r="CG7" s="1064"/>
      <c r="CH7" s="1064"/>
      <c r="CI7" s="1064"/>
      <c r="CJ7" s="1064"/>
      <c r="CK7" s="1064"/>
      <c r="CL7" s="1064"/>
      <c r="CM7" s="1064"/>
      <c r="CN7" s="1064"/>
      <c r="CO7" s="1064"/>
      <c r="CP7" s="1064"/>
    </row>
    <row r="8" spans="1:96" ht="12.75" customHeight="1">
      <c r="A8" s="78" t="s">
        <v>34</v>
      </c>
      <c r="B8" s="79"/>
      <c r="C8" s="80"/>
      <c r="D8" s="81"/>
      <c r="E8" s="79"/>
      <c r="F8" s="80"/>
      <c r="G8" s="82"/>
      <c r="H8" s="83"/>
      <c r="I8" s="84"/>
      <c r="J8" s="85"/>
      <c r="K8" s="86"/>
      <c r="L8" s="59">
        <v>1528352900</v>
      </c>
      <c r="M8" s="59">
        <v>1677460500</v>
      </c>
      <c r="N8" s="799">
        <f t="shared" si="3"/>
        <v>0.91111111111111109</v>
      </c>
      <c r="O8" s="80"/>
      <c r="P8" s="80"/>
      <c r="Q8" s="80"/>
      <c r="R8" s="80"/>
      <c r="S8" s="60"/>
      <c r="T8" s="86"/>
      <c r="U8" s="46" t="e">
        <f t="shared" si="5"/>
        <v>#DIV/0!</v>
      </c>
      <c r="V8" s="807"/>
      <c r="W8" s="781"/>
      <c r="X8" s="808"/>
      <c r="Y8" s="87"/>
      <c r="Z8" s="809"/>
      <c r="AA8" s="809"/>
      <c r="AB8" s="810"/>
      <c r="AC8" s="80"/>
      <c r="AD8" s="80"/>
      <c r="AE8" s="80"/>
      <c r="AF8" s="811">
        <f>AF4+AF7</f>
        <v>42675082.490000002</v>
      </c>
      <c r="AG8" s="89">
        <f>M8</f>
        <v>1677460500</v>
      </c>
      <c r="AH8" s="812"/>
      <c r="AI8" s="35"/>
      <c r="AJ8" s="35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5" t="s">
        <v>29</v>
      </c>
      <c r="BH8" s="65" t="s">
        <v>30</v>
      </c>
      <c r="BI8" s="65" t="s">
        <v>22</v>
      </c>
      <c r="BJ8" s="65" t="s">
        <v>23</v>
      </c>
      <c r="BK8" s="65" t="s">
        <v>24</v>
      </c>
      <c r="BL8" s="65" t="s">
        <v>23</v>
      </c>
      <c r="BM8" s="65" t="s">
        <v>25</v>
      </c>
      <c r="BN8" s="65" t="s">
        <v>25</v>
      </c>
      <c r="BO8" s="65" t="s">
        <v>24</v>
      </c>
      <c r="BP8" s="65" t="s">
        <v>26</v>
      </c>
      <c r="BQ8" s="65" t="s">
        <v>27</v>
      </c>
      <c r="BR8" s="65" t="s">
        <v>28</v>
      </c>
      <c r="BS8" s="65" t="s">
        <v>29</v>
      </c>
      <c r="BT8" s="65" t="s">
        <v>30</v>
      </c>
      <c r="BU8" s="65" t="s">
        <v>22</v>
      </c>
      <c r="BV8" s="65" t="s">
        <v>23</v>
      </c>
      <c r="BW8" s="66" t="s">
        <v>24</v>
      </c>
      <c r="BX8" s="66" t="s">
        <v>23</v>
      </c>
      <c r="BY8" s="66" t="s">
        <v>25</v>
      </c>
      <c r="BZ8" s="66" t="s">
        <v>25</v>
      </c>
      <c r="CA8" s="66" t="s">
        <v>24</v>
      </c>
      <c r="CB8" s="66" t="s">
        <v>26</v>
      </c>
      <c r="CC8" s="66" t="s">
        <v>27</v>
      </c>
      <c r="CD8" s="66" t="s">
        <v>28</v>
      </c>
      <c r="CE8" s="66" t="s">
        <v>29</v>
      </c>
      <c r="CF8" s="66" t="s">
        <v>30</v>
      </c>
      <c r="CG8" s="66" t="s">
        <v>22</v>
      </c>
      <c r="CH8" s="66" t="s">
        <v>23</v>
      </c>
      <c r="CI8" s="66" t="s">
        <v>24</v>
      </c>
      <c r="CJ8" s="66" t="s">
        <v>23</v>
      </c>
      <c r="CK8" s="66" t="s">
        <v>25</v>
      </c>
      <c r="CL8" s="173" t="s">
        <v>25</v>
      </c>
      <c r="CM8" s="36" t="s">
        <v>24</v>
      </c>
      <c r="CN8" s="36" t="s">
        <v>26</v>
      </c>
      <c r="CO8" s="36" t="s">
        <v>27</v>
      </c>
      <c r="CP8" s="36" t="s">
        <v>28</v>
      </c>
      <c r="CQ8" s="36"/>
      <c r="CR8" s="69"/>
    </row>
    <row r="9" spans="1:96" ht="12.75" customHeight="1">
      <c r="A9" s="90" t="s">
        <v>35</v>
      </c>
      <c r="B9" s="91"/>
      <c r="C9" s="92"/>
      <c r="D9" s="93"/>
      <c r="E9" s="91"/>
      <c r="F9" s="92"/>
      <c r="G9" s="94"/>
      <c r="H9" s="95"/>
      <c r="I9" s="96"/>
      <c r="J9" s="97"/>
      <c r="K9" s="96"/>
      <c r="L9" s="98"/>
      <c r="M9" s="98"/>
      <c r="N9" s="94"/>
      <c r="O9" s="100"/>
      <c r="P9" s="100"/>
      <c r="Q9" s="100"/>
      <c r="R9" s="100"/>
      <c r="S9" s="96"/>
      <c r="T9" s="96"/>
      <c r="U9" s="99"/>
      <c r="V9" s="813"/>
      <c r="W9" s="814"/>
      <c r="X9" s="97"/>
      <c r="Y9" s="96"/>
      <c r="Z9" s="98"/>
      <c r="AA9" s="98"/>
      <c r="AB9" s="94"/>
      <c r="AC9" s="100"/>
      <c r="AD9" s="100"/>
      <c r="AE9" s="100"/>
      <c r="AF9" s="91"/>
      <c r="AG9" s="92"/>
      <c r="AH9" s="93"/>
      <c r="AI9" s="35"/>
      <c r="AJ9" s="35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51">
        <v>1</v>
      </c>
      <c r="BH9" s="51">
        <v>2</v>
      </c>
      <c r="BI9" s="51">
        <v>3</v>
      </c>
      <c r="BJ9" s="51">
        <v>4</v>
      </c>
      <c r="BK9" s="51">
        <v>5</v>
      </c>
      <c r="BL9" s="51">
        <v>6</v>
      </c>
      <c r="BM9" s="51">
        <v>7</v>
      </c>
      <c r="BN9" s="51">
        <v>8</v>
      </c>
      <c r="BO9" s="51">
        <v>9</v>
      </c>
      <c r="BP9" s="51">
        <v>10</v>
      </c>
      <c r="BQ9" s="51">
        <v>11</v>
      </c>
      <c r="BR9" s="51">
        <v>12</v>
      </c>
      <c r="BS9" s="51">
        <v>13</v>
      </c>
      <c r="BT9" s="51">
        <v>14</v>
      </c>
      <c r="BU9" s="51">
        <v>15</v>
      </c>
      <c r="BV9" s="51">
        <v>16</v>
      </c>
      <c r="BW9" s="51">
        <v>17</v>
      </c>
      <c r="BX9" s="51">
        <v>18</v>
      </c>
      <c r="BY9" s="51">
        <v>19</v>
      </c>
      <c r="BZ9" s="51">
        <v>20</v>
      </c>
      <c r="CA9" s="51">
        <v>21</v>
      </c>
      <c r="CB9" s="51">
        <v>22</v>
      </c>
      <c r="CC9" s="51">
        <v>23</v>
      </c>
      <c r="CD9" s="51">
        <v>24</v>
      </c>
      <c r="CE9" s="51">
        <v>25</v>
      </c>
      <c r="CF9" s="51">
        <v>26</v>
      </c>
      <c r="CG9" s="51">
        <v>27</v>
      </c>
      <c r="CH9" s="51">
        <v>28</v>
      </c>
      <c r="CI9" s="51">
        <v>29</v>
      </c>
      <c r="CJ9" s="51">
        <v>30</v>
      </c>
      <c r="CK9" s="51">
        <v>31</v>
      </c>
      <c r="CL9" s="51">
        <v>32</v>
      </c>
      <c r="CM9" s="51">
        <v>33</v>
      </c>
      <c r="CN9" s="51">
        <v>34</v>
      </c>
      <c r="CO9" s="51">
        <v>35</v>
      </c>
      <c r="CP9" s="51">
        <v>36</v>
      </c>
      <c r="CQ9" s="69"/>
      <c r="CR9" s="69"/>
    </row>
    <row r="10" spans="1:96" ht="12.75" customHeight="1">
      <c r="A10" s="101" t="s">
        <v>36</v>
      </c>
      <c r="B10" s="102">
        <f>+B11</f>
        <v>372</v>
      </c>
      <c r="C10" s="103"/>
      <c r="D10" s="104"/>
      <c r="E10" s="102">
        <f>+E11</f>
        <v>596</v>
      </c>
      <c r="F10" s="103"/>
      <c r="G10" s="105"/>
      <c r="H10" s="106"/>
      <c r="I10" s="107"/>
      <c r="J10" s="108">
        <f t="shared" ref="J10:K10" si="15">J11+J12</f>
        <v>699</v>
      </c>
      <c r="K10" s="108">
        <f t="shared" si="15"/>
        <v>749</v>
      </c>
      <c r="L10" s="109">
        <f>K10</f>
        <v>749</v>
      </c>
      <c r="M10" s="109"/>
      <c r="N10" s="815"/>
      <c r="O10" s="110"/>
      <c r="P10" s="110"/>
      <c r="Q10" s="110"/>
      <c r="R10" s="110"/>
      <c r="S10" s="107">
        <f t="shared" ref="S10:S11" si="16">O10+P10+Q10+R10</f>
        <v>0</v>
      </c>
      <c r="T10" s="107"/>
      <c r="U10" s="816"/>
      <c r="V10" s="817"/>
      <c r="W10" s="818"/>
      <c r="X10" s="819"/>
      <c r="Y10" s="819"/>
      <c r="Z10" s="820"/>
      <c r="AA10" s="820"/>
      <c r="AB10" s="821"/>
      <c r="AC10" s="110"/>
      <c r="AD10" s="110"/>
      <c r="AE10" s="110"/>
      <c r="AF10" s="111"/>
      <c r="AG10" s="103"/>
      <c r="AH10" s="112"/>
      <c r="AI10" s="35"/>
      <c r="AJ10" s="35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>
        <f t="shared" ref="CH10:CP10" si="17">2.77*CH9</f>
        <v>77.56</v>
      </c>
      <c r="CI10" s="69">
        <f t="shared" si="17"/>
        <v>80.33</v>
      </c>
      <c r="CJ10" s="69">
        <f t="shared" si="17"/>
        <v>83.1</v>
      </c>
      <c r="CK10" s="69">
        <f t="shared" si="17"/>
        <v>85.87</v>
      </c>
      <c r="CL10" s="69">
        <f t="shared" si="17"/>
        <v>88.64</v>
      </c>
      <c r="CM10" s="69">
        <f t="shared" si="17"/>
        <v>91.41</v>
      </c>
      <c r="CN10" s="69">
        <f t="shared" si="17"/>
        <v>94.18</v>
      </c>
      <c r="CO10" s="69">
        <f t="shared" si="17"/>
        <v>96.95</v>
      </c>
      <c r="CP10" s="69">
        <f t="shared" si="17"/>
        <v>99.72</v>
      </c>
      <c r="CQ10" s="69"/>
      <c r="CR10" s="69"/>
    </row>
    <row r="11" spans="1:96" ht="12.75" customHeight="1">
      <c r="A11" s="113" t="s">
        <v>37</v>
      </c>
      <c r="B11" s="114">
        <v>372</v>
      </c>
      <c r="C11" s="103">
        <v>915</v>
      </c>
      <c r="D11" s="41">
        <f>B11/C11</f>
        <v>0.40655737704918032</v>
      </c>
      <c r="E11" s="114">
        <v>596</v>
      </c>
      <c r="F11" s="103">
        <v>915</v>
      </c>
      <c r="G11" s="41">
        <f>E11/F11</f>
        <v>0.6513661202185792</v>
      </c>
      <c r="H11" s="106"/>
      <c r="I11" s="107" t="s">
        <v>38</v>
      </c>
      <c r="J11" s="108">
        <v>616</v>
      </c>
      <c r="K11" s="107">
        <v>666</v>
      </c>
      <c r="L11" s="109">
        <v>800</v>
      </c>
      <c r="M11" s="115">
        <v>915</v>
      </c>
      <c r="N11" s="41">
        <f>L11/M11</f>
        <v>0.87431693989071035</v>
      </c>
      <c r="O11" s="110"/>
      <c r="P11" s="110"/>
      <c r="Q11" s="110">
        <v>924</v>
      </c>
      <c r="R11" s="110"/>
      <c r="S11" s="107">
        <f t="shared" si="16"/>
        <v>924</v>
      </c>
      <c r="T11" s="107">
        <v>915</v>
      </c>
      <c r="U11" s="116">
        <f>S11/T11</f>
        <v>1.0098360655737706</v>
      </c>
      <c r="V11" s="817"/>
      <c r="W11" s="818">
        <v>924</v>
      </c>
      <c r="X11" s="819"/>
      <c r="Y11" s="818"/>
      <c r="Z11" s="820"/>
      <c r="AA11" s="117" t="s">
        <v>39</v>
      </c>
      <c r="AB11" s="822"/>
      <c r="AC11" s="110"/>
      <c r="AD11" s="110"/>
      <c r="AE11" s="110"/>
      <c r="AF11" s="111">
        <f>+S11</f>
        <v>924</v>
      </c>
      <c r="AG11" s="103">
        <v>915</v>
      </c>
      <c r="AH11" s="118">
        <f t="shared" ref="AH11:AH12" si="18">+AF11/AG11</f>
        <v>1.0098360655737706</v>
      </c>
      <c r="AI11" s="35"/>
      <c r="AJ11" s="35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  <c r="CP11" s="69"/>
      <c r="CQ11" s="69"/>
      <c r="CR11" s="69"/>
    </row>
    <row r="12" spans="1:96" ht="12.75" customHeight="1">
      <c r="A12" s="119" t="s">
        <v>40</v>
      </c>
      <c r="B12" s="120"/>
      <c r="C12" s="121"/>
      <c r="D12" s="122"/>
      <c r="E12" s="120"/>
      <c r="F12" s="121"/>
      <c r="G12" s="123"/>
      <c r="H12" s="124"/>
      <c r="I12" s="125"/>
      <c r="J12" s="126">
        <v>83</v>
      </c>
      <c r="K12" s="125">
        <v>83</v>
      </c>
      <c r="L12" s="109">
        <f>K12</f>
        <v>83</v>
      </c>
      <c r="M12" s="127">
        <v>80</v>
      </c>
      <c r="N12" s="823">
        <f>+L12/M12</f>
        <v>1.0375000000000001</v>
      </c>
      <c r="O12" s="824">
        <v>30</v>
      </c>
      <c r="P12" s="824"/>
      <c r="Q12" s="824">
        <v>114</v>
      </c>
      <c r="R12" s="824"/>
      <c r="S12" s="825">
        <f>Q12</f>
        <v>114</v>
      </c>
      <c r="T12" s="825">
        <v>20</v>
      </c>
      <c r="U12" s="128">
        <f>+S12/T12</f>
        <v>5.7</v>
      </c>
      <c r="V12" s="826"/>
      <c r="W12" s="827"/>
      <c r="X12" s="828"/>
      <c r="Y12" s="827"/>
      <c r="Z12" s="829"/>
      <c r="AA12" s="830" t="s">
        <v>39</v>
      </c>
      <c r="AB12" s="831"/>
      <c r="AC12" s="130"/>
      <c r="AD12" s="130"/>
      <c r="AE12" s="130"/>
      <c r="AF12" s="120">
        <f t="shared" ref="AF12:AG12" si="19">+L12+S12</f>
        <v>197</v>
      </c>
      <c r="AG12" s="121">
        <f t="shared" si="19"/>
        <v>100</v>
      </c>
      <c r="AH12" s="131">
        <f t="shared" si="18"/>
        <v>1.97</v>
      </c>
      <c r="AI12" s="35"/>
      <c r="AJ12" s="35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132"/>
      <c r="CM12" s="69" t="s">
        <v>41</v>
      </c>
      <c r="CN12" s="69"/>
      <c r="CO12" s="69"/>
      <c r="CP12" s="69"/>
      <c r="CQ12" s="69"/>
      <c r="CR12" s="69"/>
    </row>
    <row r="13" spans="1:96" ht="12.75" customHeight="1">
      <c r="A13" s="133" t="s">
        <v>41</v>
      </c>
      <c r="B13" s="134"/>
      <c r="C13" s="135"/>
      <c r="D13" s="136"/>
      <c r="E13" s="137"/>
      <c r="F13" s="138"/>
      <c r="G13" s="139"/>
      <c r="H13" s="140"/>
      <c r="I13" s="141"/>
      <c r="J13" s="142"/>
      <c r="K13" s="141"/>
      <c r="L13" s="143"/>
      <c r="M13" s="143"/>
      <c r="N13" s="144"/>
      <c r="O13" s="145"/>
      <c r="P13" s="145"/>
      <c r="Q13" s="145"/>
      <c r="R13" s="145"/>
      <c r="S13" s="146"/>
      <c r="T13" s="146"/>
      <c r="U13" s="144"/>
      <c r="V13" s="832"/>
      <c r="W13" s="833"/>
      <c r="X13" s="142"/>
      <c r="Y13" s="141"/>
      <c r="Z13" s="143"/>
      <c r="AA13" s="147">
        <v>30</v>
      </c>
      <c r="AB13" s="144"/>
      <c r="AC13" s="148"/>
      <c r="AD13" s="148"/>
      <c r="AE13" s="148"/>
      <c r="AF13" s="137"/>
      <c r="AG13" s="148"/>
      <c r="AH13" s="149"/>
      <c r="AI13" s="150"/>
      <c r="AJ13" s="151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51"/>
      <c r="CM13" s="51"/>
      <c r="CN13" s="51"/>
      <c r="CO13" s="51"/>
      <c r="CP13" s="152"/>
      <c r="CQ13" s="152"/>
      <c r="CR13" s="152"/>
    </row>
    <row r="14" spans="1:96" ht="12.75" customHeight="1">
      <c r="A14" s="153" t="s">
        <v>42</v>
      </c>
      <c r="B14" s="154"/>
      <c r="C14" s="155"/>
      <c r="D14" s="156"/>
      <c r="E14" s="157"/>
      <c r="F14" s="158"/>
      <c r="G14" s="159"/>
      <c r="H14" s="160"/>
      <c r="I14" s="161"/>
      <c r="J14" s="162"/>
      <c r="K14" s="161"/>
      <c r="L14" s="163"/>
      <c r="M14" s="163"/>
      <c r="N14" s="164"/>
      <c r="O14" s="165"/>
      <c r="P14" s="165"/>
      <c r="Q14" s="165"/>
      <c r="R14" s="165"/>
      <c r="S14" s="166"/>
      <c r="T14" s="166"/>
      <c r="U14" s="164"/>
      <c r="V14" s="834"/>
      <c r="W14" s="835">
        <f>AVERAGE(W15:W18)</f>
        <v>47.05</v>
      </c>
      <c r="X14" s="162"/>
      <c r="Y14" s="161">
        <f>AVERAGE(Y15:Y18)</f>
        <v>55.75</v>
      </c>
      <c r="Z14" s="163"/>
      <c r="AA14" s="117"/>
      <c r="AB14" s="168"/>
      <c r="AC14" s="169"/>
      <c r="AD14" s="169"/>
      <c r="AE14" s="169"/>
      <c r="AF14" s="157"/>
      <c r="AG14" s="169"/>
      <c r="AH14" s="112"/>
      <c r="AI14" s="150"/>
      <c r="AJ14" s="151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52"/>
      <c r="AW14" s="152"/>
      <c r="AX14" s="152"/>
      <c r="AY14" s="152"/>
      <c r="AZ14" s="152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  <c r="BM14" s="152"/>
      <c r="BN14" s="152"/>
      <c r="BO14" s="152"/>
      <c r="BP14" s="152"/>
      <c r="BQ14" s="152"/>
      <c r="BR14" s="152"/>
      <c r="BS14" s="152"/>
      <c r="BT14" s="152"/>
      <c r="BU14" s="152"/>
      <c r="BV14" s="152"/>
      <c r="BW14" s="152"/>
      <c r="BX14" s="152"/>
      <c r="BY14" s="152"/>
      <c r="BZ14" s="152"/>
      <c r="CA14" s="152"/>
      <c r="CB14" s="152"/>
      <c r="CC14" s="152"/>
      <c r="CD14" s="152"/>
      <c r="CE14" s="152"/>
      <c r="CF14" s="152"/>
      <c r="CG14" s="152"/>
      <c r="CH14" s="152"/>
      <c r="CI14" s="152"/>
      <c r="CJ14" s="152"/>
      <c r="CK14" s="152"/>
      <c r="CL14" s="51">
        <v>1</v>
      </c>
      <c r="CM14" s="51">
        <v>2</v>
      </c>
      <c r="CN14" s="51">
        <v>3</v>
      </c>
      <c r="CO14" s="51">
        <v>4</v>
      </c>
      <c r="CP14" s="152">
        <v>5</v>
      </c>
      <c r="CQ14" s="152">
        <v>6</v>
      </c>
      <c r="CR14" s="152"/>
    </row>
    <row r="15" spans="1:96" ht="12.75" customHeight="1">
      <c r="A15" s="170" t="s">
        <v>43</v>
      </c>
      <c r="B15" s="154"/>
      <c r="C15" s="155"/>
      <c r="D15" s="156"/>
      <c r="E15" s="157"/>
      <c r="F15" s="158"/>
      <c r="G15" s="159"/>
      <c r="H15" s="160"/>
      <c r="I15" s="161"/>
      <c r="J15" s="162"/>
      <c r="K15" s="161"/>
      <c r="L15" s="163"/>
      <c r="M15" s="163"/>
      <c r="N15" s="164"/>
      <c r="O15" s="165"/>
      <c r="P15" s="165"/>
      <c r="Q15" s="165"/>
      <c r="R15" s="165"/>
      <c r="S15" s="166"/>
      <c r="T15" s="166"/>
      <c r="U15" s="164"/>
      <c r="V15" s="834"/>
      <c r="W15" s="836">
        <v>58.9</v>
      </c>
      <c r="X15" s="162"/>
      <c r="Y15" s="172">
        <v>88</v>
      </c>
      <c r="Z15" s="163"/>
      <c r="AA15" s="117" t="s">
        <v>39</v>
      </c>
      <c r="AB15" s="168"/>
      <c r="AC15" s="169"/>
      <c r="AD15" s="169"/>
      <c r="AE15" s="169"/>
      <c r="AF15" s="157"/>
      <c r="AG15" s="169"/>
      <c r="AH15" s="112"/>
      <c r="AI15" s="150"/>
      <c r="AJ15" s="151"/>
      <c r="AK15" s="152"/>
      <c r="AL15" s="152"/>
      <c r="AM15" s="152"/>
      <c r="AN15" s="152"/>
      <c r="AO15" s="152"/>
      <c r="AP15" s="152"/>
      <c r="AQ15" s="152"/>
      <c r="AR15" s="152"/>
      <c r="AS15" s="152"/>
      <c r="AT15" s="152"/>
      <c r="AU15" s="152"/>
      <c r="AV15" s="152"/>
      <c r="AW15" s="152"/>
      <c r="AX15" s="152"/>
      <c r="AY15" s="152"/>
      <c r="AZ15" s="152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  <c r="BM15" s="152"/>
      <c r="BN15" s="152"/>
      <c r="BO15" s="152"/>
      <c r="BP15" s="152"/>
      <c r="BQ15" s="152"/>
      <c r="BR15" s="152"/>
      <c r="BS15" s="152"/>
      <c r="BT15" s="152"/>
      <c r="BU15" s="152"/>
      <c r="BV15" s="152"/>
      <c r="BW15" s="152"/>
      <c r="BX15" s="152"/>
      <c r="BY15" s="152"/>
      <c r="BZ15" s="152"/>
      <c r="CA15" s="152"/>
      <c r="CB15" s="152"/>
      <c r="CC15" s="152"/>
      <c r="CD15" s="152"/>
      <c r="CE15" s="152"/>
      <c r="CF15" s="152"/>
      <c r="CG15" s="152"/>
      <c r="CH15" s="152"/>
      <c r="CI15" s="152"/>
      <c r="CJ15" s="152"/>
      <c r="CK15" s="152"/>
      <c r="CL15" s="173" t="s">
        <v>25</v>
      </c>
      <c r="CM15" s="36" t="s">
        <v>24</v>
      </c>
      <c r="CN15" s="36" t="s">
        <v>26</v>
      </c>
      <c r="CO15" s="36" t="s">
        <v>27</v>
      </c>
      <c r="CP15" s="36" t="s">
        <v>28</v>
      </c>
      <c r="CQ15" s="36" t="s">
        <v>29</v>
      </c>
      <c r="CR15" s="152"/>
    </row>
    <row r="16" spans="1:96" ht="12.75" customHeight="1">
      <c r="A16" s="170" t="s">
        <v>44</v>
      </c>
      <c r="B16" s="174"/>
      <c r="C16" s="155"/>
      <c r="D16" s="156"/>
      <c r="E16" s="157"/>
      <c r="F16" s="158"/>
      <c r="G16" s="159"/>
      <c r="H16" s="160"/>
      <c r="I16" s="161"/>
      <c r="J16" s="162"/>
      <c r="K16" s="161"/>
      <c r="L16" s="163"/>
      <c r="M16" s="163"/>
      <c r="N16" s="164"/>
      <c r="O16" s="165"/>
      <c r="P16" s="165"/>
      <c r="Q16" s="165"/>
      <c r="R16" s="165"/>
      <c r="S16" s="166"/>
      <c r="T16" s="166"/>
      <c r="U16" s="164"/>
      <c r="V16" s="834"/>
      <c r="W16" s="836">
        <v>45.9</v>
      </c>
      <c r="X16" s="162"/>
      <c r="Y16" s="172">
        <v>49</v>
      </c>
      <c r="Z16" s="163"/>
      <c r="AA16" s="117" t="s">
        <v>39</v>
      </c>
      <c r="AB16" s="168"/>
      <c r="AC16" s="169"/>
      <c r="AD16" s="169"/>
      <c r="AE16" s="169"/>
      <c r="AF16" s="157"/>
      <c r="AG16" s="169"/>
      <c r="AH16" s="112"/>
      <c r="AI16" s="150"/>
      <c r="AJ16" s="151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75">
        <f t="shared" ref="CL16:CQ16" si="20">16.66*CL14</f>
        <v>16.66</v>
      </c>
      <c r="CM16" s="175">
        <f t="shared" si="20"/>
        <v>33.32</v>
      </c>
      <c r="CN16" s="175">
        <f t="shared" si="20"/>
        <v>49.980000000000004</v>
      </c>
      <c r="CO16" s="175">
        <f t="shared" si="20"/>
        <v>66.64</v>
      </c>
      <c r="CP16" s="175">
        <f t="shared" si="20"/>
        <v>83.3</v>
      </c>
      <c r="CQ16" s="175">
        <f t="shared" si="20"/>
        <v>99.960000000000008</v>
      </c>
      <c r="CR16" s="152"/>
    </row>
    <row r="17" spans="1:96" ht="12.75" customHeight="1">
      <c r="A17" s="170" t="s">
        <v>45</v>
      </c>
      <c r="B17" s="154"/>
      <c r="C17" s="155"/>
      <c r="D17" s="156"/>
      <c r="E17" s="157"/>
      <c r="F17" s="158"/>
      <c r="G17" s="159"/>
      <c r="H17" s="160"/>
      <c r="I17" s="161"/>
      <c r="J17" s="162"/>
      <c r="K17" s="161"/>
      <c r="L17" s="163"/>
      <c r="M17" s="163"/>
      <c r="N17" s="164"/>
      <c r="O17" s="165"/>
      <c r="P17" s="165"/>
      <c r="Q17" s="165"/>
      <c r="R17" s="165"/>
      <c r="S17" s="166"/>
      <c r="T17" s="166"/>
      <c r="U17" s="164"/>
      <c r="V17" s="834"/>
      <c r="W17" s="836">
        <v>34.700000000000003</v>
      </c>
      <c r="X17" s="162"/>
      <c r="Y17" s="172">
        <v>35</v>
      </c>
      <c r="Z17" s="163"/>
      <c r="AA17" s="117" t="s">
        <v>39</v>
      </c>
      <c r="AB17" s="168"/>
      <c r="AC17" s="169"/>
      <c r="AD17" s="169"/>
      <c r="AE17" s="169"/>
      <c r="AF17" s="157"/>
      <c r="AG17" s="169"/>
      <c r="AH17" s="112"/>
      <c r="AI17" s="150"/>
      <c r="AJ17" s="151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  <c r="CP17" s="152"/>
      <c r="CQ17" s="152"/>
      <c r="CR17" s="152"/>
    </row>
    <row r="18" spans="1:96" ht="12.75" customHeight="1">
      <c r="A18" s="170" t="s">
        <v>46</v>
      </c>
      <c r="B18" s="154"/>
      <c r="C18" s="155"/>
      <c r="D18" s="156"/>
      <c r="E18" s="157"/>
      <c r="F18" s="158"/>
      <c r="G18" s="159"/>
      <c r="H18" s="160"/>
      <c r="I18" s="161"/>
      <c r="J18" s="162"/>
      <c r="K18" s="161"/>
      <c r="L18" s="163"/>
      <c r="M18" s="163"/>
      <c r="N18" s="164"/>
      <c r="O18" s="165"/>
      <c r="P18" s="165"/>
      <c r="Q18" s="165"/>
      <c r="R18" s="165"/>
      <c r="S18" s="166"/>
      <c r="T18" s="166"/>
      <c r="U18" s="164"/>
      <c r="V18" s="834"/>
      <c r="W18" s="836">
        <v>48.7</v>
      </c>
      <c r="X18" s="162"/>
      <c r="Y18" s="172">
        <v>51</v>
      </c>
      <c r="Z18" s="163"/>
      <c r="AA18" s="117" t="s">
        <v>39</v>
      </c>
      <c r="AB18" s="168"/>
      <c r="AC18" s="169"/>
      <c r="AD18" s="169"/>
      <c r="AE18" s="169"/>
      <c r="AF18" s="157"/>
      <c r="AG18" s="169"/>
      <c r="AH18" s="112"/>
      <c r="AI18" s="150"/>
      <c r="AJ18" s="151"/>
      <c r="AK18" s="152"/>
      <c r="AL18" s="152"/>
      <c r="AM18" s="152"/>
      <c r="AN18" s="152"/>
      <c r="AO18" s="152"/>
      <c r="AP18" s="152"/>
      <c r="AQ18" s="152"/>
      <c r="AR18" s="152"/>
      <c r="AS18" s="152"/>
      <c r="AT18" s="152"/>
      <c r="AU18" s="152"/>
      <c r="AV18" s="152"/>
      <c r="AW18" s="152"/>
      <c r="AX18" s="152"/>
      <c r="AY18" s="152"/>
      <c r="AZ18" s="152"/>
      <c r="BA18" s="152"/>
      <c r="BB18" s="152"/>
      <c r="BC18" s="152"/>
      <c r="BD18" s="152"/>
      <c r="BE18" s="152"/>
      <c r="BF18" s="152"/>
      <c r="BG18" s="152"/>
      <c r="BH18" s="152"/>
      <c r="BI18" s="152"/>
      <c r="BJ18" s="152"/>
      <c r="BK18" s="152"/>
      <c r="BL18" s="152"/>
      <c r="BM18" s="152"/>
      <c r="BN18" s="152"/>
      <c r="BO18" s="152"/>
      <c r="BP18" s="152"/>
      <c r="BQ18" s="152"/>
      <c r="BR18" s="152"/>
      <c r="BS18" s="152"/>
      <c r="BT18" s="152"/>
      <c r="BU18" s="152"/>
      <c r="BV18" s="152"/>
      <c r="BW18" s="152"/>
      <c r="BX18" s="152"/>
      <c r="BY18" s="152"/>
      <c r="BZ18" s="152"/>
      <c r="CA18" s="152"/>
      <c r="CB18" s="152"/>
      <c r="CC18" s="152"/>
      <c r="CD18" s="152"/>
      <c r="CE18" s="152"/>
      <c r="CF18" s="152"/>
      <c r="CG18" s="152"/>
      <c r="CH18" s="152"/>
      <c r="CI18" s="152"/>
      <c r="CJ18" s="152"/>
      <c r="CK18" s="152"/>
      <c r="CL18" s="1075" t="s">
        <v>47</v>
      </c>
      <c r="CM18" s="1064"/>
      <c r="CN18" s="1064"/>
      <c r="CO18" s="1064"/>
      <c r="CP18" s="152"/>
      <c r="CQ18" s="152"/>
      <c r="CR18" s="152"/>
    </row>
    <row r="19" spans="1:96" ht="12.75" customHeight="1">
      <c r="A19" s="176" t="s">
        <v>48</v>
      </c>
      <c r="B19" s="177"/>
      <c r="C19" s="178"/>
      <c r="D19" s="179"/>
      <c r="E19" s="180">
        <v>229</v>
      </c>
      <c r="F19" s="181">
        <v>282</v>
      </c>
      <c r="G19" s="182">
        <v>0.81205673758865249</v>
      </c>
      <c r="H19" s="183"/>
      <c r="I19" s="184">
        <f>I21</f>
        <v>108</v>
      </c>
      <c r="J19" s="185">
        <f t="shared" ref="J19:M19" si="21">J20+J21</f>
        <v>125.9</v>
      </c>
      <c r="K19" s="184">
        <f t="shared" si="21"/>
        <v>11.6</v>
      </c>
      <c r="L19" s="186">
        <f t="shared" si="21"/>
        <v>245.5</v>
      </c>
      <c r="M19" s="186">
        <f t="shared" si="21"/>
        <v>242</v>
      </c>
      <c r="N19" s="164">
        <f t="shared" ref="N19:N21" si="22">L19/M19</f>
        <v>1.0144628099173554</v>
      </c>
      <c r="O19" s="837">
        <f t="shared" ref="O19:R19" si="23">O20+O21+O23</f>
        <v>0</v>
      </c>
      <c r="P19" s="838">
        <f t="shared" si="23"/>
        <v>20</v>
      </c>
      <c r="Q19" s="838">
        <f t="shared" si="23"/>
        <v>86.1</v>
      </c>
      <c r="R19" s="838">
        <f t="shared" si="23"/>
        <v>28.1</v>
      </c>
      <c r="S19" s="839">
        <f t="shared" ref="S19:S21" si="24">O19+P19+Q19+R19</f>
        <v>134.19999999999999</v>
      </c>
      <c r="T19" s="840">
        <f>T20+T21+T23</f>
        <v>80</v>
      </c>
      <c r="U19" s="164">
        <f>S19/T19</f>
        <v>1.6774999999999998</v>
      </c>
      <c r="V19" s="841">
        <f>V21+V23</f>
        <v>0</v>
      </c>
      <c r="W19" s="842"/>
      <c r="X19" s="185"/>
      <c r="Y19" s="184"/>
      <c r="Z19" s="163">
        <f>Z21+Z23</f>
        <v>0</v>
      </c>
      <c r="AA19" s="843" t="s">
        <v>39</v>
      </c>
      <c r="AB19" s="844"/>
      <c r="AC19" s="188"/>
      <c r="AD19" s="188"/>
      <c r="AE19" s="188"/>
      <c r="AF19" s="180">
        <f t="shared" ref="AF19:AG19" si="25">+AF20+AF21+AF23</f>
        <v>608.29999999999995</v>
      </c>
      <c r="AG19" s="188">
        <f t="shared" si="25"/>
        <v>550</v>
      </c>
      <c r="AH19" s="189">
        <f t="shared" ref="AH19:AH21" si="26">+AF19/AG19</f>
        <v>1.1059999999999999</v>
      </c>
      <c r="AI19" s="150"/>
      <c r="AJ19" s="151"/>
      <c r="AK19" s="152"/>
      <c r="AL19" s="152"/>
      <c r="AM19" s="152"/>
      <c r="AN19" s="152"/>
      <c r="AO19" s="152"/>
      <c r="AP19" s="152"/>
      <c r="AQ19" s="152"/>
      <c r="AR19" s="152"/>
      <c r="AS19" s="152"/>
      <c r="AT19" s="152"/>
      <c r="AU19" s="152"/>
      <c r="AV19" s="152"/>
      <c r="AW19" s="152"/>
      <c r="AX19" s="152"/>
      <c r="AY19" s="152"/>
      <c r="AZ19" s="152"/>
      <c r="BA19" s="152"/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  <c r="BM19" s="152"/>
      <c r="BN19" s="152"/>
      <c r="BO19" s="152"/>
      <c r="BP19" s="152"/>
      <c r="BQ19" s="152"/>
      <c r="BR19" s="152"/>
      <c r="BS19" s="152"/>
      <c r="BT19" s="152"/>
      <c r="BU19" s="152"/>
      <c r="BV19" s="152"/>
      <c r="BW19" s="152"/>
      <c r="BX19" s="152"/>
      <c r="BY19" s="152"/>
      <c r="BZ19" s="152"/>
      <c r="CA19" s="152"/>
      <c r="CB19" s="152"/>
      <c r="CC19" s="152"/>
      <c r="CD19" s="152"/>
      <c r="CE19" s="152"/>
      <c r="CF19" s="152"/>
      <c r="CG19" s="152"/>
      <c r="CH19" s="152"/>
      <c r="CI19" s="152"/>
      <c r="CJ19" s="152"/>
      <c r="CK19" s="152"/>
      <c r="CL19" s="51">
        <v>1</v>
      </c>
      <c r="CM19" s="51">
        <v>2</v>
      </c>
      <c r="CN19" s="51">
        <v>3</v>
      </c>
      <c r="CO19" s="51">
        <v>4</v>
      </c>
      <c r="CP19" s="152"/>
      <c r="CQ19" s="152"/>
      <c r="CR19" s="152"/>
    </row>
    <row r="20" spans="1:96" ht="12.75" customHeight="1">
      <c r="A20" s="190" t="s">
        <v>43</v>
      </c>
      <c r="B20" s="191"/>
      <c r="C20" s="192"/>
      <c r="D20" s="193"/>
      <c r="E20" s="194">
        <v>96</v>
      </c>
      <c r="F20" s="195">
        <v>80</v>
      </c>
      <c r="G20" s="196">
        <v>1.2</v>
      </c>
      <c r="H20" s="197"/>
      <c r="I20" s="198"/>
      <c r="J20" s="199">
        <v>37.700000000000003</v>
      </c>
      <c r="K20" s="172"/>
      <c r="L20" s="163">
        <f t="shared" ref="L20:L21" si="27">H20+I20+J20+K20</f>
        <v>37.700000000000003</v>
      </c>
      <c r="M20" s="163">
        <v>24</v>
      </c>
      <c r="N20" s="200">
        <f t="shared" si="22"/>
        <v>1.5708333333333335</v>
      </c>
      <c r="O20" s="407"/>
      <c r="P20" s="201"/>
      <c r="Q20" s="202">
        <v>3.1</v>
      </c>
      <c r="R20" s="202">
        <v>4.9000000000000004</v>
      </c>
      <c r="S20" s="203">
        <f t="shared" si="24"/>
        <v>8</v>
      </c>
      <c r="T20" s="845"/>
      <c r="U20" s="204"/>
      <c r="W20" s="846"/>
      <c r="X20" s="199"/>
      <c r="Y20" s="172"/>
      <c r="AA20" s="117" t="s">
        <v>39</v>
      </c>
      <c r="AB20" s="847"/>
      <c r="AC20" s="175"/>
      <c r="AD20" s="175"/>
      <c r="AE20" s="175"/>
      <c r="AF20" s="206">
        <f>E20+L20+S20</f>
        <v>141.69999999999999</v>
      </c>
      <c r="AG20" s="175">
        <v>120</v>
      </c>
      <c r="AH20" s="118">
        <f t="shared" si="26"/>
        <v>1.1808333333333332</v>
      </c>
      <c r="AI20" s="76"/>
      <c r="AJ20" s="76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173" t="s">
        <v>25</v>
      </c>
      <c r="CM20" s="36" t="s">
        <v>24</v>
      </c>
      <c r="CN20" s="36" t="s">
        <v>26</v>
      </c>
      <c r="CO20" s="36" t="s">
        <v>27</v>
      </c>
      <c r="CP20" s="69"/>
      <c r="CQ20" s="69"/>
      <c r="CR20" s="69"/>
    </row>
    <row r="21" spans="1:96" ht="12.75" customHeight="1">
      <c r="A21" s="170" t="s">
        <v>45</v>
      </c>
      <c r="B21" s="191"/>
      <c r="C21" s="192"/>
      <c r="D21" s="193"/>
      <c r="E21" s="194">
        <v>132.6</v>
      </c>
      <c r="F21" s="195">
        <v>202</v>
      </c>
      <c r="G21" s="196">
        <v>0.65643564356435635</v>
      </c>
      <c r="H21" s="197"/>
      <c r="I21" s="172">
        <v>108</v>
      </c>
      <c r="J21" s="199">
        <v>88.2</v>
      </c>
      <c r="K21" s="172">
        <v>11.6</v>
      </c>
      <c r="L21" s="163">
        <f t="shared" si="27"/>
        <v>207.79999999999998</v>
      </c>
      <c r="M21" s="163">
        <v>218</v>
      </c>
      <c r="N21" s="200">
        <f t="shared" si="22"/>
        <v>0.9532110091743119</v>
      </c>
      <c r="O21" s="407"/>
      <c r="P21" s="202">
        <v>20</v>
      </c>
      <c r="Q21" s="202">
        <v>33.5</v>
      </c>
      <c r="R21" s="202">
        <v>2.2000000000000002</v>
      </c>
      <c r="S21" s="203">
        <f t="shared" si="24"/>
        <v>55.7</v>
      </c>
      <c r="T21" s="845"/>
      <c r="U21" s="200">
        <v>1</v>
      </c>
      <c r="V21" s="848"/>
      <c r="W21" s="171"/>
      <c r="X21" s="205"/>
      <c r="Y21" s="171"/>
      <c r="Z21" s="195">
        <f>V21+W21+X21+Y21</f>
        <v>0</v>
      </c>
      <c r="AA21" s="117" t="s">
        <v>39</v>
      </c>
      <c r="AB21" s="333">
        <v>1</v>
      </c>
      <c r="AC21" s="175"/>
      <c r="AD21" s="175"/>
      <c r="AE21" s="175"/>
      <c r="AF21" s="206">
        <f>+E21+L21+S21+Z21</f>
        <v>396.09999999999997</v>
      </c>
      <c r="AG21" s="175">
        <v>350</v>
      </c>
      <c r="AH21" s="118">
        <f t="shared" si="26"/>
        <v>1.1317142857142857</v>
      </c>
      <c r="AI21" s="76"/>
      <c r="AJ21" s="76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>
        <f t="shared" ref="CL21:CO21" si="28">25*CL19</f>
        <v>25</v>
      </c>
      <c r="CM21" s="69">
        <f t="shared" si="28"/>
        <v>50</v>
      </c>
      <c r="CN21" s="69">
        <f t="shared" si="28"/>
        <v>75</v>
      </c>
      <c r="CO21" s="69">
        <f t="shared" si="28"/>
        <v>100</v>
      </c>
      <c r="CP21" s="69"/>
      <c r="CQ21" s="69"/>
      <c r="CR21" s="69"/>
    </row>
    <row r="22" spans="1:96" ht="12.75" customHeight="1">
      <c r="A22" s="209" t="s">
        <v>49</v>
      </c>
      <c r="B22" s="191"/>
      <c r="C22" s="192"/>
      <c r="D22" s="193"/>
      <c r="E22" s="210"/>
      <c r="F22" s="211"/>
      <c r="G22" s="212"/>
      <c r="H22" s="213"/>
      <c r="I22" s="187"/>
      <c r="J22" s="214"/>
      <c r="K22" s="187"/>
      <c r="L22" s="215"/>
      <c r="M22" s="215"/>
      <c r="N22" s="216"/>
      <c r="O22" s="849"/>
      <c r="P22" s="217"/>
      <c r="Q22" s="202"/>
      <c r="R22" s="202"/>
      <c r="S22" s="218"/>
      <c r="T22" s="850"/>
      <c r="U22" s="219"/>
      <c r="V22" s="851"/>
      <c r="W22" s="187"/>
      <c r="X22" s="214"/>
      <c r="Y22" s="187"/>
      <c r="Z22" s="234"/>
      <c r="AA22" s="167">
        <v>3.6</v>
      </c>
      <c r="AB22" s="708"/>
      <c r="AC22" s="220"/>
      <c r="AD22" s="220"/>
      <c r="AE22" s="220"/>
      <c r="AF22" s="852"/>
      <c r="AG22" s="222">
        <v>3.6</v>
      </c>
      <c r="AH22" s="118"/>
      <c r="AI22" s="223"/>
      <c r="AJ22" s="223"/>
      <c r="AK22" s="152"/>
      <c r="AL22" s="152"/>
      <c r="AM22" s="152"/>
      <c r="AN22" s="152"/>
      <c r="AO22" s="152"/>
      <c r="AP22" s="152"/>
      <c r="AQ22" s="152"/>
      <c r="AR22" s="152"/>
      <c r="AS22" s="152"/>
      <c r="AT22" s="152"/>
      <c r="AU22" s="152"/>
      <c r="AV22" s="152"/>
      <c r="AW22" s="152"/>
      <c r="AX22" s="152"/>
      <c r="AY22" s="152"/>
      <c r="AZ22" s="152"/>
      <c r="BA22" s="152"/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  <c r="BM22" s="152"/>
      <c r="BN22" s="152"/>
      <c r="BO22" s="152"/>
      <c r="BP22" s="152"/>
      <c r="BQ22" s="152"/>
      <c r="BR22" s="152"/>
      <c r="BS22" s="152"/>
      <c r="BT22" s="152"/>
      <c r="BU22" s="152"/>
      <c r="BV22" s="152"/>
      <c r="BW22" s="152"/>
      <c r="BX22" s="152"/>
      <c r="BY22" s="152"/>
      <c r="BZ22" s="152"/>
      <c r="CA22" s="152"/>
      <c r="CB22" s="152"/>
      <c r="CC22" s="152"/>
      <c r="CD22" s="152"/>
      <c r="CE22" s="152"/>
      <c r="CF22" s="152"/>
      <c r="CG22" s="152"/>
      <c r="CH22" s="152"/>
      <c r="CI22" s="152"/>
      <c r="CJ22" s="152"/>
      <c r="CK22" s="152"/>
      <c r="CL22" s="152"/>
      <c r="CM22" s="152"/>
      <c r="CN22" s="152"/>
      <c r="CO22" s="152"/>
      <c r="CP22" s="152"/>
      <c r="CQ22" s="152"/>
      <c r="CR22" s="152"/>
    </row>
    <row r="23" spans="1:96" ht="12.75" customHeight="1">
      <c r="A23" s="119" t="s">
        <v>50</v>
      </c>
      <c r="B23" s="224"/>
      <c r="C23" s="225"/>
      <c r="D23" s="226"/>
      <c r="E23" s="224"/>
      <c r="F23" s="227"/>
      <c r="G23" s="228"/>
      <c r="H23" s="229"/>
      <c r="I23" s="230"/>
      <c r="J23" s="231"/>
      <c r="K23" s="230"/>
      <c r="L23" s="232"/>
      <c r="M23" s="232"/>
      <c r="N23" s="233"/>
      <c r="O23" s="853"/>
      <c r="P23" s="854"/>
      <c r="Q23" s="345">
        <v>49.5</v>
      </c>
      <c r="R23" s="345">
        <v>21</v>
      </c>
      <c r="S23" s="855">
        <f t="shared" ref="S23:S24" si="29">O23+P23+Q23+R23</f>
        <v>70.5</v>
      </c>
      <c r="T23" s="856">
        <v>80</v>
      </c>
      <c r="U23" s="164">
        <f t="shared" ref="U23:U24" si="30">S23/T23</f>
        <v>0.88124999999999998</v>
      </c>
      <c r="V23" s="857"/>
      <c r="W23" s="858"/>
      <c r="X23" s="859"/>
      <c r="Y23" s="860"/>
      <c r="Z23" s="861">
        <f>V23+W23+X23+Y23</f>
        <v>0</v>
      </c>
      <c r="AA23" s="862" t="s">
        <v>39</v>
      </c>
      <c r="AB23" s="552">
        <v>1</v>
      </c>
      <c r="AC23" s="235"/>
      <c r="AD23" s="235"/>
      <c r="AE23" s="235"/>
      <c r="AF23" s="236">
        <f>S23+Z23</f>
        <v>70.5</v>
      </c>
      <c r="AG23" s="237">
        <v>80</v>
      </c>
      <c r="AH23" s="238">
        <f>AF23/AG23</f>
        <v>0.88124999999999998</v>
      </c>
      <c r="AI23" s="223"/>
      <c r="AJ23" s="223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  <c r="CP23" s="152"/>
      <c r="CQ23" s="152"/>
      <c r="CR23" s="152"/>
    </row>
    <row r="24" spans="1:96" ht="12.75" customHeight="1">
      <c r="A24" s="176" t="s">
        <v>51</v>
      </c>
      <c r="B24" s="180">
        <v>54</v>
      </c>
      <c r="C24" s="239">
        <v>50</v>
      </c>
      <c r="D24" s="189">
        <f>B24/50</f>
        <v>1.08</v>
      </c>
      <c r="E24" s="180">
        <f t="shared" ref="E24:F24" si="31">E25+E26+E28+E29</f>
        <v>601</v>
      </c>
      <c r="F24" s="181">
        <f t="shared" si="31"/>
        <v>581</v>
      </c>
      <c r="G24" s="182">
        <f t="shared" ref="G24:G26" si="32">E24/F24</f>
        <v>1.0344234079173837</v>
      </c>
      <c r="H24" s="240">
        <f t="shared" ref="H24:M24" si="33">H29+H31</f>
        <v>63</v>
      </c>
      <c r="I24" s="184">
        <f t="shared" si="33"/>
        <v>66</v>
      </c>
      <c r="J24" s="185">
        <f t="shared" si="33"/>
        <v>241</v>
      </c>
      <c r="K24" s="184">
        <f t="shared" si="33"/>
        <v>38.5</v>
      </c>
      <c r="L24" s="186">
        <f t="shared" si="33"/>
        <v>408.5</v>
      </c>
      <c r="M24" s="186">
        <f t="shared" si="33"/>
        <v>400</v>
      </c>
      <c r="N24" s="182">
        <f>L24/M24</f>
        <v>1.02125</v>
      </c>
      <c r="O24" s="165">
        <f t="shared" ref="O24:R24" si="34">O25+O26+O28+O29+O31</f>
        <v>0</v>
      </c>
      <c r="P24" s="165">
        <f t="shared" si="34"/>
        <v>56</v>
      </c>
      <c r="Q24" s="165">
        <f t="shared" si="34"/>
        <v>33.5</v>
      </c>
      <c r="R24" s="165">
        <f t="shared" si="34"/>
        <v>0</v>
      </c>
      <c r="S24" s="166">
        <f t="shared" si="29"/>
        <v>89.5</v>
      </c>
      <c r="T24" s="166">
        <f>T25+T26+T28+T29+T31</f>
        <v>120</v>
      </c>
      <c r="U24" s="241">
        <f t="shared" si="30"/>
        <v>0.74583333333333335</v>
      </c>
      <c r="V24" s="863"/>
      <c r="W24" s="184"/>
      <c r="X24" s="185"/>
      <c r="Y24" s="184"/>
      <c r="Z24" s="186"/>
      <c r="AA24" s="186"/>
      <c r="AB24" s="182"/>
      <c r="AC24" s="188"/>
      <c r="AD24" s="188"/>
      <c r="AE24" s="188"/>
      <c r="AF24" s="243">
        <f>+AF25+AF26+AF28+AF29+AF31</f>
        <v>1152.8</v>
      </c>
      <c r="AG24" s="864">
        <f>AG25+AG26+AG28+AG29+AG31</f>
        <v>1040</v>
      </c>
      <c r="AH24" s="244">
        <f t="shared" ref="AH24:AH26" si="35">+AF24/AG24</f>
        <v>1.1084615384615384</v>
      </c>
      <c r="AI24" s="245"/>
      <c r="AJ24" s="223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  <c r="CP24" s="152"/>
      <c r="CQ24" s="152"/>
      <c r="CR24" s="152"/>
    </row>
    <row r="25" spans="1:96" ht="12.75" customHeight="1">
      <c r="A25" s="170" t="s">
        <v>43</v>
      </c>
      <c r="B25" s="194">
        <v>37.5</v>
      </c>
      <c r="C25" s="69">
        <v>50</v>
      </c>
      <c r="D25" s="246">
        <v>0.75</v>
      </c>
      <c r="E25" s="194">
        <v>82</v>
      </c>
      <c r="F25" s="195">
        <v>70</v>
      </c>
      <c r="G25" s="247">
        <f t="shared" si="32"/>
        <v>1.1714285714285715</v>
      </c>
      <c r="H25" s="197"/>
      <c r="I25" s="198"/>
      <c r="J25" s="248"/>
      <c r="K25" s="198"/>
      <c r="L25" s="249"/>
      <c r="M25" s="249"/>
      <c r="N25" s="476"/>
      <c r="O25" s="201"/>
      <c r="P25" s="201"/>
      <c r="Q25" s="201"/>
      <c r="R25" s="201"/>
      <c r="S25" s="250"/>
      <c r="T25" s="251"/>
      <c r="U25" s="252"/>
      <c r="V25" s="865"/>
      <c r="W25" s="846"/>
      <c r="X25" s="866"/>
      <c r="Y25" s="846"/>
      <c r="Z25" s="867"/>
      <c r="AA25" s="117" t="s">
        <v>39</v>
      </c>
      <c r="AB25" s="868"/>
      <c r="AC25" s="175"/>
      <c r="AD25" s="175"/>
      <c r="AE25" s="175"/>
      <c r="AF25" s="194">
        <f t="shared" ref="AF25:AF26" si="36">+B25+E25</f>
        <v>119.5</v>
      </c>
      <c r="AG25" s="69">
        <v>120</v>
      </c>
      <c r="AH25" s="253">
        <f t="shared" si="35"/>
        <v>0.99583333333333335</v>
      </c>
      <c r="AI25" s="76"/>
      <c r="AJ25" s="76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  <c r="CP25" s="69"/>
      <c r="CQ25" s="69"/>
      <c r="CR25" s="69"/>
    </row>
    <row r="26" spans="1:96" ht="12.75" customHeight="1">
      <c r="A26" s="170" t="s">
        <v>44</v>
      </c>
      <c r="B26" s="194">
        <v>5.5</v>
      </c>
      <c r="C26" s="69">
        <v>0</v>
      </c>
      <c r="D26" s="254">
        <v>1</v>
      </c>
      <c r="E26" s="194">
        <v>109</v>
      </c>
      <c r="F26" s="195">
        <v>110</v>
      </c>
      <c r="G26" s="247">
        <f t="shared" si="32"/>
        <v>0.99090909090909096</v>
      </c>
      <c r="H26" s="197"/>
      <c r="I26" s="198"/>
      <c r="J26" s="248"/>
      <c r="K26" s="198"/>
      <c r="L26" s="249"/>
      <c r="M26" s="249"/>
      <c r="N26" s="476"/>
      <c r="O26" s="201"/>
      <c r="P26" s="255"/>
      <c r="Q26" s="201"/>
      <c r="R26" s="201"/>
      <c r="S26" s="250"/>
      <c r="T26" s="251"/>
      <c r="U26" s="252"/>
      <c r="V26" s="865"/>
      <c r="W26" s="846"/>
      <c r="X26" s="866"/>
      <c r="Y26" s="846"/>
      <c r="Z26" s="867"/>
      <c r="AA26" s="869" t="s">
        <v>39</v>
      </c>
      <c r="AB26" s="868"/>
      <c r="AC26" s="175"/>
      <c r="AD26" s="175"/>
      <c r="AE26" s="175"/>
      <c r="AF26" s="221">
        <f t="shared" si="36"/>
        <v>114.5</v>
      </c>
      <c r="AG26" s="195">
        <f>F26</f>
        <v>110</v>
      </c>
      <c r="AH26" s="256">
        <f t="shared" si="35"/>
        <v>1.040909090909091</v>
      </c>
      <c r="AI26" s="76"/>
      <c r="AJ26" s="76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  <c r="CG26" s="69"/>
      <c r="CH26" s="69"/>
      <c r="CI26" s="69"/>
      <c r="CJ26" s="69"/>
      <c r="CK26" s="69"/>
      <c r="CL26" s="69"/>
      <c r="CM26" s="69"/>
      <c r="CN26" s="69"/>
      <c r="CO26" s="69"/>
      <c r="CP26" s="69"/>
      <c r="CQ26" s="69"/>
      <c r="CR26" s="69"/>
    </row>
    <row r="27" spans="1:96" ht="12.75" customHeight="1">
      <c r="A27" s="209" t="s">
        <v>49</v>
      </c>
      <c r="B27" s="194"/>
      <c r="C27" s="69"/>
      <c r="D27" s="254"/>
      <c r="E27" s="194"/>
      <c r="F27" s="195"/>
      <c r="G27" s="247"/>
      <c r="H27" s="197"/>
      <c r="I27" s="198"/>
      <c r="J27" s="248"/>
      <c r="K27" s="198"/>
      <c r="L27" s="249"/>
      <c r="M27" s="249"/>
      <c r="N27" s="472"/>
      <c r="O27" s="201"/>
      <c r="P27" s="201"/>
      <c r="Q27" s="201"/>
      <c r="R27" s="201"/>
      <c r="S27" s="250"/>
      <c r="T27" s="251"/>
      <c r="U27" s="257"/>
      <c r="V27" s="865"/>
      <c r="W27" s="846"/>
      <c r="X27" s="866"/>
      <c r="Y27" s="870"/>
      <c r="Z27" s="871"/>
      <c r="AA27" s="163">
        <v>1.8</v>
      </c>
      <c r="AB27" s="872"/>
      <c r="AC27" s="175"/>
      <c r="AD27" s="175"/>
      <c r="AE27" s="175"/>
      <c r="AF27" s="194"/>
      <c r="AG27" s="69">
        <v>1.8</v>
      </c>
      <c r="AH27" s="256"/>
      <c r="AI27" s="76"/>
      <c r="AJ27" s="76"/>
      <c r="AK27" s="69"/>
      <c r="AL27" s="69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69"/>
      <c r="CF27" s="69"/>
      <c r="CG27" s="69"/>
      <c r="CH27" s="69"/>
      <c r="CI27" s="69"/>
      <c r="CJ27" s="69"/>
      <c r="CK27" s="69"/>
      <c r="CL27" s="69"/>
      <c r="CM27" s="69"/>
      <c r="CN27" s="69"/>
      <c r="CO27" s="69"/>
      <c r="CP27" s="69"/>
      <c r="CQ27" s="69"/>
      <c r="CR27" s="69"/>
    </row>
    <row r="28" spans="1:96" ht="12.75" customHeight="1">
      <c r="A28" s="170" t="s">
        <v>45</v>
      </c>
      <c r="B28" s="194">
        <v>10.8</v>
      </c>
      <c r="C28" s="69">
        <v>0</v>
      </c>
      <c r="D28" s="254">
        <v>1</v>
      </c>
      <c r="E28" s="194">
        <v>410</v>
      </c>
      <c r="F28" s="195">
        <v>401</v>
      </c>
      <c r="G28" s="247">
        <f>E28/F28</f>
        <v>1.0224438902743143</v>
      </c>
      <c r="H28" s="197"/>
      <c r="I28" s="198"/>
      <c r="J28" s="248"/>
      <c r="K28" s="198"/>
      <c r="L28" s="249"/>
      <c r="M28" s="249"/>
      <c r="N28" s="472"/>
      <c r="O28" s="201"/>
      <c r="P28" s="201"/>
      <c r="Q28" s="201"/>
      <c r="R28" s="201"/>
      <c r="S28" s="250"/>
      <c r="T28" s="251"/>
      <c r="U28" s="257"/>
      <c r="V28" s="865"/>
      <c r="W28" s="846"/>
      <c r="X28" s="866"/>
      <c r="Y28" s="846"/>
      <c r="Z28" s="867"/>
      <c r="AA28" s="869" t="s">
        <v>39</v>
      </c>
      <c r="AB28" s="873"/>
      <c r="AC28" s="175"/>
      <c r="AD28" s="175"/>
      <c r="AE28" s="175"/>
      <c r="AF28" s="194">
        <f>B28+E28</f>
        <v>420.8</v>
      </c>
      <c r="AG28" s="69">
        <v>400</v>
      </c>
      <c r="AH28" s="256">
        <f t="shared" ref="AH28:AH29" si="37">+AF28/AG28</f>
        <v>1.052</v>
      </c>
      <c r="AI28" s="76"/>
      <c r="AJ28" s="76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  <c r="CP28" s="69"/>
      <c r="CQ28" s="69"/>
      <c r="CR28" s="69"/>
    </row>
    <row r="29" spans="1:96" ht="12.75" customHeight="1">
      <c r="A29" s="170" t="s">
        <v>46</v>
      </c>
      <c r="B29" s="259"/>
      <c r="C29" s="260"/>
      <c r="D29" s="261"/>
      <c r="E29" s="262"/>
      <c r="F29" s="263"/>
      <c r="G29" s="264"/>
      <c r="H29" s="265">
        <v>63</v>
      </c>
      <c r="I29" s="172">
        <v>25</v>
      </c>
      <c r="J29" s="199">
        <v>112</v>
      </c>
      <c r="K29" s="258">
        <v>38.5</v>
      </c>
      <c r="L29" s="163">
        <f>H29+I29+J29+K29</f>
        <v>238.5</v>
      </c>
      <c r="M29" s="163">
        <v>230</v>
      </c>
      <c r="N29" s="196">
        <f>L29/M29</f>
        <v>1.0369565217391303</v>
      </c>
      <c r="O29" s="201"/>
      <c r="P29" s="202">
        <v>56</v>
      </c>
      <c r="Q29" s="202">
        <v>33.5</v>
      </c>
      <c r="R29" s="201"/>
      <c r="S29" s="166">
        <f>O29+P29+Q29+R29</f>
        <v>89.5</v>
      </c>
      <c r="T29" s="266">
        <v>120</v>
      </c>
      <c r="U29" s="200">
        <f>S29/T29</f>
        <v>0.74583333333333335</v>
      </c>
      <c r="V29" s="265"/>
      <c r="W29" s="172"/>
      <c r="X29" s="199"/>
      <c r="Y29" s="258"/>
      <c r="Z29" s="163">
        <f>V29+W29+X29+Y29</f>
        <v>0</v>
      </c>
      <c r="AA29" s="163">
        <v>57.5</v>
      </c>
      <c r="AB29" s="118">
        <f>Z29/AA29</f>
        <v>0</v>
      </c>
      <c r="AC29" s="175"/>
      <c r="AD29" s="175"/>
      <c r="AE29" s="175"/>
      <c r="AF29" s="194">
        <f>+E29+L29+S29</f>
        <v>328</v>
      </c>
      <c r="AG29" s="222">
        <v>240</v>
      </c>
      <c r="AH29" s="256">
        <f t="shared" si="37"/>
        <v>1.3666666666666667</v>
      </c>
      <c r="AI29" s="76"/>
      <c r="AJ29" s="76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  <c r="CP29" s="69"/>
      <c r="CQ29" s="69"/>
      <c r="CR29" s="69"/>
    </row>
    <row r="30" spans="1:96" ht="12.75" customHeight="1">
      <c r="A30" s="209" t="s">
        <v>52</v>
      </c>
      <c r="B30" s="267"/>
      <c r="C30" s="268"/>
      <c r="D30" s="269"/>
      <c r="E30" s="262"/>
      <c r="F30" s="263"/>
      <c r="G30" s="270"/>
      <c r="H30" s="265"/>
      <c r="I30" s="172"/>
      <c r="J30" s="199"/>
      <c r="K30" s="258"/>
      <c r="L30" s="163"/>
      <c r="M30" s="163"/>
      <c r="N30" s="196"/>
      <c r="O30" s="201"/>
      <c r="P30" s="202"/>
      <c r="Q30" s="202"/>
      <c r="R30" s="201"/>
      <c r="S30" s="166"/>
      <c r="T30" s="266"/>
      <c r="U30" s="200"/>
      <c r="V30" s="265"/>
      <c r="W30" s="172"/>
      <c r="X30" s="199"/>
      <c r="Y30" s="258"/>
      <c r="Z30" s="163"/>
      <c r="AA30" s="163">
        <v>30</v>
      </c>
      <c r="AB30" s="118"/>
      <c r="AC30" s="175"/>
      <c r="AD30" s="175"/>
      <c r="AE30" s="175"/>
      <c r="AF30" s="194"/>
      <c r="AG30" s="222">
        <v>30</v>
      </c>
      <c r="AH30" s="256"/>
      <c r="AI30" s="76"/>
      <c r="AJ30" s="76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  <c r="CP30" s="69"/>
      <c r="CQ30" s="69"/>
      <c r="CR30" s="69"/>
    </row>
    <row r="31" spans="1:96" ht="12.75" customHeight="1">
      <c r="A31" s="119" t="s">
        <v>50</v>
      </c>
      <c r="B31" s="271"/>
      <c r="C31" s="272"/>
      <c r="D31" s="273"/>
      <c r="E31" s="271"/>
      <c r="F31" s="272"/>
      <c r="G31" s="274"/>
      <c r="H31" s="275"/>
      <c r="I31" s="276">
        <v>41</v>
      </c>
      <c r="J31" s="277">
        <f>M31-I31</f>
        <v>129</v>
      </c>
      <c r="K31" s="278"/>
      <c r="L31" s="279">
        <f>H31+I31+J31+K31</f>
        <v>170</v>
      </c>
      <c r="M31" s="279">
        <v>170</v>
      </c>
      <c r="N31" s="506">
        <f t="shared" ref="N31:N38" si="38">L31/M31</f>
        <v>1</v>
      </c>
      <c r="O31" s="874"/>
      <c r="P31" s="874"/>
      <c r="Q31" s="874"/>
      <c r="R31" s="874"/>
      <c r="S31" s="875"/>
      <c r="T31" s="876"/>
      <c r="U31" s="877"/>
      <c r="V31" s="275"/>
      <c r="W31" s="276"/>
      <c r="X31" s="277"/>
      <c r="Y31" s="278"/>
      <c r="Z31" s="279"/>
      <c r="AA31" s="878" t="s">
        <v>39</v>
      </c>
      <c r="AB31" s="506"/>
      <c r="AC31" s="235"/>
      <c r="AD31" s="235"/>
      <c r="AE31" s="235"/>
      <c r="AF31" s="283">
        <f t="shared" ref="AF31:AF32" si="39">L31</f>
        <v>170</v>
      </c>
      <c r="AG31" s="237">
        <v>170</v>
      </c>
      <c r="AH31" s="879">
        <f t="shared" ref="AH31:AH38" si="40">+AF31/AG31</f>
        <v>1</v>
      </c>
      <c r="AI31" s="76"/>
      <c r="AJ31" s="284"/>
      <c r="AK31" s="222"/>
      <c r="AL31" s="222"/>
      <c r="AM31" s="285"/>
      <c r="AN31" s="222"/>
      <c r="AO31" s="222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  <c r="CP31" s="69"/>
      <c r="CQ31" s="69"/>
      <c r="CR31" s="69"/>
    </row>
    <row r="32" spans="1:96" ht="12.75" customHeight="1">
      <c r="A32" s="153" t="s">
        <v>53</v>
      </c>
      <c r="B32" s="286"/>
      <c r="C32" s="287"/>
      <c r="D32" s="112"/>
      <c r="E32" s="288"/>
      <c r="F32" s="289"/>
      <c r="G32" s="242"/>
      <c r="H32" s="290"/>
      <c r="I32" s="290"/>
      <c r="J32" s="291"/>
      <c r="K32" s="292">
        <v>304.5</v>
      </c>
      <c r="L32" s="293">
        <f>K32</f>
        <v>304.5</v>
      </c>
      <c r="M32" s="294">
        <v>300</v>
      </c>
      <c r="N32" s="506">
        <f t="shared" si="38"/>
        <v>1.0149999999999999</v>
      </c>
      <c r="O32" s="295"/>
      <c r="P32" s="295"/>
      <c r="Q32" s="295"/>
      <c r="R32" s="295"/>
      <c r="S32" s="296"/>
      <c r="T32" s="297"/>
      <c r="U32" s="280"/>
      <c r="V32" s="880"/>
      <c r="W32" s="290"/>
      <c r="X32" s="291"/>
      <c r="Y32" s="292"/>
      <c r="Z32" s="293"/>
      <c r="AA32" s="294"/>
      <c r="AB32" s="506"/>
      <c r="AC32" s="300"/>
      <c r="AD32" s="300"/>
      <c r="AE32" s="300"/>
      <c r="AF32" s="194">
        <f t="shared" si="39"/>
        <v>304.5</v>
      </c>
      <c r="AG32" s="69">
        <v>300</v>
      </c>
      <c r="AH32" s="253">
        <f t="shared" si="40"/>
        <v>1.0149999999999999</v>
      </c>
      <c r="AI32" s="76"/>
      <c r="AJ32" s="301"/>
      <c r="AK32" s="302"/>
      <c r="AL32" s="302"/>
      <c r="AM32" s="285"/>
      <c r="AN32" s="302"/>
      <c r="AO32" s="30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2"/>
      <c r="BM32" s="152"/>
      <c r="BN32" s="152"/>
      <c r="BO32" s="152"/>
      <c r="BP32" s="152"/>
      <c r="BQ32" s="152"/>
      <c r="BR32" s="152"/>
      <c r="BS32" s="152"/>
      <c r="BT32" s="152"/>
      <c r="BU32" s="152"/>
      <c r="BV32" s="152"/>
      <c r="BW32" s="152"/>
      <c r="BX32" s="152"/>
      <c r="BY32" s="152"/>
      <c r="BZ32" s="152"/>
      <c r="CA32" s="152"/>
      <c r="CB32" s="152"/>
      <c r="CC32" s="152"/>
      <c r="CD32" s="152"/>
      <c r="CE32" s="152"/>
      <c r="CF32" s="152"/>
      <c r="CG32" s="152"/>
      <c r="CH32" s="152"/>
      <c r="CI32" s="152"/>
      <c r="CJ32" s="152"/>
      <c r="CK32" s="152"/>
      <c r="CL32" s="152"/>
      <c r="CM32" s="152"/>
      <c r="CN32" s="152"/>
      <c r="CO32" s="152"/>
      <c r="CP32" s="152"/>
      <c r="CQ32" s="152"/>
      <c r="CR32" s="152"/>
    </row>
    <row r="33" spans="1:96" ht="12.75" customHeight="1">
      <c r="A33" s="90" t="s">
        <v>54</v>
      </c>
      <c r="B33" s="304">
        <v>78460060</v>
      </c>
      <c r="C33" s="305">
        <v>98369909</v>
      </c>
      <c r="D33" s="189">
        <v>0.79760224236864952</v>
      </c>
      <c r="E33" s="306">
        <f>+E34+E35+E36+E37</f>
        <v>1681151147</v>
      </c>
      <c r="F33" s="307">
        <v>2167175500</v>
      </c>
      <c r="G33" s="241">
        <v>0.84862223029317085</v>
      </c>
      <c r="H33" s="308">
        <f t="shared" ref="H33:K33" si="41">+H34+H35+H36+H37</f>
        <v>828181645</v>
      </c>
      <c r="I33" s="313">
        <f t="shared" si="41"/>
        <v>702793972</v>
      </c>
      <c r="J33" s="309">
        <f t="shared" si="41"/>
        <v>747002069</v>
      </c>
      <c r="K33" s="310">
        <f t="shared" si="41"/>
        <v>630596500</v>
      </c>
      <c r="L33" s="311">
        <f t="shared" ref="L33:L37" si="42">H33+I33+J33+K33</f>
        <v>2908574186</v>
      </c>
      <c r="M33" s="311">
        <v>2915684102</v>
      </c>
      <c r="N33" s="881">
        <f t="shared" si="38"/>
        <v>0.99756149303173036</v>
      </c>
      <c r="O33" s="312">
        <f t="shared" ref="O33:R33" si="43">+O35+O36+O37+O34</f>
        <v>818088603</v>
      </c>
      <c r="P33" s="312">
        <f t="shared" si="43"/>
        <v>1055052802</v>
      </c>
      <c r="Q33" s="312">
        <f t="shared" si="43"/>
        <v>1189548717</v>
      </c>
      <c r="R33" s="312">
        <f t="shared" si="43"/>
        <v>940200381</v>
      </c>
      <c r="S33" s="290">
        <f t="shared" ref="S33:S38" si="44">O33+P33+Q33+R33</f>
        <v>4002890503</v>
      </c>
      <c r="T33" s="314">
        <v>3662733297</v>
      </c>
      <c r="U33" s="241">
        <f t="shared" ref="U33:U38" si="45">S33/T33</f>
        <v>1.0928697719483451</v>
      </c>
      <c r="V33" s="792">
        <f t="shared" ref="V33:Y33" si="46">+V35+V36+V37+V34</f>
        <v>1198288496</v>
      </c>
      <c r="W33" s="313">
        <f t="shared" si="46"/>
        <v>1708422813</v>
      </c>
      <c r="X33" s="309">
        <f t="shared" si="46"/>
        <v>1796152972</v>
      </c>
      <c r="Y33" s="310">
        <f t="shared" si="46"/>
        <v>735832593</v>
      </c>
      <c r="Z33" s="290">
        <f t="shared" ref="Z33:AA33" si="47">Z35+Z36+Z37+Z34</f>
        <v>5438696874</v>
      </c>
      <c r="AA33" s="311">
        <f t="shared" si="47"/>
        <v>4784803425</v>
      </c>
      <c r="AB33" s="246">
        <f t="shared" ref="AB33:AB38" si="48">Z33/AA33</f>
        <v>1.1366604624932946</v>
      </c>
      <c r="AC33" s="315"/>
      <c r="AD33" s="315"/>
      <c r="AF33" s="793">
        <f t="shared" ref="AF33:AF37" si="49">+B33+E33+L33+S33+Z33+AC33</f>
        <v>14109772770</v>
      </c>
      <c r="AG33" s="793">
        <v>13455879321</v>
      </c>
      <c r="AH33" s="882">
        <f t="shared" si="40"/>
        <v>1.0485953710939944</v>
      </c>
      <c r="AI33" s="314">
        <f>AF33-12188000000</f>
        <v>1921772770</v>
      </c>
      <c r="AJ33" s="351">
        <f>Z33-AI33</f>
        <v>3516924104</v>
      </c>
      <c r="AK33" s="302"/>
      <c r="AL33" s="302"/>
      <c r="AM33" s="285"/>
      <c r="AN33" s="285"/>
      <c r="AO33" s="285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2"/>
      <c r="BM33" s="152"/>
      <c r="BN33" s="152"/>
      <c r="BO33" s="152"/>
      <c r="BP33" s="152"/>
      <c r="BQ33" s="152"/>
      <c r="BR33" s="152"/>
      <c r="BS33" s="152"/>
      <c r="BT33" s="152"/>
      <c r="BU33" s="152"/>
      <c r="BV33" s="152"/>
      <c r="BW33" s="152"/>
      <c r="BX33" s="152"/>
      <c r="BY33" s="152"/>
      <c r="BZ33" s="152"/>
      <c r="CA33" s="152"/>
      <c r="CB33" s="152"/>
      <c r="CC33" s="152"/>
      <c r="CD33" s="152"/>
      <c r="CE33" s="152"/>
      <c r="CF33" s="152"/>
      <c r="CG33" s="152"/>
      <c r="CH33" s="152"/>
      <c r="CI33" s="152"/>
      <c r="CJ33" s="152"/>
      <c r="CK33" s="152"/>
      <c r="CL33" s="152"/>
      <c r="CM33" s="152"/>
      <c r="CN33" s="152"/>
      <c r="CO33" s="152"/>
      <c r="CP33" s="152"/>
      <c r="CQ33" s="152"/>
      <c r="CR33" s="152"/>
    </row>
    <row r="34" spans="1:96" ht="12.75" customHeight="1">
      <c r="A34" s="170" t="s">
        <v>55</v>
      </c>
      <c r="B34" s="316">
        <v>13110200</v>
      </c>
      <c r="C34" s="317">
        <v>32789969.666666664</v>
      </c>
      <c r="D34" s="118">
        <v>0.39982348667212858</v>
      </c>
      <c r="E34" s="317">
        <v>548934476</v>
      </c>
      <c r="F34" s="317">
        <v>359457439.31650943</v>
      </c>
      <c r="G34" s="318">
        <v>1.5314451164141387</v>
      </c>
      <c r="H34" s="319">
        <v>426364880</v>
      </c>
      <c r="I34" s="321">
        <v>267607529</v>
      </c>
      <c r="J34" s="321">
        <v>173180212</v>
      </c>
      <c r="K34" s="322">
        <v>61897506</v>
      </c>
      <c r="L34" s="323">
        <f t="shared" si="42"/>
        <v>929050127</v>
      </c>
      <c r="M34" s="324">
        <v>527999651</v>
      </c>
      <c r="N34" s="883">
        <f t="shared" si="38"/>
        <v>1.759565797516029</v>
      </c>
      <c r="O34" s="325">
        <v>341637312</v>
      </c>
      <c r="P34" s="325">
        <v>352679250</v>
      </c>
      <c r="Q34" s="325">
        <v>230910111</v>
      </c>
      <c r="R34" s="325">
        <v>80251688</v>
      </c>
      <c r="S34" s="326">
        <f t="shared" si="44"/>
        <v>1005478361</v>
      </c>
      <c r="T34" s="327">
        <v>1190388321</v>
      </c>
      <c r="U34" s="415">
        <f t="shared" si="45"/>
        <v>0.84466416820633439</v>
      </c>
      <c r="V34" s="512">
        <v>290377303</v>
      </c>
      <c r="W34" s="346">
        <v>479448050</v>
      </c>
      <c r="X34" s="346">
        <v>383938549</v>
      </c>
      <c r="Y34" s="884">
        <v>57835159</v>
      </c>
      <c r="Z34" s="323">
        <f t="shared" ref="Z34:Z38" si="50">V34+W34+X34+Y34</f>
        <v>1211599061</v>
      </c>
      <c r="AA34" s="797">
        <v>1319803425</v>
      </c>
      <c r="AB34" s="681">
        <f t="shared" si="48"/>
        <v>0.91801478769461442</v>
      </c>
      <c r="AC34" s="324"/>
      <c r="AD34" s="324"/>
      <c r="AE34" s="324"/>
      <c r="AF34" s="795">
        <f t="shared" si="49"/>
        <v>3708172225</v>
      </c>
      <c r="AG34" s="322">
        <v>4373160777.3962936</v>
      </c>
      <c r="AH34" s="246">
        <f t="shared" si="40"/>
        <v>0.84793869097302743</v>
      </c>
      <c r="AI34" s="327"/>
      <c r="AJ34" s="328"/>
      <c r="AK34" s="329"/>
      <c r="AL34" s="222"/>
      <c r="AM34" s="330"/>
      <c r="AN34" s="331"/>
      <c r="AO34" s="32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69"/>
      <c r="CM34" s="69"/>
      <c r="CN34" s="69"/>
      <c r="CO34" s="69"/>
      <c r="CP34" s="69"/>
      <c r="CQ34" s="69"/>
      <c r="CR34" s="69"/>
    </row>
    <row r="35" spans="1:96" ht="12.75" customHeight="1">
      <c r="A35" s="170" t="s">
        <v>44</v>
      </c>
      <c r="B35" s="316">
        <v>16595000</v>
      </c>
      <c r="C35" s="317">
        <v>22741430.575268816</v>
      </c>
      <c r="D35" s="118">
        <v>0.72972542097008508</v>
      </c>
      <c r="E35" s="317">
        <v>56116530</v>
      </c>
      <c r="F35" s="317">
        <v>307777203.07778049</v>
      </c>
      <c r="G35" s="200">
        <v>0.18144106659481021</v>
      </c>
      <c r="H35" s="320">
        <v>62926240</v>
      </c>
      <c r="I35" s="321">
        <v>43354698</v>
      </c>
      <c r="J35" s="321">
        <v>37179451</v>
      </c>
      <c r="K35" s="322">
        <v>21166733</v>
      </c>
      <c r="L35" s="323">
        <f t="shared" si="42"/>
        <v>164627122</v>
      </c>
      <c r="M35" s="323">
        <v>454037416</v>
      </c>
      <c r="N35" s="885">
        <f t="shared" si="38"/>
        <v>0.36258492405832915</v>
      </c>
      <c r="O35" s="325">
        <v>46066350</v>
      </c>
      <c r="P35" s="325">
        <v>59314511</v>
      </c>
      <c r="Q35" s="325">
        <v>65467120</v>
      </c>
      <c r="R35" s="325">
        <v>14649500</v>
      </c>
      <c r="S35" s="326">
        <f t="shared" si="44"/>
        <v>185497481</v>
      </c>
      <c r="T35" s="327">
        <v>180000000</v>
      </c>
      <c r="U35" s="208">
        <f t="shared" si="45"/>
        <v>1.0305415611111111</v>
      </c>
      <c r="V35" s="502">
        <v>47498150</v>
      </c>
      <c r="W35" s="70">
        <v>79467200</v>
      </c>
      <c r="X35" s="70">
        <v>69852300</v>
      </c>
      <c r="Y35" s="322">
        <v>27415440</v>
      </c>
      <c r="Z35" s="323">
        <f t="shared" si="50"/>
        <v>224233090</v>
      </c>
      <c r="AA35" s="323">
        <v>223000000</v>
      </c>
      <c r="AB35" s="118">
        <f t="shared" si="48"/>
        <v>1.0055295515695066</v>
      </c>
      <c r="AC35" s="324"/>
      <c r="AD35" s="324"/>
      <c r="AE35" s="324"/>
      <c r="AF35" s="795">
        <f t="shared" si="49"/>
        <v>647069223</v>
      </c>
      <c r="AG35" s="322">
        <v>661270718.1720854</v>
      </c>
      <c r="AH35" s="246">
        <f t="shared" si="40"/>
        <v>0.97852393160347129</v>
      </c>
      <c r="AI35" s="327"/>
      <c r="AJ35" s="328">
        <f>AJ33/4000000000</f>
        <v>0.87923102600000003</v>
      </c>
      <c r="AK35" s="329"/>
      <c r="AL35" s="222"/>
      <c r="AM35" s="330"/>
      <c r="AN35" s="331"/>
      <c r="AO35" s="32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  <c r="CG35" s="69"/>
      <c r="CH35" s="69"/>
      <c r="CI35" s="69"/>
      <c r="CJ35" s="69"/>
      <c r="CK35" s="69"/>
      <c r="CL35" s="69"/>
      <c r="CM35" s="69"/>
      <c r="CN35" s="69"/>
      <c r="CO35" s="69"/>
      <c r="CP35" s="69"/>
      <c r="CQ35" s="69"/>
      <c r="CR35" s="69"/>
    </row>
    <row r="36" spans="1:96" ht="12.75" customHeight="1">
      <c r="A36" s="170" t="s">
        <v>45</v>
      </c>
      <c r="B36" s="316">
        <v>48754860</v>
      </c>
      <c r="C36" s="317">
        <v>42838508.758064516</v>
      </c>
      <c r="D36" s="41">
        <v>1.1381082445084345</v>
      </c>
      <c r="E36" s="317">
        <v>740115951</v>
      </c>
      <c r="F36" s="317">
        <v>888274633.69560504</v>
      </c>
      <c r="G36" s="200">
        <v>0.82874326933922704</v>
      </c>
      <c r="H36" s="320">
        <v>240731443</v>
      </c>
      <c r="I36" s="321">
        <v>350987910</v>
      </c>
      <c r="J36" s="321">
        <v>442308842</v>
      </c>
      <c r="K36" s="322">
        <v>350134951</v>
      </c>
      <c r="L36" s="323">
        <f t="shared" si="42"/>
        <v>1384163146</v>
      </c>
      <c r="M36" s="323">
        <v>1308608515</v>
      </c>
      <c r="N36" s="883">
        <f t="shared" si="38"/>
        <v>1.0577366188084143</v>
      </c>
      <c r="O36" s="325">
        <v>291390466</v>
      </c>
      <c r="P36" s="325">
        <v>336886441</v>
      </c>
      <c r="Q36" s="325">
        <v>581370354</v>
      </c>
      <c r="R36" s="325">
        <v>598151768</v>
      </c>
      <c r="S36" s="326">
        <f t="shared" si="44"/>
        <v>1807799029</v>
      </c>
      <c r="T36" s="327">
        <v>1739798316</v>
      </c>
      <c r="U36" s="208">
        <f t="shared" si="45"/>
        <v>1.039085399942415</v>
      </c>
      <c r="V36" s="502">
        <v>308342608</v>
      </c>
      <c r="W36" s="70">
        <v>453038465</v>
      </c>
      <c r="X36" s="70">
        <v>739458083</v>
      </c>
      <c r="Y36" s="322">
        <v>408024744</v>
      </c>
      <c r="Z36" s="323">
        <f t="shared" si="50"/>
        <v>1908863900</v>
      </c>
      <c r="AA36" s="323">
        <v>2000000000</v>
      </c>
      <c r="AB36" s="118">
        <f t="shared" si="48"/>
        <v>0.95443195000000003</v>
      </c>
      <c r="AC36" s="324"/>
      <c r="AD36" s="324"/>
      <c r="AE36" s="324"/>
      <c r="AF36" s="795">
        <f t="shared" si="49"/>
        <v>5889696886</v>
      </c>
      <c r="AG36" s="322">
        <v>6391542677.1994705</v>
      </c>
      <c r="AH36" s="246">
        <f t="shared" si="40"/>
        <v>0.9214828380963952</v>
      </c>
      <c r="AI36" s="327"/>
      <c r="AJ36" s="328"/>
      <c r="AK36" s="329"/>
      <c r="AL36" s="334"/>
      <c r="AM36" s="330"/>
      <c r="AN36" s="331"/>
      <c r="AO36" s="32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</row>
    <row r="37" spans="1:96" ht="12.75" customHeight="1">
      <c r="A37" s="170" t="s">
        <v>56</v>
      </c>
      <c r="B37" s="259"/>
      <c r="C37" s="335"/>
      <c r="D37" s="336"/>
      <c r="E37" s="317">
        <v>335984190</v>
      </c>
      <c r="F37" s="317">
        <v>423693292.54863286</v>
      </c>
      <c r="G37" s="200">
        <v>0.79564844647925448</v>
      </c>
      <c r="H37" s="320">
        <v>98159082</v>
      </c>
      <c r="I37" s="321">
        <v>40843835</v>
      </c>
      <c r="J37" s="321">
        <v>94333564</v>
      </c>
      <c r="K37" s="322">
        <v>197397310</v>
      </c>
      <c r="L37" s="323">
        <f t="shared" si="42"/>
        <v>430733791</v>
      </c>
      <c r="M37" s="324">
        <v>625038521</v>
      </c>
      <c r="N37" s="885">
        <f t="shared" si="38"/>
        <v>0.68913159193911511</v>
      </c>
      <c r="O37" s="325">
        <v>138994475</v>
      </c>
      <c r="P37" s="325">
        <v>306172600</v>
      </c>
      <c r="Q37" s="325">
        <v>311801132</v>
      </c>
      <c r="R37" s="325">
        <v>247147425</v>
      </c>
      <c r="S37" s="326">
        <f t="shared" si="44"/>
        <v>1004115632</v>
      </c>
      <c r="T37" s="327">
        <v>552546660</v>
      </c>
      <c r="U37" s="208">
        <f t="shared" si="45"/>
        <v>1.8172503875057358</v>
      </c>
      <c r="V37" s="502">
        <v>552070435</v>
      </c>
      <c r="W37" s="70">
        <v>696469098</v>
      </c>
      <c r="X37" s="70">
        <v>602904040</v>
      </c>
      <c r="Y37" s="322">
        <v>242557250</v>
      </c>
      <c r="Z37" s="323">
        <f t="shared" si="50"/>
        <v>2094000823</v>
      </c>
      <c r="AA37" s="324">
        <v>1242000000</v>
      </c>
      <c r="AB37" s="118">
        <f t="shared" si="48"/>
        <v>1.6859910008051531</v>
      </c>
      <c r="AC37" s="324"/>
      <c r="AD37" s="324"/>
      <c r="AE37" s="324"/>
      <c r="AF37" s="795">
        <f t="shared" si="49"/>
        <v>3864834436</v>
      </c>
      <c r="AG37" s="322">
        <v>2029905148.2321503</v>
      </c>
      <c r="AH37" s="246">
        <f t="shared" si="40"/>
        <v>1.9039482900794129</v>
      </c>
      <c r="AI37" s="327"/>
      <c r="AJ37" s="328"/>
      <c r="AK37" s="329"/>
      <c r="AL37" s="222"/>
      <c r="AM37" s="330"/>
      <c r="AN37" s="331"/>
      <c r="AO37" s="32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  <c r="CP37" s="69"/>
      <c r="CQ37" s="69"/>
      <c r="CR37" s="69"/>
    </row>
    <row r="38" spans="1:96" ht="12.75" customHeight="1">
      <c r="A38" s="119" t="s">
        <v>57</v>
      </c>
      <c r="B38" s="271"/>
      <c r="C38" s="337"/>
      <c r="D38" s="338"/>
      <c r="E38" s="339">
        <v>4.4000000000000004</v>
      </c>
      <c r="F38" s="340"/>
      <c r="G38" s="341"/>
      <c r="H38" s="886">
        <v>14.4</v>
      </c>
      <c r="I38" s="887">
        <v>7.6</v>
      </c>
      <c r="J38" s="342">
        <v>10.6</v>
      </c>
      <c r="K38" s="343">
        <v>5.5</v>
      </c>
      <c r="L38" s="344">
        <f>+H38+I38+J38+K38</f>
        <v>38.1</v>
      </c>
      <c r="M38" s="235">
        <v>30</v>
      </c>
      <c r="N38" s="883">
        <f t="shared" si="38"/>
        <v>1.27</v>
      </c>
      <c r="O38" s="201">
        <v>11.819000000000001</v>
      </c>
      <c r="P38" s="201">
        <v>16.677</v>
      </c>
      <c r="Q38" s="202">
        <v>23.6</v>
      </c>
      <c r="R38" s="70">
        <v>10.3</v>
      </c>
      <c r="S38" s="397">
        <f t="shared" si="44"/>
        <v>62.396000000000001</v>
      </c>
      <c r="T38" s="347">
        <v>30</v>
      </c>
      <c r="U38" s="280">
        <f t="shared" si="45"/>
        <v>2.0798666666666668</v>
      </c>
      <c r="V38" s="888">
        <v>11.3</v>
      </c>
      <c r="W38" s="889"/>
      <c r="X38" s="890"/>
      <c r="Y38" s="891"/>
      <c r="Z38" s="892">
        <f t="shared" si="50"/>
        <v>11.3</v>
      </c>
      <c r="AA38" s="893">
        <v>30</v>
      </c>
      <c r="AB38" s="681">
        <f t="shared" si="48"/>
        <v>0.37666666666666671</v>
      </c>
      <c r="AC38" s="344"/>
      <c r="AD38" s="344"/>
      <c r="AE38" s="344"/>
      <c r="AF38" s="894">
        <f>+E38+L38+S38+Z38</f>
        <v>116.196</v>
      </c>
      <c r="AG38" s="350">
        <v>90</v>
      </c>
      <c r="AH38" s="246">
        <f t="shared" si="40"/>
        <v>1.2910666666666666</v>
      </c>
      <c r="AI38" s="895"/>
      <c r="AJ38" s="351"/>
      <c r="AK38" s="222"/>
      <c r="AL38" s="352"/>
      <c r="AM38" s="285"/>
      <c r="AN38" s="222"/>
      <c r="AO38" s="353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69"/>
      <c r="CP38" s="69"/>
      <c r="CQ38" s="69"/>
      <c r="CR38" s="69"/>
    </row>
    <row r="39" spans="1:96" ht="12.75" customHeight="1">
      <c r="A39" s="119" t="s">
        <v>125</v>
      </c>
      <c r="B39" s="363"/>
      <c r="C39" s="152"/>
      <c r="D39" s="364"/>
      <c r="E39" s="363"/>
      <c r="F39" s="152"/>
      <c r="G39" s="200"/>
      <c r="H39" s="77"/>
      <c r="I39" s="77"/>
      <c r="J39" s="366"/>
      <c r="K39" s="405"/>
      <c r="L39" s="299"/>
      <c r="M39" s="299"/>
      <c r="N39" s="242"/>
      <c r="O39" s="368"/>
      <c r="P39" s="152"/>
      <c r="Q39" s="152"/>
      <c r="R39" s="152"/>
      <c r="S39" s="360"/>
      <c r="T39" s="77"/>
      <c r="U39" s="242"/>
      <c r="V39" s="372"/>
      <c r="W39" s="373"/>
      <c r="X39" s="374"/>
      <c r="Y39" s="444"/>
      <c r="Z39" s="375"/>
      <c r="AA39" s="375"/>
      <c r="AB39" s="896"/>
      <c r="AC39" s="579"/>
      <c r="AD39" s="579"/>
      <c r="AE39" s="579"/>
      <c r="AF39" s="897"/>
      <c r="AG39" s="579"/>
      <c r="AH39" s="364"/>
      <c r="AI39" s="76"/>
      <c r="AJ39" s="50"/>
      <c r="AK39" s="69"/>
      <c r="AL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69"/>
      <c r="CM39" s="69"/>
      <c r="CN39" s="69"/>
      <c r="CO39" s="69"/>
      <c r="CP39" s="69"/>
      <c r="CQ39" s="69"/>
      <c r="CR39" s="69"/>
    </row>
    <row r="40" spans="1:96" ht="12.75" customHeight="1">
      <c r="A40" s="898" t="s">
        <v>58</v>
      </c>
      <c r="B40" s="354">
        <v>280</v>
      </c>
      <c r="C40" s="239">
        <v>400</v>
      </c>
      <c r="D40" s="189">
        <v>0.7</v>
      </c>
      <c r="E40" s="354">
        <v>52</v>
      </c>
      <c r="F40" s="239">
        <v>250</v>
      </c>
      <c r="G40" s="182">
        <v>0.20799999999999999</v>
      </c>
      <c r="H40" s="355">
        <v>0</v>
      </c>
      <c r="I40" s="356">
        <v>0</v>
      </c>
      <c r="J40" s="357">
        <v>485</v>
      </c>
      <c r="K40" s="358">
        <v>118</v>
      </c>
      <c r="L40" s="359">
        <f>H40+I40+J40+K40</f>
        <v>603</v>
      </c>
      <c r="M40" s="359">
        <v>540</v>
      </c>
      <c r="N40" s="242">
        <f>L40/M40</f>
        <v>1.1166666666666667</v>
      </c>
      <c r="O40" s="899"/>
      <c r="P40" s="239">
        <v>1</v>
      </c>
      <c r="Q40" s="239">
        <v>24</v>
      </c>
      <c r="R40" s="239">
        <v>651</v>
      </c>
      <c r="S40" s="380">
        <f>O40+P40+Q40+R40</f>
        <v>676</v>
      </c>
      <c r="T40" s="356">
        <v>630</v>
      </c>
      <c r="U40" s="241">
        <f>S40/T40</f>
        <v>1.073015873015873</v>
      </c>
      <c r="V40" s="355">
        <f t="shared" ref="V40:Y40" si="51">V41+V42+V43+V44</f>
        <v>0</v>
      </c>
      <c r="W40" s="355">
        <f t="shared" si="51"/>
        <v>8</v>
      </c>
      <c r="X40" s="355">
        <f t="shared" si="51"/>
        <v>0</v>
      </c>
      <c r="Y40" s="355">
        <f t="shared" si="51"/>
        <v>659</v>
      </c>
      <c r="Z40" s="299">
        <f t="shared" ref="Z40:Z45" si="52">V40+W40+X40+Y40</f>
        <v>667</v>
      </c>
      <c r="AA40" s="359">
        <f>AA41+AA42+AA43+AA44</f>
        <v>859</v>
      </c>
      <c r="AB40" s="414">
        <f t="shared" ref="AB40:AB45" si="53">Z40/AA40</f>
        <v>0.77648428405122238</v>
      </c>
      <c r="AC40" s="362"/>
      <c r="AD40" s="362"/>
      <c r="AE40" s="362"/>
      <c r="AF40" s="900">
        <f>AF41+AF42+AF43+AF44</f>
        <v>2278</v>
      </c>
      <c r="AG40" s="901">
        <v>2470</v>
      </c>
      <c r="AH40" s="902">
        <f t="shared" ref="AH40:AH47" si="54">+AF40/AG40</f>
        <v>0.92226720647773275</v>
      </c>
      <c r="AI40" s="903">
        <f t="shared" ref="AI40:AI45" si="55">AG40-AF40</f>
        <v>192</v>
      </c>
      <c r="AJ40" s="50"/>
      <c r="AK40" s="69"/>
      <c r="AL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  <c r="CP40" s="69"/>
      <c r="CQ40" s="69"/>
      <c r="CR40" s="69"/>
    </row>
    <row r="41" spans="1:96" ht="12.75" customHeight="1">
      <c r="A41" s="904" t="s">
        <v>55</v>
      </c>
      <c r="B41" s="363"/>
      <c r="C41" s="152"/>
      <c r="D41" s="364"/>
      <c r="E41" s="363"/>
      <c r="F41" s="152"/>
      <c r="G41" s="196"/>
      <c r="H41" s="365"/>
      <c r="I41" s="77"/>
      <c r="J41" s="366"/>
      <c r="K41" s="77"/>
      <c r="L41" s="299"/>
      <c r="M41" s="299"/>
      <c r="N41" s="200"/>
      <c r="O41" s="367"/>
      <c r="P41" s="368"/>
      <c r="Q41" s="152"/>
      <c r="R41" s="368"/>
      <c r="S41" s="360"/>
      <c r="T41" s="77"/>
      <c r="U41" s="242"/>
      <c r="V41" s="365"/>
      <c r="W41" s="77"/>
      <c r="X41" s="366"/>
      <c r="Y41" s="905">
        <v>96</v>
      </c>
      <c r="Z41" s="69">
        <f t="shared" si="52"/>
        <v>96</v>
      </c>
      <c r="AA41" s="299">
        <v>130</v>
      </c>
      <c r="AB41" s="414">
        <f t="shared" si="53"/>
        <v>0.7384615384615385</v>
      </c>
      <c r="AC41" s="152"/>
      <c r="AD41" s="152"/>
      <c r="AE41" s="152"/>
      <c r="AF41" s="363">
        <f>294+Z41</f>
        <v>390</v>
      </c>
      <c r="AG41" s="152">
        <v>424</v>
      </c>
      <c r="AH41" s="902">
        <f t="shared" si="54"/>
        <v>0.91981132075471694</v>
      </c>
      <c r="AI41" s="50">
        <f t="shared" si="55"/>
        <v>34</v>
      </c>
      <c r="AJ41" s="76"/>
      <c r="AK41" s="69"/>
      <c r="AL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  <c r="CP41" s="69"/>
      <c r="CQ41" s="69"/>
      <c r="CR41" s="69"/>
    </row>
    <row r="42" spans="1:96" ht="12.75" customHeight="1">
      <c r="A42" s="904" t="s">
        <v>44</v>
      </c>
      <c r="B42" s="363"/>
      <c r="C42" s="152"/>
      <c r="D42" s="364"/>
      <c r="E42" s="363"/>
      <c r="F42" s="152"/>
      <c r="G42" s="196"/>
      <c r="H42" s="365"/>
      <c r="I42" s="77"/>
      <c r="J42" s="366"/>
      <c r="K42" s="77"/>
      <c r="L42" s="299"/>
      <c r="M42" s="299"/>
      <c r="N42" s="200"/>
      <c r="O42" s="367"/>
      <c r="P42" s="368"/>
      <c r="Q42" s="152"/>
      <c r="R42" s="368"/>
      <c r="S42" s="360"/>
      <c r="T42" s="77"/>
      <c r="U42" s="242"/>
      <c r="V42" s="365"/>
      <c r="W42" s="77"/>
      <c r="X42" s="366"/>
      <c r="Y42" s="905">
        <v>65</v>
      </c>
      <c r="Z42" s="69">
        <f t="shared" si="52"/>
        <v>65</v>
      </c>
      <c r="AA42" s="299">
        <v>84</v>
      </c>
      <c r="AB42" s="414">
        <f t="shared" si="53"/>
        <v>0.77380952380952384</v>
      </c>
      <c r="AC42" s="152"/>
      <c r="AD42" s="152"/>
      <c r="AE42" s="152"/>
      <c r="AF42" s="363">
        <f>226+Z42</f>
        <v>291</v>
      </c>
      <c r="AG42" s="152">
        <v>310</v>
      </c>
      <c r="AH42" s="902">
        <f t="shared" si="54"/>
        <v>0.93870967741935485</v>
      </c>
      <c r="AI42" s="50">
        <f t="shared" si="55"/>
        <v>19</v>
      </c>
      <c r="AJ42" s="76"/>
      <c r="AK42" s="69"/>
      <c r="AL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  <c r="CP42" s="69"/>
      <c r="CQ42" s="69"/>
      <c r="CR42" s="69"/>
    </row>
    <row r="43" spans="1:96" ht="12.75" customHeight="1">
      <c r="A43" s="904" t="s">
        <v>45</v>
      </c>
      <c r="B43" s="363"/>
      <c r="C43" s="152"/>
      <c r="D43" s="364"/>
      <c r="E43" s="363"/>
      <c r="F43" s="152"/>
      <c r="G43" s="196"/>
      <c r="H43" s="365"/>
      <c r="I43" s="77"/>
      <c r="J43" s="366"/>
      <c r="K43" s="77"/>
      <c r="L43" s="299"/>
      <c r="M43" s="299"/>
      <c r="N43" s="200"/>
      <c r="O43" s="367"/>
      <c r="P43" s="368"/>
      <c r="Q43" s="152"/>
      <c r="R43" s="368"/>
      <c r="S43" s="360"/>
      <c r="T43" s="77"/>
      <c r="U43" s="242"/>
      <c r="V43" s="365"/>
      <c r="W43" s="77"/>
      <c r="X43" s="366"/>
      <c r="Y43" s="905">
        <v>352</v>
      </c>
      <c r="Z43" s="69">
        <f t="shared" si="52"/>
        <v>352</v>
      </c>
      <c r="AA43" s="299">
        <v>454</v>
      </c>
      <c r="AB43" s="414">
        <f t="shared" si="53"/>
        <v>0.77533039647577096</v>
      </c>
      <c r="AC43" s="152"/>
      <c r="AD43" s="152"/>
      <c r="AE43" s="152"/>
      <c r="AF43" s="363">
        <f>853+Z43</f>
        <v>1205</v>
      </c>
      <c r="AG43" s="152">
        <v>1307</v>
      </c>
      <c r="AH43" s="902">
        <f t="shared" si="54"/>
        <v>0.92195868400918135</v>
      </c>
      <c r="AI43" s="50">
        <f t="shared" si="55"/>
        <v>102</v>
      </c>
      <c r="AJ43" s="76"/>
      <c r="AK43" s="69"/>
      <c r="AL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  <c r="CP43" s="69"/>
      <c r="CQ43" s="69"/>
      <c r="CR43" s="69"/>
    </row>
    <row r="44" spans="1:96" ht="12.75" customHeight="1">
      <c r="A44" s="904" t="s">
        <v>46</v>
      </c>
      <c r="B44" s="363"/>
      <c r="C44" s="152"/>
      <c r="D44" s="364"/>
      <c r="E44" s="363"/>
      <c r="F44" s="152"/>
      <c r="G44" s="196"/>
      <c r="H44" s="365"/>
      <c r="I44" s="77"/>
      <c r="J44" s="366"/>
      <c r="K44" s="77"/>
      <c r="L44" s="299"/>
      <c r="M44" s="299"/>
      <c r="N44" s="200"/>
      <c r="O44" s="367"/>
      <c r="P44" s="368"/>
      <c r="Q44" s="152"/>
      <c r="R44" s="368"/>
      <c r="S44" s="360"/>
      <c r="T44" s="77"/>
      <c r="U44" s="242"/>
      <c r="V44" s="365"/>
      <c r="W44" s="77">
        <v>8</v>
      </c>
      <c r="X44" s="366"/>
      <c r="Y44" s="905">
        <v>146</v>
      </c>
      <c r="Z44" s="69">
        <f t="shared" si="52"/>
        <v>154</v>
      </c>
      <c r="AA44" s="299">
        <v>191</v>
      </c>
      <c r="AB44" s="414">
        <f t="shared" si="53"/>
        <v>0.80628272251308897</v>
      </c>
      <c r="AC44" s="152"/>
      <c r="AD44" s="152"/>
      <c r="AE44" s="152"/>
      <c r="AF44" s="363">
        <f>246+Y44</f>
        <v>392</v>
      </c>
      <c r="AG44" s="152">
        <v>429</v>
      </c>
      <c r="AH44" s="902">
        <f t="shared" si="54"/>
        <v>0.91375291375291379</v>
      </c>
      <c r="AI44" s="50">
        <f t="shared" si="55"/>
        <v>37</v>
      </c>
      <c r="AJ44" s="76"/>
      <c r="AK44" s="69"/>
      <c r="AL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  <c r="CP44" s="69"/>
      <c r="CQ44" s="69"/>
      <c r="CR44" s="69"/>
    </row>
    <row r="45" spans="1:96" ht="12.75" customHeight="1">
      <c r="A45" s="904" t="s">
        <v>59</v>
      </c>
      <c r="B45" s="363"/>
      <c r="C45" s="152"/>
      <c r="D45" s="364"/>
      <c r="E45" s="363"/>
      <c r="F45" s="152"/>
      <c r="G45" s="196"/>
      <c r="H45" s="365"/>
      <c r="I45" s="77"/>
      <c r="J45" s="366"/>
      <c r="K45" s="77"/>
      <c r="L45" s="299"/>
      <c r="M45" s="299"/>
      <c r="N45" s="200"/>
      <c r="O45" s="906"/>
      <c r="P45" s="395"/>
      <c r="Q45" s="389">
        <v>62</v>
      </c>
      <c r="R45" s="395"/>
      <c r="S45" s="907">
        <f>O45+P45+Q45+R45</f>
        <v>62</v>
      </c>
      <c r="T45" s="392">
        <v>80</v>
      </c>
      <c r="U45" s="348">
        <f>S45/T45</f>
        <v>0.77500000000000002</v>
      </c>
      <c r="V45" s="365"/>
      <c r="W45" s="77"/>
      <c r="X45" s="366"/>
      <c r="Y45" s="77"/>
      <c r="Z45" s="69">
        <f t="shared" si="52"/>
        <v>0</v>
      </c>
      <c r="AA45" s="299">
        <v>75</v>
      </c>
      <c r="AB45" s="414">
        <f t="shared" si="53"/>
        <v>0</v>
      </c>
      <c r="AC45" s="152"/>
      <c r="AD45" s="152"/>
      <c r="AE45" s="152"/>
      <c r="AF45" s="908">
        <f>S45+Z45</f>
        <v>62</v>
      </c>
      <c r="AG45" s="152">
        <v>100</v>
      </c>
      <c r="AH45" s="902">
        <f t="shared" si="54"/>
        <v>0.62</v>
      </c>
      <c r="AI45" s="50">
        <f t="shared" si="55"/>
        <v>38</v>
      </c>
      <c r="AJ45" s="76"/>
      <c r="AK45" s="69"/>
      <c r="AL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  <c r="CP45" s="69"/>
      <c r="CQ45" s="69"/>
      <c r="CR45" s="69"/>
    </row>
    <row r="46" spans="1:96" ht="12.75" customHeight="1">
      <c r="A46" s="909" t="s">
        <v>60</v>
      </c>
      <c r="B46" s="359">
        <v>310</v>
      </c>
      <c r="C46" s="359">
        <v>353</v>
      </c>
      <c r="D46" s="378">
        <v>0.87818696883852687</v>
      </c>
      <c r="E46" s="359">
        <v>231</v>
      </c>
      <c r="F46" s="359">
        <v>346</v>
      </c>
      <c r="G46" s="378">
        <v>0.66763005780346818</v>
      </c>
      <c r="H46" s="359"/>
      <c r="I46" s="359"/>
      <c r="J46" s="359"/>
      <c r="K46" s="359">
        <v>362</v>
      </c>
      <c r="L46" s="359">
        <v>362</v>
      </c>
      <c r="M46" s="359">
        <v>329</v>
      </c>
      <c r="N46" s="378">
        <v>1.1003039513677813</v>
      </c>
      <c r="O46" s="379"/>
      <c r="P46" s="379"/>
      <c r="Q46" s="379"/>
      <c r="R46" s="379">
        <v>364</v>
      </c>
      <c r="S46" s="380">
        <v>364</v>
      </c>
      <c r="T46" s="356">
        <v>443</v>
      </c>
      <c r="U46" s="348">
        <v>0.82167042889390518</v>
      </c>
      <c r="V46" s="355"/>
      <c r="W46" s="355"/>
      <c r="X46" s="355"/>
      <c r="Y46" s="381"/>
      <c r="Z46" s="381">
        <v>492</v>
      </c>
      <c r="AA46" s="356">
        <v>637</v>
      </c>
      <c r="AB46" s="675">
        <f>W46/AA46</f>
        <v>0</v>
      </c>
      <c r="AC46" s="382"/>
      <c r="AD46" s="382"/>
      <c r="AE46" s="383"/>
      <c r="AF46" s="910">
        <v>364</v>
      </c>
      <c r="AG46" s="382">
        <v>637</v>
      </c>
      <c r="AH46" s="575">
        <f t="shared" si="54"/>
        <v>0.5714285714285714</v>
      </c>
      <c r="AI46" s="386"/>
      <c r="AJ46" s="76"/>
      <c r="AK46" s="69"/>
      <c r="AL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69"/>
      <c r="BE46" s="69"/>
      <c r="BF46" s="69"/>
      <c r="BG46" s="69"/>
      <c r="BH46" s="69"/>
      <c r="BI46" s="69"/>
      <c r="BJ46" s="69"/>
      <c r="BK46" s="69"/>
      <c r="BL46" s="69"/>
      <c r="BM46" s="69"/>
      <c r="BN46" s="69"/>
      <c r="BO46" s="69"/>
      <c r="BP46" s="69"/>
      <c r="BQ46" s="69"/>
      <c r="BR46" s="69"/>
      <c r="BS46" s="69"/>
      <c r="BT46" s="69"/>
      <c r="BU46" s="69"/>
      <c r="BV46" s="69"/>
      <c r="BW46" s="69"/>
      <c r="BX46" s="69"/>
      <c r="BY46" s="69"/>
      <c r="BZ46" s="69"/>
      <c r="CA46" s="69"/>
      <c r="CB46" s="69"/>
      <c r="CC46" s="69"/>
      <c r="CD46" s="69"/>
      <c r="CE46" s="69"/>
      <c r="CF46" s="69"/>
      <c r="CG46" s="69"/>
      <c r="CH46" s="69"/>
      <c r="CI46" s="69"/>
      <c r="CJ46" s="69"/>
      <c r="CK46" s="69"/>
      <c r="CL46" s="69"/>
      <c r="CM46" s="69"/>
      <c r="CN46" s="69"/>
      <c r="CO46" s="69"/>
      <c r="CP46" s="69"/>
      <c r="CQ46" s="69"/>
      <c r="CR46" s="69"/>
    </row>
    <row r="47" spans="1:96" ht="12.75" hidden="1" customHeight="1">
      <c r="A47" s="387" t="s">
        <v>61</v>
      </c>
      <c r="B47" s="388">
        <v>355</v>
      </c>
      <c r="C47" s="389">
        <v>356</v>
      </c>
      <c r="D47" s="390">
        <f>B47/C47</f>
        <v>0.9971910112359551</v>
      </c>
      <c r="E47" s="389">
        <v>519</v>
      </c>
      <c r="F47" s="389">
        <v>561</v>
      </c>
      <c r="G47" s="280">
        <v>0.92513368983957223</v>
      </c>
      <c r="H47" s="391">
        <v>457.3</v>
      </c>
      <c r="I47" s="392">
        <v>93.3</v>
      </c>
      <c r="J47" s="393">
        <v>91.3</v>
      </c>
      <c r="K47" s="392">
        <v>89.2</v>
      </c>
      <c r="L47" s="294">
        <f>H47+I47+J47+K47</f>
        <v>731.1</v>
      </c>
      <c r="M47" s="294">
        <v>844</v>
      </c>
      <c r="N47" s="394">
        <f>L47/M47</f>
        <v>0.86623222748815165</v>
      </c>
      <c r="O47" s="395"/>
      <c r="P47" s="396"/>
      <c r="Q47" s="395"/>
      <c r="R47" s="395"/>
      <c r="S47" s="397">
        <f>O47+P47+Q47+R47</f>
        <v>0</v>
      </c>
      <c r="T47" s="77">
        <v>1082</v>
      </c>
      <c r="U47" s="348">
        <f>S47/T47</f>
        <v>0</v>
      </c>
      <c r="V47" s="365"/>
      <c r="W47" s="77"/>
      <c r="X47" s="366"/>
      <c r="Y47" s="77"/>
      <c r="Z47" s="299"/>
      <c r="AA47" s="299">
        <v>1305</v>
      </c>
      <c r="AB47" s="911"/>
      <c r="AC47" s="389"/>
      <c r="AD47" s="389"/>
      <c r="AE47" s="398"/>
      <c r="AF47" s="388">
        <f>L47</f>
        <v>731.1</v>
      </c>
      <c r="AG47" s="389">
        <v>1305</v>
      </c>
      <c r="AH47" s="575">
        <f t="shared" si="54"/>
        <v>0.56022988505747129</v>
      </c>
      <c r="AI47" s="386"/>
      <c r="AJ47" s="76"/>
      <c r="AK47" s="69"/>
      <c r="AL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  <c r="CP47" s="69"/>
      <c r="CQ47" s="69"/>
      <c r="CR47" s="69"/>
    </row>
    <row r="48" spans="1:96" ht="14.5">
      <c r="A48" s="170" t="s">
        <v>43</v>
      </c>
      <c r="B48" s="399"/>
      <c r="C48" s="399"/>
      <c r="D48" s="400"/>
      <c r="E48" s="399"/>
      <c r="F48" s="399"/>
      <c r="G48" s="257"/>
      <c r="H48" s="257"/>
      <c r="I48" s="257"/>
      <c r="J48" s="401"/>
      <c r="K48" s="257"/>
      <c r="L48" s="402"/>
      <c r="M48" s="402"/>
      <c r="N48" s="252"/>
      <c r="O48" s="368"/>
      <c r="P48" s="368"/>
      <c r="Q48" s="368"/>
      <c r="R48" s="152">
        <v>529</v>
      </c>
      <c r="S48" s="252"/>
      <c r="T48" s="252"/>
      <c r="U48" s="252"/>
      <c r="V48" s="403"/>
      <c r="W48" s="404"/>
      <c r="X48" s="905"/>
      <c r="Y48" s="405"/>
      <c r="Z48" s="211"/>
      <c r="AA48" s="585"/>
      <c r="AB48" s="414"/>
      <c r="AC48" s="406"/>
      <c r="AD48" s="406"/>
      <c r="AE48" s="406"/>
      <c r="AF48" s="368"/>
      <c r="AG48" s="368"/>
      <c r="AH48" s="368"/>
      <c r="AI48" s="386"/>
      <c r="AJ48" s="76"/>
      <c r="AK48" s="69"/>
      <c r="AL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  <c r="CP48" s="69"/>
      <c r="CQ48" s="69"/>
      <c r="CR48" s="69"/>
    </row>
    <row r="49" spans="1:96" ht="14.5">
      <c r="A49" s="170" t="s">
        <v>44</v>
      </c>
      <c r="B49" s="399"/>
      <c r="C49" s="399"/>
      <c r="D49" s="400"/>
      <c r="E49" s="399"/>
      <c r="F49" s="399"/>
      <c r="G49" s="257"/>
      <c r="H49" s="257"/>
      <c r="I49" s="257"/>
      <c r="J49" s="401"/>
      <c r="K49" s="257"/>
      <c r="L49" s="402"/>
      <c r="M49" s="402"/>
      <c r="N49" s="252"/>
      <c r="O49" s="368"/>
      <c r="P49" s="368"/>
      <c r="Q49" s="368"/>
      <c r="R49" s="152">
        <v>277</v>
      </c>
      <c r="S49" s="252"/>
      <c r="T49" s="252"/>
      <c r="U49" s="252"/>
      <c r="V49" s="403"/>
      <c r="W49" s="405"/>
      <c r="X49" s="905"/>
      <c r="Y49" s="405"/>
      <c r="Z49" s="211"/>
      <c r="AA49" s="585"/>
      <c r="AB49" s="414"/>
      <c r="AC49" s="406"/>
      <c r="AD49" s="406"/>
      <c r="AE49" s="406"/>
      <c r="AF49" s="368"/>
      <c r="AG49" s="368"/>
      <c r="AH49" s="368"/>
      <c r="AI49" s="386"/>
      <c r="AJ49" s="76"/>
      <c r="AK49" s="69"/>
      <c r="AL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69"/>
      <c r="CI49" s="69"/>
      <c r="CJ49" s="69"/>
      <c r="CK49" s="69"/>
      <c r="CL49" s="69"/>
      <c r="CM49" s="69"/>
      <c r="CN49" s="69"/>
      <c r="CO49" s="69"/>
      <c r="CP49" s="69"/>
      <c r="CQ49" s="69"/>
      <c r="CR49" s="69"/>
    </row>
    <row r="50" spans="1:96" ht="14.5">
      <c r="A50" s="170" t="s">
        <v>45</v>
      </c>
      <c r="B50" s="399"/>
      <c r="C50" s="399"/>
      <c r="D50" s="400"/>
      <c r="E50" s="399"/>
      <c r="F50" s="399"/>
      <c r="G50" s="257"/>
      <c r="H50" s="257"/>
      <c r="I50" s="257"/>
      <c r="J50" s="401"/>
      <c r="K50" s="257"/>
      <c r="L50" s="402"/>
      <c r="M50" s="402"/>
      <c r="N50" s="252"/>
      <c r="O50" s="368"/>
      <c r="P50" s="368"/>
      <c r="Q50" s="368"/>
      <c r="R50" s="152">
        <v>400</v>
      </c>
      <c r="S50" s="252"/>
      <c r="T50" s="252"/>
      <c r="U50" s="252"/>
      <c r="V50" s="403"/>
      <c r="W50" s="405"/>
      <c r="X50" s="905"/>
      <c r="Y50" s="405"/>
      <c r="Z50" s="211"/>
      <c r="AA50" s="585"/>
      <c r="AB50" s="414"/>
      <c r="AC50" s="406"/>
      <c r="AD50" s="406"/>
      <c r="AE50" s="406"/>
      <c r="AF50" s="368"/>
      <c r="AG50" s="368"/>
      <c r="AH50" s="368"/>
      <c r="AI50" s="386"/>
      <c r="AJ50" s="76"/>
      <c r="AK50" s="69"/>
      <c r="AL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69"/>
      <c r="BI50" s="69"/>
      <c r="BJ50" s="69"/>
      <c r="BK50" s="69"/>
      <c r="BL50" s="69"/>
      <c r="BM50" s="69"/>
      <c r="BN50" s="69"/>
      <c r="BO50" s="69"/>
      <c r="BP50" s="69"/>
      <c r="BQ50" s="69"/>
      <c r="BR50" s="69"/>
      <c r="BS50" s="69"/>
      <c r="BT50" s="69"/>
      <c r="BU50" s="69"/>
      <c r="BV50" s="69"/>
      <c r="BW50" s="69"/>
      <c r="BX50" s="69"/>
      <c r="BY50" s="69"/>
      <c r="BZ50" s="69"/>
      <c r="CA50" s="69"/>
      <c r="CB50" s="69"/>
      <c r="CC50" s="69"/>
      <c r="CD50" s="69"/>
      <c r="CE50" s="69"/>
      <c r="CF50" s="69"/>
      <c r="CG50" s="69"/>
      <c r="CH50" s="69"/>
      <c r="CI50" s="69"/>
      <c r="CJ50" s="69"/>
      <c r="CK50" s="69"/>
      <c r="CL50" s="69"/>
      <c r="CM50" s="69"/>
      <c r="CN50" s="69"/>
      <c r="CO50" s="69"/>
      <c r="CP50" s="69"/>
      <c r="CQ50" s="69"/>
      <c r="CR50" s="69"/>
    </row>
    <row r="51" spans="1:96" ht="14.5">
      <c r="A51" s="170" t="s">
        <v>46</v>
      </c>
      <c r="B51" s="399"/>
      <c r="C51" s="399"/>
      <c r="D51" s="400"/>
      <c r="E51" s="399"/>
      <c r="F51" s="399"/>
      <c r="G51" s="257"/>
      <c r="H51" s="257"/>
      <c r="I51" s="257"/>
      <c r="J51" s="401"/>
      <c r="K51" s="257"/>
      <c r="L51" s="402"/>
      <c r="M51" s="402"/>
      <c r="N51" s="252"/>
      <c r="O51" s="368"/>
      <c r="P51" s="368"/>
      <c r="Q51" s="368"/>
      <c r="R51" s="152">
        <v>337</v>
      </c>
      <c r="S51" s="252"/>
      <c r="T51" s="252"/>
      <c r="U51" s="252"/>
      <c r="V51" s="403"/>
      <c r="W51" s="405"/>
      <c r="X51" s="905"/>
      <c r="Y51" s="405"/>
      <c r="Z51" s="211"/>
      <c r="AA51" s="585"/>
      <c r="AB51" s="414"/>
      <c r="AC51" s="406"/>
      <c r="AD51" s="406"/>
      <c r="AE51" s="406"/>
      <c r="AF51" s="368"/>
      <c r="AG51" s="368"/>
      <c r="AH51" s="368"/>
      <c r="AI51" s="386"/>
      <c r="AJ51" s="76"/>
      <c r="AK51" s="69"/>
      <c r="AL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  <c r="CP51" s="69"/>
      <c r="CQ51" s="69"/>
      <c r="CR51" s="69"/>
    </row>
    <row r="52" spans="1:96" ht="27" customHeight="1">
      <c r="A52" s="410" t="s">
        <v>62</v>
      </c>
      <c r="B52" s="302"/>
      <c r="C52" s="302"/>
      <c r="D52" s="411"/>
      <c r="E52" s="302"/>
      <c r="F52" s="302"/>
      <c r="G52" s="412"/>
      <c r="H52" s="412"/>
      <c r="I52" s="412"/>
      <c r="J52" s="413"/>
      <c r="K52" s="412"/>
      <c r="L52" s="211"/>
      <c r="M52" s="211"/>
      <c r="N52" s="219"/>
      <c r="O52" s="411"/>
      <c r="P52" s="411"/>
      <c r="Q52" s="411"/>
      <c r="R52" s="411"/>
      <c r="S52" s="86"/>
      <c r="T52" s="412"/>
      <c r="U52" s="219"/>
      <c r="V52" s="285"/>
      <c r="W52" s="412"/>
      <c r="X52" s="413"/>
      <c r="Y52" s="412"/>
      <c r="Z52" s="211"/>
      <c r="AA52" s="211">
        <v>1</v>
      </c>
      <c r="AB52" s="414"/>
      <c r="AC52" s="411"/>
      <c r="AD52" s="411"/>
      <c r="AE52" s="411"/>
      <c r="AF52" s="411"/>
      <c r="AG52" s="302">
        <v>1</v>
      </c>
      <c r="AH52" s="411"/>
      <c r="AI52" s="386"/>
      <c r="AJ52" s="76"/>
      <c r="AK52" s="69"/>
      <c r="AL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9"/>
      <c r="CI52" s="69"/>
      <c r="CJ52" s="69"/>
      <c r="CK52" s="69"/>
      <c r="CL52" s="69"/>
      <c r="CM52" s="69"/>
      <c r="CN52" s="69"/>
      <c r="CO52" s="69"/>
      <c r="CP52" s="69"/>
      <c r="CQ52" s="69"/>
      <c r="CR52" s="69"/>
    </row>
    <row r="53" spans="1:96" ht="27" customHeight="1">
      <c r="A53" s="416" t="s">
        <v>63</v>
      </c>
      <c r="B53" s="417"/>
      <c r="C53" s="418"/>
      <c r="D53" s="419"/>
      <c r="E53" s="417"/>
      <c r="F53" s="418"/>
      <c r="G53" s="420"/>
      <c r="H53" s="421"/>
      <c r="I53" s="422"/>
      <c r="J53" s="423"/>
      <c r="K53" s="422"/>
      <c r="L53" s="424"/>
      <c r="M53" s="424"/>
      <c r="N53" s="425"/>
      <c r="O53" s="368"/>
      <c r="P53" s="368"/>
      <c r="Q53" s="368"/>
      <c r="R53" s="368"/>
      <c r="S53" s="426">
        <f t="shared" ref="S53:S54" si="56">O53+P53+Q53+R53</f>
        <v>0</v>
      </c>
      <c r="T53" s="405" t="s">
        <v>64</v>
      </c>
      <c r="U53" s="252"/>
      <c r="V53" s="427"/>
      <c r="W53" s="428"/>
      <c r="X53" s="429"/>
      <c r="Y53" s="428"/>
      <c r="Z53" s="430"/>
      <c r="AA53" s="431">
        <v>0.9</v>
      </c>
      <c r="AB53" s="414">
        <f t="shared" ref="AB53:AB54" si="57">Z53/AA53</f>
        <v>0</v>
      </c>
      <c r="AC53" s="406"/>
      <c r="AD53" s="406"/>
      <c r="AE53" s="406"/>
      <c r="AF53" s="565">
        <f t="shared" ref="AF53:AG53" si="58">+S53</f>
        <v>0</v>
      </c>
      <c r="AG53" s="368" t="str">
        <f t="shared" si="58"/>
        <v>LB</v>
      </c>
      <c r="AH53" s="364" t="e">
        <f t="shared" ref="AH53:AH54" si="59">+AF53/AG53</f>
        <v>#VALUE!</v>
      </c>
      <c r="AI53" s="76"/>
      <c r="AJ53" s="76"/>
      <c r="AK53" s="69"/>
      <c r="AL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  <c r="CP53" s="69"/>
      <c r="CQ53" s="69"/>
      <c r="CR53" s="69"/>
    </row>
    <row r="54" spans="1:96" ht="27" customHeight="1">
      <c r="A54" s="432" t="s">
        <v>65</v>
      </c>
      <c r="B54" s="433"/>
      <c r="C54" s="434"/>
      <c r="D54" s="435"/>
      <c r="E54" s="433"/>
      <c r="F54" s="434"/>
      <c r="G54" s="436"/>
      <c r="H54" s="437"/>
      <c r="I54" s="438"/>
      <c r="J54" s="439"/>
      <c r="K54" s="438"/>
      <c r="L54" s="440"/>
      <c r="M54" s="440"/>
      <c r="N54" s="441"/>
      <c r="O54" s="442"/>
      <c r="P54" s="442"/>
      <c r="Q54" s="442"/>
      <c r="R54" s="442"/>
      <c r="S54" s="443">
        <f t="shared" si="56"/>
        <v>0</v>
      </c>
      <c r="T54" s="444" t="s">
        <v>64</v>
      </c>
      <c r="U54" s="445"/>
      <c r="V54" s="446">
        <v>1</v>
      </c>
      <c r="W54" s="438"/>
      <c r="X54" s="439"/>
      <c r="Y54" s="438"/>
      <c r="Z54" s="447">
        <f>V54</f>
        <v>1</v>
      </c>
      <c r="AA54" s="448">
        <v>0.9</v>
      </c>
      <c r="AB54" s="449">
        <f t="shared" si="57"/>
        <v>1.1111111111111112</v>
      </c>
      <c r="AC54" s="450"/>
      <c r="AD54" s="450"/>
      <c r="AE54" s="450"/>
      <c r="AF54" s="912">
        <f t="shared" ref="AF54:AG54" si="60">+Z54</f>
        <v>1</v>
      </c>
      <c r="AG54" s="376">
        <f t="shared" si="60"/>
        <v>0.9</v>
      </c>
      <c r="AH54" s="451">
        <f t="shared" si="59"/>
        <v>1.1111111111111112</v>
      </c>
      <c r="AI54" s="386"/>
      <c r="AJ54" s="76"/>
      <c r="AK54" s="69"/>
      <c r="AL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  <c r="CP54" s="69"/>
      <c r="CQ54" s="69"/>
      <c r="CR54" s="69"/>
    </row>
    <row r="55" spans="1:96" ht="12.75" customHeight="1">
      <c r="A55" s="452" t="s">
        <v>66</v>
      </c>
      <c r="B55" s="453"/>
      <c r="C55" s="454"/>
      <c r="D55" s="455"/>
      <c r="E55" s="453"/>
      <c r="F55" s="454"/>
      <c r="G55" s="456"/>
      <c r="H55" s="457"/>
      <c r="I55" s="458"/>
      <c r="J55" s="459"/>
      <c r="K55" s="458"/>
      <c r="L55" s="460"/>
      <c r="M55" s="460"/>
      <c r="N55" s="461"/>
      <c r="O55" s="462"/>
      <c r="P55" s="462"/>
      <c r="Q55" s="462"/>
      <c r="R55" s="462">
        <v>1</v>
      </c>
      <c r="S55" s="405">
        <f t="shared" ref="S55:S58" si="61">R55+Q55+P55+O55</f>
        <v>1</v>
      </c>
      <c r="T55" s="405">
        <v>1</v>
      </c>
      <c r="U55" s="463">
        <f t="shared" ref="U55:U58" si="62">S55/T55</f>
        <v>1</v>
      </c>
      <c r="V55" s="457"/>
      <c r="W55" s="458"/>
      <c r="X55" s="459"/>
      <c r="Y55" s="458"/>
      <c r="Z55" s="460"/>
      <c r="AA55" s="460"/>
      <c r="AB55" s="461"/>
      <c r="AC55" s="464"/>
      <c r="AD55" s="464"/>
      <c r="AE55" s="464"/>
      <c r="AF55" s="465">
        <f t="shared" ref="AF55:AF56" si="63">S55</f>
        <v>1</v>
      </c>
      <c r="AG55" s="466">
        <v>1</v>
      </c>
      <c r="AH55" s="467">
        <f t="shared" ref="AH55:AH58" si="64">AF55/AG55</f>
        <v>1</v>
      </c>
      <c r="AI55" s="35"/>
      <c r="AJ55" s="35"/>
      <c r="AK55" s="69"/>
      <c r="AL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  <c r="CP55" s="69"/>
      <c r="CQ55" s="69"/>
      <c r="CR55" s="69"/>
    </row>
    <row r="56" spans="1:96" ht="12.75" customHeight="1">
      <c r="A56" s="468" t="s">
        <v>67</v>
      </c>
      <c r="B56" s="469"/>
      <c r="C56" s="470"/>
      <c r="D56" s="471"/>
      <c r="E56" s="469"/>
      <c r="F56" s="470"/>
      <c r="G56" s="472"/>
      <c r="H56" s="473"/>
      <c r="I56" s="474"/>
      <c r="J56" s="475"/>
      <c r="K56" s="474"/>
      <c r="L56" s="260"/>
      <c r="M56" s="260"/>
      <c r="N56" s="476"/>
      <c r="O56" s="462"/>
      <c r="P56" s="462"/>
      <c r="Q56" s="462"/>
      <c r="R56" s="462">
        <v>1</v>
      </c>
      <c r="S56" s="405">
        <f t="shared" si="61"/>
        <v>1</v>
      </c>
      <c r="T56" s="405">
        <v>1</v>
      </c>
      <c r="U56" s="463">
        <f t="shared" si="62"/>
        <v>1</v>
      </c>
      <c r="W56" s="474"/>
      <c r="X56" s="475"/>
      <c r="Y56" s="474"/>
      <c r="Z56" s="260"/>
      <c r="AA56" s="260"/>
      <c r="AB56" s="476"/>
      <c r="AC56" s="464"/>
      <c r="AD56" s="464"/>
      <c r="AE56" s="464"/>
      <c r="AF56" s="465">
        <f t="shared" si="63"/>
        <v>1</v>
      </c>
      <c r="AG56" s="466">
        <v>1</v>
      </c>
      <c r="AH56" s="467">
        <f t="shared" si="64"/>
        <v>1</v>
      </c>
      <c r="AI56" s="35"/>
      <c r="AJ56" s="35"/>
      <c r="AK56" s="69"/>
      <c r="AL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69"/>
      <c r="CA56" s="69"/>
      <c r="CB56" s="69"/>
      <c r="CC56" s="69"/>
      <c r="CD56" s="69"/>
      <c r="CE56" s="69"/>
      <c r="CF56" s="69"/>
      <c r="CG56" s="69"/>
      <c r="CH56" s="69"/>
      <c r="CI56" s="69"/>
      <c r="CJ56" s="69"/>
      <c r="CK56" s="69"/>
      <c r="CL56" s="69"/>
      <c r="CM56" s="69"/>
      <c r="CN56" s="69"/>
      <c r="CO56" s="69"/>
      <c r="CP56" s="69"/>
      <c r="CQ56" s="69"/>
      <c r="CR56" s="69"/>
    </row>
    <row r="57" spans="1:96" ht="12.75" customHeight="1">
      <c r="A57" s="468" t="s">
        <v>68</v>
      </c>
      <c r="B57" s="453"/>
      <c r="C57" s="454"/>
      <c r="D57" s="455"/>
      <c r="E57" s="453"/>
      <c r="F57" s="454"/>
      <c r="G57" s="456"/>
      <c r="H57" s="457"/>
      <c r="I57" s="458"/>
      <c r="J57" s="459"/>
      <c r="K57" s="458"/>
      <c r="L57" s="460"/>
      <c r="M57" s="460"/>
      <c r="N57" s="461"/>
      <c r="O57" s="462">
        <v>170</v>
      </c>
      <c r="P57" s="462"/>
      <c r="Q57" s="477">
        <v>49.5</v>
      </c>
      <c r="R57" s="478">
        <v>21</v>
      </c>
      <c r="S57" s="405">
        <f t="shared" si="61"/>
        <v>240.5</v>
      </c>
      <c r="T57" s="405">
        <v>240</v>
      </c>
      <c r="U57" s="463">
        <f t="shared" si="62"/>
        <v>1.0020833333333334</v>
      </c>
      <c r="V57" s="477">
        <v>9.5</v>
      </c>
      <c r="W57" s="458">
        <v>186</v>
      </c>
      <c r="X57" s="459"/>
      <c r="Y57" s="458"/>
      <c r="Z57" s="460">
        <f t="shared" ref="Z57:Z58" si="65">V57+W57+X57+Y57</f>
        <v>195.5</v>
      </c>
      <c r="AA57" s="460">
        <v>236</v>
      </c>
      <c r="AB57" s="461">
        <f t="shared" ref="AB57:AB58" si="66">Z57/AA57</f>
        <v>0.82838983050847459</v>
      </c>
      <c r="AC57" s="464"/>
      <c r="AD57" s="464"/>
      <c r="AE57" s="464"/>
      <c r="AF57" s="465">
        <f t="shared" ref="AF57:AF58" si="67">Z57+S57</f>
        <v>436</v>
      </c>
      <c r="AG57" s="466">
        <f t="shared" ref="AG57:AG58" si="68">AA57</f>
        <v>236</v>
      </c>
      <c r="AH57" s="467">
        <f t="shared" si="64"/>
        <v>1.847457627118644</v>
      </c>
      <c r="AI57" s="35"/>
      <c r="AJ57" s="35"/>
      <c r="AK57" s="69"/>
      <c r="AL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69"/>
      <c r="CI57" s="69"/>
      <c r="CJ57" s="69"/>
      <c r="CK57" s="69"/>
      <c r="CL57" s="69"/>
      <c r="CM57" s="69"/>
      <c r="CN57" s="69"/>
      <c r="CO57" s="69"/>
      <c r="CP57" s="69"/>
      <c r="CQ57" s="69"/>
      <c r="CR57" s="69"/>
    </row>
    <row r="58" spans="1:96" ht="12.75" customHeight="1">
      <c r="A58" s="468" t="s">
        <v>69</v>
      </c>
      <c r="B58" s="453"/>
      <c r="C58" s="454"/>
      <c r="D58" s="455"/>
      <c r="E58" s="453"/>
      <c r="F58" s="454"/>
      <c r="G58" s="456"/>
      <c r="H58" s="457"/>
      <c r="I58" s="458"/>
      <c r="J58" s="459"/>
      <c r="K58" s="458"/>
      <c r="L58" s="460"/>
      <c r="M58" s="460"/>
      <c r="N58" s="461"/>
      <c r="O58" s="462"/>
      <c r="P58" s="462"/>
      <c r="Q58" s="462"/>
      <c r="R58" s="479"/>
      <c r="S58" s="405">
        <f t="shared" si="61"/>
        <v>0</v>
      </c>
      <c r="T58" s="405"/>
      <c r="U58" s="463" t="e">
        <f t="shared" si="62"/>
        <v>#DIV/0!</v>
      </c>
      <c r="V58" s="457"/>
      <c r="W58" s="458"/>
      <c r="X58" s="459">
        <v>397.9</v>
      </c>
      <c r="Y58" s="458"/>
      <c r="Z58" s="460">
        <f t="shared" si="65"/>
        <v>397.9</v>
      </c>
      <c r="AA58" s="460">
        <v>386</v>
      </c>
      <c r="AB58" s="461">
        <f t="shared" si="66"/>
        <v>1.0308290155440414</v>
      </c>
      <c r="AC58" s="464"/>
      <c r="AD58" s="464"/>
      <c r="AE58" s="464"/>
      <c r="AF58" s="465">
        <f t="shared" si="67"/>
        <v>397.9</v>
      </c>
      <c r="AG58" s="466">
        <f t="shared" si="68"/>
        <v>386</v>
      </c>
      <c r="AH58" s="467">
        <f t="shared" si="64"/>
        <v>1.0308290155440414</v>
      </c>
      <c r="AI58" s="35"/>
      <c r="AJ58" s="35"/>
      <c r="AK58" s="69"/>
      <c r="AL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  <c r="CP58" s="69"/>
      <c r="CQ58" s="69"/>
      <c r="CR58" s="69"/>
    </row>
    <row r="59" spans="1:96" ht="12.75" customHeight="1">
      <c r="A59" s="480" t="s">
        <v>70</v>
      </c>
      <c r="B59" s="481"/>
      <c r="C59" s="482"/>
      <c r="D59" s="483"/>
      <c r="E59" s="481"/>
      <c r="F59" s="482"/>
      <c r="G59" s="484"/>
      <c r="H59" s="485"/>
      <c r="I59" s="486"/>
      <c r="J59" s="487"/>
      <c r="K59" s="486"/>
      <c r="L59" s="488"/>
      <c r="M59" s="488"/>
      <c r="N59" s="484"/>
      <c r="O59" s="489"/>
      <c r="P59" s="489"/>
      <c r="Q59" s="489"/>
      <c r="R59" s="489"/>
      <c r="S59" s="490">
        <f t="shared" ref="S59:S62" si="69">O59+P59+Q59+R59</f>
        <v>0</v>
      </c>
      <c r="T59" s="490"/>
      <c r="U59" s="491"/>
      <c r="V59" s="485"/>
      <c r="W59" s="486"/>
      <c r="X59" s="487"/>
      <c r="Y59" s="486"/>
      <c r="Z59" s="488"/>
      <c r="AA59" s="488"/>
      <c r="AB59" s="484"/>
      <c r="AC59" s="489"/>
      <c r="AD59" s="489"/>
      <c r="AE59" s="489"/>
      <c r="AF59" s="481"/>
      <c r="AG59" s="482"/>
      <c r="AH59" s="483"/>
      <c r="AI59" s="35"/>
      <c r="AJ59" s="35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69"/>
      <c r="BE59" s="69"/>
      <c r="BF59" s="69"/>
      <c r="BG59" s="69"/>
      <c r="BH59" s="69"/>
      <c r="BI59" s="69"/>
      <c r="BJ59" s="69"/>
      <c r="BK59" s="69"/>
      <c r="BL59" s="69"/>
      <c r="BM59" s="69"/>
      <c r="BN59" s="69"/>
      <c r="BO59" s="69"/>
      <c r="BP59" s="69"/>
      <c r="BQ59" s="69"/>
      <c r="BR59" s="69"/>
      <c r="BS59" s="69"/>
      <c r="BT59" s="69"/>
      <c r="BU59" s="69"/>
      <c r="BV59" s="69"/>
      <c r="BW59" s="69"/>
      <c r="BX59" s="69"/>
      <c r="BY59" s="69"/>
      <c r="BZ59" s="69"/>
      <c r="CA59" s="69"/>
      <c r="CB59" s="69"/>
      <c r="CC59" s="69"/>
      <c r="CD59" s="69"/>
      <c r="CE59" s="69"/>
      <c r="CF59" s="69"/>
      <c r="CG59" s="69"/>
      <c r="CH59" s="69"/>
      <c r="CI59" s="69"/>
      <c r="CJ59" s="69"/>
      <c r="CK59" s="69"/>
      <c r="CL59" s="69"/>
      <c r="CM59" s="69"/>
      <c r="CN59" s="69"/>
      <c r="CO59" s="69"/>
      <c r="CP59" s="69"/>
      <c r="CQ59" s="69"/>
      <c r="CR59" s="69"/>
    </row>
    <row r="60" spans="1:96" ht="12.75" customHeight="1">
      <c r="A60" s="492" t="s">
        <v>71</v>
      </c>
      <c r="B60" s="493"/>
      <c r="C60" s="494"/>
      <c r="D60" s="495"/>
      <c r="E60" s="496">
        <f t="shared" ref="E60:F60" si="70">+E61</f>
        <v>8</v>
      </c>
      <c r="F60" s="132">
        <f t="shared" si="70"/>
        <v>8</v>
      </c>
      <c r="G60" s="196">
        <v>1</v>
      </c>
      <c r="H60" s="361"/>
      <c r="I60" s="88"/>
      <c r="J60" s="497">
        <f>J61+J62</f>
        <v>1</v>
      </c>
      <c r="K60" s="88">
        <f>K61</f>
        <v>3</v>
      </c>
      <c r="L60" s="299">
        <f>H60+I60+J60+K60</f>
        <v>4</v>
      </c>
      <c r="M60" s="299">
        <v>3</v>
      </c>
      <c r="N60" s="159">
        <f t="shared" ref="N60:N61" si="71">+L60/M60</f>
        <v>1.3333333333333333</v>
      </c>
      <c r="O60" s="498"/>
      <c r="P60" s="498">
        <f>P61</f>
        <v>1</v>
      </c>
      <c r="Q60" s="498"/>
      <c r="R60" s="498">
        <f>R61</f>
        <v>1</v>
      </c>
      <c r="S60" s="296">
        <f t="shared" si="69"/>
        <v>2</v>
      </c>
      <c r="T60" s="88">
        <v>4</v>
      </c>
      <c r="U60" s="242">
        <f t="shared" ref="U60:U61" si="72">+S60/T60</f>
        <v>0.5</v>
      </c>
      <c r="V60" s="361">
        <f>V61+V62</f>
        <v>4</v>
      </c>
      <c r="W60" s="88"/>
      <c r="X60" s="497"/>
      <c r="Y60" s="88"/>
      <c r="Z60" s="299">
        <f t="shared" ref="Z60:Z62" si="73">V60+W60+X60+Y60</f>
        <v>4</v>
      </c>
      <c r="AA60" s="132">
        <f>AA61+AA62</f>
        <v>3</v>
      </c>
      <c r="AB60" s="499">
        <f t="shared" ref="AB60:AB64" si="74">+Z60/AA60</f>
        <v>1.3333333333333333</v>
      </c>
      <c r="AC60" s="132"/>
      <c r="AD60" s="132"/>
      <c r="AE60" s="132"/>
      <c r="AF60" s="500">
        <f>AF61+AF62</f>
        <v>18</v>
      </c>
      <c r="AG60" s="132">
        <v>17</v>
      </c>
      <c r="AH60" s="196">
        <f t="shared" ref="AH60:AH62" si="75">+AF60/AG60</f>
        <v>1.0588235294117647</v>
      </c>
      <c r="AI60" s="35"/>
      <c r="AJ60" s="35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  <c r="CP60" s="69"/>
      <c r="CQ60" s="69"/>
      <c r="CR60" s="69"/>
    </row>
    <row r="61" spans="1:96" ht="12.75" customHeight="1">
      <c r="A61" s="501" t="s">
        <v>37</v>
      </c>
      <c r="B61" s="191"/>
      <c r="C61" s="192"/>
      <c r="D61" s="193"/>
      <c r="E61" s="369">
        <v>8</v>
      </c>
      <c r="F61" s="69">
        <v>8</v>
      </c>
      <c r="G61" s="196">
        <v>1</v>
      </c>
      <c r="H61" s="365"/>
      <c r="I61" s="77"/>
      <c r="J61" s="366">
        <v>0</v>
      </c>
      <c r="K61" s="77">
        <v>3</v>
      </c>
      <c r="L61" s="299">
        <f>J61+K61</f>
        <v>3</v>
      </c>
      <c r="M61" s="299">
        <v>3</v>
      </c>
      <c r="N61" s="159">
        <f t="shared" si="71"/>
        <v>1</v>
      </c>
      <c r="O61" s="329"/>
      <c r="P61" s="329">
        <v>1</v>
      </c>
      <c r="Q61" s="329"/>
      <c r="R61" s="329">
        <v>1</v>
      </c>
      <c r="S61" s="296">
        <f t="shared" si="69"/>
        <v>2</v>
      </c>
      <c r="T61" s="77">
        <v>4</v>
      </c>
      <c r="U61" s="242">
        <f t="shared" si="72"/>
        <v>0.5</v>
      </c>
      <c r="V61" s="365">
        <v>3</v>
      </c>
      <c r="W61" s="77"/>
      <c r="X61" s="366"/>
      <c r="Y61" s="77"/>
      <c r="Z61" s="69">
        <f t="shared" si="73"/>
        <v>3</v>
      </c>
      <c r="AA61" s="69">
        <v>2</v>
      </c>
      <c r="AB61" s="414">
        <f t="shared" si="74"/>
        <v>1.5</v>
      </c>
      <c r="AC61" s="69"/>
      <c r="AD61" s="69"/>
      <c r="AE61" s="69"/>
      <c r="AF61" s="502">
        <f>Z61+S61+L61+E61</f>
        <v>16</v>
      </c>
      <c r="AG61" s="69">
        <v>15</v>
      </c>
      <c r="AH61" s="503">
        <f t="shared" si="75"/>
        <v>1.0666666666666667</v>
      </c>
      <c r="AI61" s="76"/>
      <c r="AJ61" s="76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  <c r="CP61" s="69"/>
      <c r="CQ61" s="69"/>
      <c r="CR61" s="69"/>
    </row>
    <row r="62" spans="1:96" ht="12.75" customHeight="1">
      <c r="A62" s="504" t="s">
        <v>40</v>
      </c>
      <c r="B62" s="224"/>
      <c r="C62" s="227"/>
      <c r="D62" s="505"/>
      <c r="E62" s="271"/>
      <c r="F62" s="272"/>
      <c r="G62" s="506"/>
      <c r="H62" s="507"/>
      <c r="I62" s="508"/>
      <c r="J62" s="509">
        <v>1</v>
      </c>
      <c r="K62" s="508"/>
      <c r="L62" s="211">
        <f>H62+I62+J62+K62</f>
        <v>1</v>
      </c>
      <c r="M62" s="510"/>
      <c r="N62" s="511" t="s">
        <v>72</v>
      </c>
      <c r="O62" s="415"/>
      <c r="P62" s="415"/>
      <c r="Q62" s="222"/>
      <c r="R62" s="415"/>
      <c r="S62" s="296">
        <f t="shared" si="69"/>
        <v>0</v>
      </c>
      <c r="T62" s="508">
        <v>1</v>
      </c>
      <c r="U62" s="88" t="s">
        <v>72</v>
      </c>
      <c r="V62" s="507">
        <v>1</v>
      </c>
      <c r="W62" s="508"/>
      <c r="X62" s="509"/>
      <c r="Y62" s="508"/>
      <c r="Z62" s="222">
        <f t="shared" si="73"/>
        <v>1</v>
      </c>
      <c r="AA62" s="913">
        <v>1</v>
      </c>
      <c r="AB62" s="414">
        <f t="shared" si="74"/>
        <v>1</v>
      </c>
      <c r="AC62" s="237"/>
      <c r="AD62" s="237"/>
      <c r="AE62" s="237"/>
      <c r="AF62" s="512">
        <f>L62+S62+Z62</f>
        <v>2</v>
      </c>
      <c r="AG62" s="69">
        <v>2</v>
      </c>
      <c r="AH62" s="189">
        <f t="shared" si="75"/>
        <v>1</v>
      </c>
      <c r="AI62" s="76"/>
      <c r="AJ62" s="76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  <c r="BY62" s="69"/>
      <c r="BZ62" s="69"/>
      <c r="CA62" s="69"/>
      <c r="CB62" s="69"/>
      <c r="CC62" s="69"/>
      <c r="CD62" s="69"/>
      <c r="CE62" s="69"/>
      <c r="CF62" s="69"/>
      <c r="CG62" s="69"/>
      <c r="CH62" s="69"/>
      <c r="CI62" s="69"/>
      <c r="CJ62" s="69"/>
      <c r="CK62" s="69"/>
      <c r="CL62" s="69"/>
      <c r="CM62" s="69"/>
      <c r="CN62" s="69"/>
      <c r="CO62" s="69"/>
      <c r="CP62" s="69"/>
      <c r="CQ62" s="69"/>
      <c r="CR62" s="69"/>
    </row>
    <row r="63" spans="1:96" ht="26.25" customHeight="1">
      <c r="A63" s="513" t="s">
        <v>73</v>
      </c>
      <c r="B63" s="496"/>
      <c r="C63" s="132"/>
      <c r="D63" s="112"/>
      <c r="E63" s="496"/>
      <c r="F63" s="132"/>
      <c r="G63" s="159"/>
      <c r="H63" s="361"/>
      <c r="I63" s="88"/>
      <c r="J63" s="497"/>
      <c r="K63" s="88"/>
      <c r="L63" s="298"/>
      <c r="M63" s="299"/>
      <c r="N63" s="159"/>
      <c r="O63" s="298"/>
      <c r="P63" s="298"/>
      <c r="Q63" s="298"/>
      <c r="R63" s="298"/>
      <c r="S63" s="514"/>
      <c r="T63" s="515"/>
      <c r="U63" s="242"/>
      <c r="V63" s="361"/>
      <c r="W63" s="88"/>
      <c r="X63" s="497"/>
      <c r="Y63" s="88"/>
      <c r="Z63" s="298"/>
      <c r="AA63" s="516">
        <v>109</v>
      </c>
      <c r="AB63" s="414">
        <f t="shared" si="74"/>
        <v>0</v>
      </c>
      <c r="AC63" s="517"/>
      <c r="AD63" s="517"/>
      <c r="AE63" s="517"/>
      <c r="AF63" s="518"/>
      <c r="AG63" s="169"/>
      <c r="AH63" s="189"/>
      <c r="AI63" s="519"/>
      <c r="AJ63" s="519"/>
      <c r="AK63" s="152"/>
      <c r="AL63" s="152"/>
      <c r="AM63" s="152"/>
      <c r="AN63" s="152"/>
      <c r="AO63" s="152"/>
      <c r="AP63" s="152"/>
      <c r="AQ63" s="152"/>
      <c r="AR63" s="152"/>
      <c r="AS63" s="152"/>
      <c r="AT63" s="152"/>
      <c r="AU63" s="152"/>
      <c r="AV63" s="152"/>
      <c r="AW63" s="152"/>
      <c r="AX63" s="152"/>
      <c r="AY63" s="152"/>
      <c r="AZ63" s="152"/>
      <c r="BA63" s="152"/>
      <c r="BB63" s="152"/>
      <c r="BC63" s="152"/>
      <c r="BD63" s="152"/>
      <c r="BE63" s="152"/>
      <c r="BF63" s="152"/>
      <c r="BG63" s="152"/>
      <c r="BH63" s="152"/>
      <c r="BI63" s="152"/>
      <c r="BJ63" s="152"/>
      <c r="BK63" s="152"/>
      <c r="BL63" s="152"/>
      <c r="BM63" s="152"/>
      <c r="BN63" s="152"/>
      <c r="BO63" s="152"/>
      <c r="BP63" s="152"/>
      <c r="BQ63" s="152"/>
      <c r="BR63" s="152"/>
      <c r="BS63" s="152"/>
      <c r="BT63" s="152"/>
      <c r="BU63" s="152"/>
      <c r="BV63" s="152"/>
      <c r="BW63" s="152"/>
      <c r="BX63" s="152"/>
      <c r="BY63" s="152"/>
      <c r="BZ63" s="152"/>
      <c r="CA63" s="152"/>
      <c r="CB63" s="152"/>
      <c r="CC63" s="152"/>
      <c r="CD63" s="152"/>
      <c r="CE63" s="152"/>
      <c r="CF63" s="152"/>
      <c r="CG63" s="152"/>
      <c r="CH63" s="152"/>
      <c r="CI63" s="152"/>
      <c r="CJ63" s="152"/>
      <c r="CK63" s="152"/>
      <c r="CL63" s="152"/>
      <c r="CM63" s="152"/>
      <c r="CN63" s="152"/>
      <c r="CO63" s="152"/>
      <c r="CP63" s="152"/>
      <c r="CQ63" s="152"/>
      <c r="CR63" s="152"/>
    </row>
    <row r="64" spans="1:96" ht="26.25" customHeight="1">
      <c r="A64" s="520" t="s">
        <v>74</v>
      </c>
      <c r="B64" s="354">
        <f t="shared" ref="B64:G64" si="76">+B65</f>
        <v>188</v>
      </c>
      <c r="C64" s="239">
        <f t="shared" si="76"/>
        <v>150</v>
      </c>
      <c r="D64" s="189">
        <f t="shared" si="76"/>
        <v>1.2533333333333334</v>
      </c>
      <c r="E64" s="354">
        <f t="shared" si="76"/>
        <v>254</v>
      </c>
      <c r="F64" s="239">
        <f t="shared" si="76"/>
        <v>250</v>
      </c>
      <c r="G64" s="182">
        <f t="shared" si="76"/>
        <v>1</v>
      </c>
      <c r="H64" s="355">
        <f t="shared" ref="H64:L64" si="77">+H65+H66+H67</f>
        <v>7</v>
      </c>
      <c r="I64" s="356">
        <f t="shared" si="77"/>
        <v>0</v>
      </c>
      <c r="J64" s="357">
        <f t="shared" si="77"/>
        <v>16</v>
      </c>
      <c r="K64" s="356">
        <f t="shared" si="77"/>
        <v>51</v>
      </c>
      <c r="L64" s="521">
        <f t="shared" si="77"/>
        <v>74</v>
      </c>
      <c r="M64" s="359">
        <f>+M65+M67</f>
        <v>72</v>
      </c>
      <c r="N64" s="182">
        <f t="shared" ref="N64:N65" si="78">+L64/M64</f>
        <v>1.0277777777777777</v>
      </c>
      <c r="O64" s="521">
        <f t="shared" ref="O64:R64" si="79">+O65+O66+O67</f>
        <v>70</v>
      </c>
      <c r="P64" s="521">
        <f t="shared" si="79"/>
        <v>44</v>
      </c>
      <c r="Q64" s="521">
        <f t="shared" si="79"/>
        <v>65</v>
      </c>
      <c r="R64" s="521">
        <f t="shared" si="79"/>
        <v>4</v>
      </c>
      <c r="S64" s="522">
        <f t="shared" ref="S64:S67" si="80">O64+P64+Q64+R64</f>
        <v>183</v>
      </c>
      <c r="T64" s="523">
        <f>T66+T67</f>
        <v>115</v>
      </c>
      <c r="U64" s="241">
        <f>+S64/T64</f>
        <v>1.5913043478260869</v>
      </c>
      <c r="V64" s="355"/>
      <c r="W64" s="356"/>
      <c r="X64" s="357"/>
      <c r="Y64" s="356"/>
      <c r="Z64" s="521">
        <f>Z65+Z66+Z67</f>
        <v>8</v>
      </c>
      <c r="AA64" s="524">
        <v>7</v>
      </c>
      <c r="AB64" s="499">
        <f t="shared" si="74"/>
        <v>1.1428571428571428</v>
      </c>
      <c r="AC64" s="525"/>
      <c r="AD64" s="260"/>
      <c r="AE64" s="260"/>
      <c r="AF64" s="526">
        <f t="shared" ref="AF64:AG64" si="81">+AF65+AF66+AF67</f>
        <v>713</v>
      </c>
      <c r="AG64" s="188">
        <f t="shared" si="81"/>
        <v>640</v>
      </c>
      <c r="AH64" s="189">
        <f t="shared" ref="AH64:AH70" si="82">+AF64/AG64</f>
        <v>1.1140625</v>
      </c>
      <c r="AI64" s="519"/>
      <c r="AJ64" s="519"/>
      <c r="AK64" s="152"/>
      <c r="AL64" s="152"/>
      <c r="AM64" s="152"/>
      <c r="AN64" s="152"/>
      <c r="AO64" s="152"/>
      <c r="AP64" s="152"/>
      <c r="AQ64" s="152"/>
      <c r="AR64" s="152"/>
      <c r="AS64" s="152"/>
      <c r="AT64" s="152"/>
      <c r="AU64" s="152"/>
      <c r="AV64" s="152"/>
      <c r="AW64" s="152"/>
      <c r="AX64" s="152"/>
      <c r="AY64" s="152"/>
      <c r="AZ64" s="152"/>
      <c r="BA64" s="152"/>
      <c r="BB64" s="152"/>
      <c r="BC64" s="152"/>
      <c r="BD64" s="152"/>
      <c r="BE64" s="152"/>
      <c r="BF64" s="152"/>
      <c r="BG64" s="152"/>
      <c r="BH64" s="152"/>
      <c r="BI64" s="152"/>
      <c r="BJ64" s="152"/>
      <c r="BK64" s="152"/>
      <c r="BL64" s="152"/>
      <c r="BM64" s="152"/>
      <c r="BN64" s="152"/>
      <c r="BO64" s="152"/>
      <c r="BP64" s="152"/>
      <c r="BQ64" s="152"/>
      <c r="BR64" s="152"/>
      <c r="BS64" s="152"/>
      <c r="BT64" s="152"/>
      <c r="BU64" s="152"/>
      <c r="BV64" s="152"/>
      <c r="BW64" s="152"/>
      <c r="BX64" s="152"/>
      <c r="BY64" s="152"/>
      <c r="BZ64" s="152"/>
      <c r="CA64" s="152"/>
      <c r="CB64" s="152"/>
      <c r="CC64" s="152"/>
      <c r="CD64" s="152"/>
      <c r="CE64" s="152"/>
      <c r="CF64" s="152"/>
      <c r="CG64" s="152"/>
      <c r="CH64" s="152"/>
      <c r="CI64" s="152"/>
      <c r="CJ64" s="152"/>
      <c r="CK64" s="152"/>
      <c r="CL64" s="152"/>
      <c r="CM64" s="152"/>
      <c r="CN64" s="152"/>
      <c r="CO64" s="152"/>
      <c r="CP64" s="152"/>
      <c r="CQ64" s="152"/>
      <c r="CR64" s="152"/>
    </row>
    <row r="65" spans="1:96" ht="14.25" customHeight="1">
      <c r="A65" s="501" t="s">
        <v>75</v>
      </c>
      <c r="B65" s="369">
        <v>188</v>
      </c>
      <c r="C65" s="69">
        <v>150</v>
      </c>
      <c r="D65" s="118">
        <v>1.2533333333333334</v>
      </c>
      <c r="E65" s="369">
        <v>254</v>
      </c>
      <c r="F65" s="69">
        <v>250</v>
      </c>
      <c r="G65" s="196">
        <v>1</v>
      </c>
      <c r="H65" s="365">
        <v>7</v>
      </c>
      <c r="I65" s="77">
        <v>0</v>
      </c>
      <c r="J65" s="366">
        <v>15</v>
      </c>
      <c r="K65" s="77">
        <v>20</v>
      </c>
      <c r="L65" s="298">
        <f t="shared" ref="L65:L67" si="83">+SUM(H65:K65)</f>
        <v>42</v>
      </c>
      <c r="M65" s="299">
        <v>62</v>
      </c>
      <c r="N65" s="196">
        <f t="shared" si="78"/>
        <v>0.67741935483870963</v>
      </c>
      <c r="O65" s="527"/>
      <c r="P65" s="528">
        <v>10</v>
      </c>
      <c r="Q65" s="528">
        <v>17</v>
      </c>
      <c r="R65" s="528"/>
      <c r="S65" s="529">
        <f t="shared" si="80"/>
        <v>27</v>
      </c>
      <c r="T65" s="474"/>
      <c r="U65" s="200">
        <v>1</v>
      </c>
      <c r="V65" s="365"/>
      <c r="W65" s="77"/>
      <c r="X65" s="366"/>
      <c r="Y65" s="77"/>
      <c r="Z65" s="69">
        <f t="shared" ref="Z65:Z67" si="84">V65+W65+X65+Y65</f>
        <v>0</v>
      </c>
      <c r="AA65" s="129" t="s">
        <v>39</v>
      </c>
      <c r="AB65" s="530"/>
      <c r="AC65" s="525"/>
      <c r="AD65" s="260"/>
      <c r="AE65" s="260"/>
      <c r="AF65" s="531">
        <f>B65+E65+L65+S65+Z65</f>
        <v>511</v>
      </c>
      <c r="AG65" s="69">
        <v>500</v>
      </c>
      <c r="AH65" s="532">
        <f t="shared" si="82"/>
        <v>1.022</v>
      </c>
      <c r="AI65" s="76"/>
      <c r="AJ65" s="76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69"/>
      <c r="CN65" s="69"/>
      <c r="CO65" s="69"/>
      <c r="CP65" s="69"/>
      <c r="CQ65" s="69"/>
      <c r="CR65" s="69"/>
    </row>
    <row r="66" spans="1:96" ht="12.75" customHeight="1">
      <c r="A66" s="501" t="s">
        <v>76</v>
      </c>
      <c r="B66" s="191"/>
      <c r="C66" s="192"/>
      <c r="D66" s="193"/>
      <c r="E66" s="259">
        <v>6</v>
      </c>
      <c r="F66" s="260"/>
      <c r="G66" s="472"/>
      <c r="H66" s="365">
        <v>0</v>
      </c>
      <c r="I66" s="77">
        <v>0</v>
      </c>
      <c r="J66" s="366">
        <v>1</v>
      </c>
      <c r="K66" s="77">
        <v>20</v>
      </c>
      <c r="L66" s="298">
        <f t="shared" si="83"/>
        <v>21</v>
      </c>
      <c r="M66" s="533">
        <v>0</v>
      </c>
      <c r="N66" s="534">
        <v>1</v>
      </c>
      <c r="O66" s="71">
        <v>70</v>
      </c>
      <c r="P66" s="51">
        <v>21</v>
      </c>
      <c r="Q66" s="329"/>
      <c r="R66" s="222">
        <v>4</v>
      </c>
      <c r="S66" s="514">
        <f t="shared" si="80"/>
        <v>95</v>
      </c>
      <c r="T66" s="412">
        <v>100</v>
      </c>
      <c r="U66" s="242">
        <f t="shared" ref="U66:U70" si="85">+S66/T66</f>
        <v>0.95</v>
      </c>
      <c r="V66" s="914">
        <v>8</v>
      </c>
      <c r="W66" s="77"/>
      <c r="X66" s="366"/>
      <c r="Y66" s="77"/>
      <c r="Z66" s="69">
        <f t="shared" si="84"/>
        <v>8</v>
      </c>
      <c r="AA66" s="129">
        <v>7</v>
      </c>
      <c r="AB66" s="414">
        <f>+Z66/AA66</f>
        <v>1.1428571428571428</v>
      </c>
      <c r="AC66" s="525"/>
      <c r="AD66" s="260"/>
      <c r="AE66" s="260"/>
      <c r="AF66" s="531">
        <f>S66+Z66+E66+L66</f>
        <v>130</v>
      </c>
      <c r="AG66" s="69">
        <v>100</v>
      </c>
      <c r="AH66" s="532">
        <f t="shared" si="82"/>
        <v>1.3</v>
      </c>
      <c r="AI66" s="76"/>
      <c r="AJ66" s="76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69"/>
      <c r="BI66" s="69"/>
      <c r="BJ66" s="69"/>
      <c r="BK66" s="69"/>
      <c r="BL66" s="69"/>
      <c r="BM66" s="69"/>
      <c r="BN66" s="69"/>
      <c r="BO66" s="69"/>
      <c r="BP66" s="69"/>
      <c r="BQ66" s="69"/>
      <c r="BR66" s="69"/>
      <c r="BS66" s="69"/>
      <c r="BT66" s="69"/>
      <c r="BU66" s="69"/>
      <c r="BV66" s="69"/>
      <c r="BW66" s="69"/>
      <c r="BX66" s="69"/>
      <c r="BY66" s="69"/>
      <c r="BZ66" s="69"/>
      <c r="CA66" s="69"/>
      <c r="CB66" s="69"/>
      <c r="CC66" s="69"/>
      <c r="CD66" s="69"/>
      <c r="CE66" s="69"/>
      <c r="CF66" s="69"/>
      <c r="CG66" s="69"/>
      <c r="CH66" s="69"/>
      <c r="CI66" s="69"/>
      <c r="CJ66" s="69"/>
      <c r="CK66" s="69"/>
      <c r="CL66" s="69"/>
      <c r="CM66" s="69"/>
      <c r="CN66" s="69"/>
      <c r="CO66" s="69"/>
      <c r="CP66" s="69"/>
      <c r="CQ66" s="69"/>
      <c r="CR66" s="69"/>
    </row>
    <row r="67" spans="1:96" ht="12.75" customHeight="1">
      <c r="A67" s="119" t="s">
        <v>77</v>
      </c>
      <c r="B67" s="224"/>
      <c r="C67" s="227"/>
      <c r="D67" s="505"/>
      <c r="E67" s="271"/>
      <c r="F67" s="272"/>
      <c r="G67" s="535"/>
      <c r="H67" s="536">
        <v>0</v>
      </c>
      <c r="I67" s="392">
        <v>0</v>
      </c>
      <c r="J67" s="393"/>
      <c r="K67" s="392">
        <v>11</v>
      </c>
      <c r="L67" s="293">
        <f t="shared" si="83"/>
        <v>11</v>
      </c>
      <c r="M67" s="294">
        <v>10</v>
      </c>
      <c r="N67" s="506">
        <f t="shared" ref="N67:N70" si="86">+L67/M67</f>
        <v>1.1000000000000001</v>
      </c>
      <c r="O67" s="537"/>
      <c r="P67" s="325">
        <v>13</v>
      </c>
      <c r="Q67" s="237">
        <v>48</v>
      </c>
      <c r="R67" s="537"/>
      <c r="S67" s="514">
        <f t="shared" si="80"/>
        <v>61</v>
      </c>
      <c r="T67" s="392">
        <v>15</v>
      </c>
      <c r="U67" s="280">
        <f t="shared" si="85"/>
        <v>4.0666666666666664</v>
      </c>
      <c r="V67" s="536"/>
      <c r="W67" s="392"/>
      <c r="X67" s="393"/>
      <c r="Y67" s="392"/>
      <c r="Z67" s="222">
        <f t="shared" si="84"/>
        <v>0</v>
      </c>
      <c r="AA67" s="538">
        <v>15</v>
      </c>
      <c r="AB67" s="539">
        <f t="shared" ref="AB67:AB70" si="87">Z67/AA67</f>
        <v>0</v>
      </c>
      <c r="AC67" s="235"/>
      <c r="AD67" s="235"/>
      <c r="AE67" s="235"/>
      <c r="AF67" s="236">
        <f t="shared" ref="AF67:AG67" si="88">+L67+S67+Z67</f>
        <v>72</v>
      </c>
      <c r="AG67" s="237">
        <f t="shared" si="88"/>
        <v>40</v>
      </c>
      <c r="AH67" s="131">
        <f t="shared" si="82"/>
        <v>1.8</v>
      </c>
      <c r="AI67" s="76"/>
      <c r="AJ67" s="76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  <c r="CP67" s="69"/>
      <c r="CQ67" s="69"/>
      <c r="CR67" s="69"/>
    </row>
    <row r="68" spans="1:96" ht="33.75" customHeight="1">
      <c r="A68" s="520" t="s">
        <v>78</v>
      </c>
      <c r="B68" s="177"/>
      <c r="C68" s="178"/>
      <c r="D68" s="179"/>
      <c r="E68" s="354">
        <v>25</v>
      </c>
      <c r="F68" s="239">
        <v>20</v>
      </c>
      <c r="G68" s="182">
        <v>1.25</v>
      </c>
      <c r="H68" s="540"/>
      <c r="I68" s="523"/>
      <c r="J68" s="541"/>
      <c r="K68" s="356">
        <f>K69+K70</f>
        <v>42</v>
      </c>
      <c r="L68" s="359">
        <f t="shared" ref="L68:M68" si="89">+L69+L70</f>
        <v>42</v>
      </c>
      <c r="M68" s="359">
        <f t="shared" si="89"/>
        <v>38</v>
      </c>
      <c r="N68" s="182">
        <f t="shared" si="86"/>
        <v>1.1052631578947369</v>
      </c>
      <c r="O68" s="542"/>
      <c r="P68" s="542"/>
      <c r="Q68" s="380">
        <f t="shared" ref="Q68:R68" si="90">Q69+Q70</f>
        <v>92</v>
      </c>
      <c r="R68" s="380">
        <f t="shared" si="90"/>
        <v>58</v>
      </c>
      <c r="S68" s="380">
        <f t="shared" ref="S68:S70" si="91">R68</f>
        <v>58</v>
      </c>
      <c r="T68" s="356">
        <f>+T69+T70</f>
        <v>50</v>
      </c>
      <c r="U68" s="241">
        <f t="shared" si="85"/>
        <v>1.1599999999999999</v>
      </c>
      <c r="V68" s="540"/>
      <c r="W68" s="523"/>
      <c r="X68" s="541"/>
      <c r="Y68" s="356">
        <f t="shared" ref="Y68:Z68" si="92">Y69+Y70</f>
        <v>24</v>
      </c>
      <c r="Z68" s="359">
        <f t="shared" si="92"/>
        <v>24</v>
      </c>
      <c r="AA68" s="239">
        <f>+AA69+AA70</f>
        <v>40</v>
      </c>
      <c r="AB68" s="499">
        <f t="shared" si="87"/>
        <v>0.6</v>
      </c>
      <c r="AC68" s="239"/>
      <c r="AD68" s="239"/>
      <c r="AE68" s="239"/>
      <c r="AF68" s="384">
        <f t="shared" ref="AF68:AG68" si="93">+AF69+AF70</f>
        <v>58</v>
      </c>
      <c r="AG68" s="239">
        <f t="shared" si="93"/>
        <v>40</v>
      </c>
      <c r="AH68" s="385">
        <f t="shared" si="82"/>
        <v>1.45</v>
      </c>
      <c r="AI68" s="543"/>
      <c r="AJ68" s="223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32"/>
      <c r="BE68" s="132"/>
      <c r="BF68" s="132"/>
      <c r="BG68" s="132"/>
      <c r="BH68" s="132"/>
      <c r="BI68" s="132"/>
      <c r="BJ68" s="132"/>
      <c r="BK68" s="132"/>
      <c r="BL68" s="132"/>
      <c r="BM68" s="132"/>
      <c r="BN68" s="132"/>
      <c r="BO68" s="132"/>
      <c r="BP68" s="132"/>
      <c r="BQ68" s="132"/>
      <c r="BR68" s="132"/>
      <c r="BS68" s="132"/>
      <c r="BT68" s="132"/>
      <c r="BU68" s="132"/>
      <c r="BV68" s="132"/>
      <c r="BW68" s="132"/>
      <c r="BX68" s="132"/>
      <c r="BY68" s="132"/>
      <c r="BZ68" s="132"/>
      <c r="CA68" s="132"/>
      <c r="CB68" s="132"/>
      <c r="CC68" s="132"/>
      <c r="CD68" s="132"/>
      <c r="CE68" s="132"/>
      <c r="CF68" s="132"/>
      <c r="CG68" s="132"/>
      <c r="CH68" s="132"/>
      <c r="CI68" s="132"/>
      <c r="CJ68" s="132"/>
      <c r="CK68" s="132"/>
      <c r="CL68" s="132"/>
      <c r="CM68" s="132"/>
      <c r="CN68" s="132"/>
      <c r="CO68" s="132"/>
      <c r="CP68" s="132"/>
      <c r="CQ68" s="132"/>
      <c r="CR68" s="132"/>
    </row>
    <row r="69" spans="1:96" ht="12.75" customHeight="1">
      <c r="A69" s="501" t="s">
        <v>75</v>
      </c>
      <c r="B69" s="191"/>
      <c r="C69" s="192"/>
      <c r="D69" s="193"/>
      <c r="E69" s="369">
        <v>25</v>
      </c>
      <c r="F69" s="69">
        <v>20</v>
      </c>
      <c r="G69" s="196">
        <v>1.25</v>
      </c>
      <c r="H69" s="473"/>
      <c r="I69" s="474"/>
      <c r="J69" s="475"/>
      <c r="K69" s="77">
        <v>24</v>
      </c>
      <c r="L69" s="299">
        <f t="shared" ref="L69:L70" si="94">+K69</f>
        <v>24</v>
      </c>
      <c r="M69" s="299">
        <v>20</v>
      </c>
      <c r="N69" s="196">
        <f t="shared" si="86"/>
        <v>1.2</v>
      </c>
      <c r="O69" s="208"/>
      <c r="P69" s="208"/>
      <c r="Q69" s="69">
        <v>26</v>
      </c>
      <c r="R69" s="69">
        <v>26</v>
      </c>
      <c r="S69" s="544">
        <f t="shared" si="91"/>
        <v>26</v>
      </c>
      <c r="T69" s="77">
        <v>20</v>
      </c>
      <c r="U69" s="200">
        <f t="shared" si="85"/>
        <v>1.3</v>
      </c>
      <c r="V69" s="473"/>
      <c r="W69" s="474"/>
      <c r="X69" s="475"/>
      <c r="Y69" s="77"/>
      <c r="Z69" s="299"/>
      <c r="AA69" s="69">
        <v>20</v>
      </c>
      <c r="AB69" s="414">
        <f t="shared" si="87"/>
        <v>0</v>
      </c>
      <c r="AC69" s="69"/>
      <c r="AD69" s="69"/>
      <c r="AE69" s="69"/>
      <c r="AF69" s="545">
        <v>26</v>
      </c>
      <c r="AG69" s="69">
        <f t="shared" ref="AG69:AG70" si="95">+AA69</f>
        <v>20</v>
      </c>
      <c r="AH69" s="333">
        <f t="shared" si="82"/>
        <v>1.3</v>
      </c>
      <c r="AI69" s="386"/>
      <c r="AJ69" s="76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  <c r="CP69" s="69"/>
      <c r="CQ69" s="69"/>
      <c r="CR69" s="69"/>
    </row>
    <row r="70" spans="1:96" ht="12.75" customHeight="1">
      <c r="A70" s="546" t="s">
        <v>76</v>
      </c>
      <c r="B70" s="224"/>
      <c r="C70" s="227"/>
      <c r="D70" s="505"/>
      <c r="E70" s="271"/>
      <c r="F70" s="272"/>
      <c r="G70" s="535"/>
      <c r="H70" s="547"/>
      <c r="I70" s="548"/>
      <c r="J70" s="549"/>
      <c r="K70" s="392">
        <v>18</v>
      </c>
      <c r="L70" s="294">
        <f t="shared" si="94"/>
        <v>18</v>
      </c>
      <c r="M70" s="294">
        <v>18</v>
      </c>
      <c r="N70" s="506">
        <f t="shared" si="86"/>
        <v>1</v>
      </c>
      <c r="O70" s="537"/>
      <c r="P70" s="537"/>
      <c r="Q70" s="237">
        <v>66</v>
      </c>
      <c r="R70" s="237">
        <v>32</v>
      </c>
      <c r="S70" s="550">
        <f t="shared" si="91"/>
        <v>32</v>
      </c>
      <c r="T70" s="392">
        <v>30</v>
      </c>
      <c r="U70" s="280">
        <f t="shared" si="85"/>
        <v>1.0666666666666667</v>
      </c>
      <c r="V70" s="547"/>
      <c r="W70" s="548"/>
      <c r="X70" s="549"/>
      <c r="Y70" s="392">
        <v>24</v>
      </c>
      <c r="Z70" s="294">
        <f>Y70</f>
        <v>24</v>
      </c>
      <c r="AA70" s="237">
        <v>20</v>
      </c>
      <c r="AB70" s="414">
        <f t="shared" si="87"/>
        <v>1.2</v>
      </c>
      <c r="AC70" s="237"/>
      <c r="AD70" s="237"/>
      <c r="AE70" s="237"/>
      <c r="AF70" s="915">
        <f>S70</f>
        <v>32</v>
      </c>
      <c r="AG70" s="237">
        <f t="shared" si="95"/>
        <v>20</v>
      </c>
      <c r="AH70" s="552">
        <f t="shared" si="82"/>
        <v>1.6</v>
      </c>
      <c r="AI70" s="386"/>
      <c r="AJ70" s="76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69"/>
      <c r="CR70" s="69"/>
    </row>
    <row r="71" spans="1:96" ht="28.5" hidden="1" customHeight="1">
      <c r="A71" s="553" t="s">
        <v>79</v>
      </c>
      <c r="B71" s="554"/>
      <c r="C71" s="402"/>
      <c r="D71" s="555"/>
      <c r="E71" s="556"/>
      <c r="F71" s="517"/>
      <c r="G71" s="557"/>
      <c r="H71" s="558"/>
      <c r="I71" s="257"/>
      <c r="J71" s="401">
        <v>91</v>
      </c>
      <c r="K71" s="77">
        <v>83</v>
      </c>
      <c r="L71" s="299"/>
      <c r="M71" s="299"/>
      <c r="N71" s="196"/>
      <c r="O71" s="281"/>
      <c r="P71" s="281"/>
      <c r="Q71" s="281"/>
      <c r="R71" s="208"/>
      <c r="S71" s="544">
        <f t="shared" ref="S71:S73" si="96">O71+P71+Q71+R71</f>
        <v>0</v>
      </c>
      <c r="T71" s="77">
        <v>100</v>
      </c>
      <c r="U71" s="200"/>
      <c r="V71" s="558"/>
      <c r="W71" s="257"/>
      <c r="X71" s="401"/>
      <c r="Y71" s="77"/>
      <c r="Z71" s="299"/>
      <c r="AA71" s="299">
        <v>85</v>
      </c>
      <c r="AB71" s="196"/>
      <c r="AC71" s="69"/>
      <c r="AD71" s="69"/>
      <c r="AE71" s="69"/>
      <c r="AF71" s="369"/>
      <c r="AG71" s="69">
        <v>85</v>
      </c>
      <c r="AH71" s="118"/>
      <c r="AI71" s="76"/>
      <c r="AJ71" s="76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69"/>
      <c r="CI71" s="69"/>
      <c r="CJ71" s="69"/>
      <c r="CK71" s="69"/>
      <c r="CL71" s="69"/>
      <c r="CM71" s="69"/>
      <c r="CN71" s="69"/>
      <c r="CO71" s="69"/>
      <c r="CP71" s="69"/>
      <c r="CQ71" s="69"/>
      <c r="CR71" s="69"/>
    </row>
    <row r="72" spans="1:96" ht="36" hidden="1" customHeight="1">
      <c r="A72" s="559" t="s">
        <v>80</v>
      </c>
      <c r="B72" s="560"/>
      <c r="C72" s="406"/>
      <c r="D72" s="561"/>
      <c r="E72" s="560"/>
      <c r="F72" s="406"/>
      <c r="G72" s="270"/>
      <c r="H72" s="562"/>
      <c r="I72" s="204"/>
      <c r="J72" s="563"/>
      <c r="K72" s="204"/>
      <c r="L72" s="564"/>
      <c r="M72" s="564"/>
      <c r="N72" s="270"/>
      <c r="O72" s="406"/>
      <c r="P72" s="406"/>
      <c r="Q72" s="406"/>
      <c r="R72" s="368"/>
      <c r="S72" s="544">
        <f t="shared" si="96"/>
        <v>0</v>
      </c>
      <c r="T72" s="200"/>
      <c r="U72" s="200"/>
      <c r="V72" s="562"/>
      <c r="W72" s="204"/>
      <c r="X72" s="563"/>
      <c r="Y72" s="204"/>
      <c r="Z72" s="564"/>
      <c r="AA72" s="564"/>
      <c r="AB72" s="270"/>
      <c r="AC72" s="368"/>
      <c r="AD72" s="368"/>
      <c r="AE72" s="368"/>
      <c r="AF72" s="565"/>
      <c r="AG72" s="368"/>
      <c r="AH72" s="364"/>
      <c r="AI72" s="76"/>
      <c r="AJ72" s="76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9"/>
      <c r="CM72" s="69"/>
      <c r="CN72" s="69"/>
      <c r="CO72" s="69"/>
      <c r="CP72" s="69"/>
      <c r="CQ72" s="69"/>
      <c r="CR72" s="69"/>
    </row>
    <row r="73" spans="1:96" ht="36" hidden="1" customHeight="1">
      <c r="A73" s="566" t="s">
        <v>81</v>
      </c>
      <c r="B73" s="363">
        <v>117</v>
      </c>
      <c r="C73" s="406"/>
      <c r="D73" s="561"/>
      <c r="E73" s="560"/>
      <c r="F73" s="406"/>
      <c r="G73" s="270"/>
      <c r="H73" s="562"/>
      <c r="I73" s="204"/>
      <c r="J73" s="563"/>
      <c r="K73" s="204"/>
      <c r="L73" s="299">
        <v>126</v>
      </c>
      <c r="M73" s="299">
        <v>100</v>
      </c>
      <c r="N73" s="196"/>
      <c r="O73" s="406"/>
      <c r="P73" s="406"/>
      <c r="Q73" s="406"/>
      <c r="R73" s="368"/>
      <c r="S73" s="544">
        <f t="shared" si="96"/>
        <v>0</v>
      </c>
      <c r="T73" s="200"/>
      <c r="U73" s="200"/>
      <c r="V73" s="562"/>
      <c r="W73" s="204"/>
      <c r="X73" s="563"/>
      <c r="Y73" s="204"/>
      <c r="Z73" s="299"/>
      <c r="AA73" s="299"/>
      <c r="AB73" s="196"/>
      <c r="AC73" s="368"/>
      <c r="AD73" s="368"/>
      <c r="AE73" s="368"/>
      <c r="AF73" s="565"/>
      <c r="AG73" s="368"/>
      <c r="AH73" s="364"/>
      <c r="AI73" s="76"/>
      <c r="AJ73" s="76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  <c r="CP73" s="69"/>
      <c r="CQ73" s="69"/>
      <c r="CR73" s="69"/>
    </row>
    <row r="74" spans="1:96" ht="36" customHeight="1">
      <c r="A74" s="520" t="s">
        <v>82</v>
      </c>
      <c r="B74" s="567">
        <v>0.51</v>
      </c>
      <c r="C74" s="568">
        <v>0.5</v>
      </c>
      <c r="D74" s="118">
        <f t="shared" ref="D74:D75" si="97">+B74/C74</f>
        <v>1.02</v>
      </c>
      <c r="E74" s="567">
        <v>0.45</v>
      </c>
      <c r="F74" s="568">
        <v>0.5</v>
      </c>
      <c r="G74" s="247">
        <v>0.9</v>
      </c>
      <c r="H74" s="569">
        <v>0</v>
      </c>
      <c r="I74" s="570">
        <v>0</v>
      </c>
      <c r="J74" s="571">
        <v>0.56000000000000005</v>
      </c>
      <c r="K74" s="570">
        <v>0.67</v>
      </c>
      <c r="L74" s="378">
        <v>0.57999999999999996</v>
      </c>
      <c r="M74" s="378">
        <v>0.5</v>
      </c>
      <c r="N74" s="196">
        <f t="shared" ref="N74:N75" si="98">L74/M74</f>
        <v>1.1599999999999999</v>
      </c>
      <c r="O74" s="368">
        <f>66/O66</f>
        <v>0.94285714285714284</v>
      </c>
      <c r="P74" s="368">
        <f>(8+19+7)/P64</f>
        <v>0.77272727272727271</v>
      </c>
      <c r="Q74" s="368"/>
      <c r="R74" s="368"/>
      <c r="S74" s="241">
        <f>129/S64</f>
        <v>0.70491803278688525</v>
      </c>
      <c r="T74" s="241">
        <v>0.5</v>
      </c>
      <c r="U74" s="242">
        <f t="shared" ref="U74:U75" si="99">S74/T74</f>
        <v>1.4098360655737705</v>
      </c>
      <c r="V74" s="569"/>
      <c r="W74" s="570"/>
      <c r="X74" s="571"/>
      <c r="Y74" s="570"/>
      <c r="Z74" s="378">
        <f t="shared" ref="Z74:AA74" si="100">Z77</f>
        <v>0</v>
      </c>
      <c r="AA74" s="916">
        <f t="shared" si="100"/>
        <v>15</v>
      </c>
      <c r="AB74" s="572">
        <f>Z74/AA74</f>
        <v>0</v>
      </c>
      <c r="AC74" s="573"/>
      <c r="AD74" s="573"/>
      <c r="AE74" s="573"/>
      <c r="AF74" s="574">
        <f t="shared" ref="AF74:AF75" si="101">AVERAGE(Z74,S74,L74,E74,B74)</f>
        <v>0.44898360655737707</v>
      </c>
      <c r="AG74" s="568">
        <v>0.5</v>
      </c>
      <c r="AH74" s="575">
        <f t="shared" ref="AH74:AH79" si="102">+AF74/AG74</f>
        <v>0.89796721311475414</v>
      </c>
      <c r="AI74" s="386"/>
      <c r="AJ74" s="76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  <c r="CG74" s="69"/>
      <c r="CH74" s="69"/>
      <c r="CI74" s="69"/>
      <c r="CJ74" s="69"/>
      <c r="CK74" s="69"/>
      <c r="CL74" s="69"/>
      <c r="CM74" s="69"/>
      <c r="CN74" s="69"/>
      <c r="CO74" s="69"/>
      <c r="CP74" s="69"/>
      <c r="CQ74" s="69"/>
      <c r="CR74" s="69"/>
    </row>
    <row r="75" spans="1:96" ht="15.75" customHeight="1">
      <c r="A75" s="576" t="s">
        <v>83</v>
      </c>
      <c r="B75" s="567">
        <v>0.51</v>
      </c>
      <c r="C75" s="568">
        <v>0.5</v>
      </c>
      <c r="D75" s="118">
        <f t="shared" si="97"/>
        <v>1.02</v>
      </c>
      <c r="E75" s="567">
        <v>0.45</v>
      </c>
      <c r="F75" s="568">
        <v>0.5</v>
      </c>
      <c r="G75" s="247">
        <v>0.9</v>
      </c>
      <c r="H75" s="577"/>
      <c r="I75" s="252"/>
      <c r="J75" s="578"/>
      <c r="K75" s="252"/>
      <c r="L75" s="378">
        <v>0.57999999999999996</v>
      </c>
      <c r="M75" s="378">
        <v>0.5</v>
      </c>
      <c r="N75" s="196">
        <f t="shared" si="98"/>
        <v>1.1599999999999999</v>
      </c>
      <c r="O75" s="368"/>
      <c r="P75" s="368">
        <f>8/P65</f>
        <v>0.8</v>
      </c>
      <c r="Q75" s="368">
        <f>10/Q65</f>
        <v>0.58823529411764708</v>
      </c>
      <c r="R75" s="579"/>
      <c r="S75" s="580">
        <f>18/S65</f>
        <v>0.66666666666666663</v>
      </c>
      <c r="T75" s="200">
        <v>0.5</v>
      </c>
      <c r="U75" s="242">
        <f t="shared" si="99"/>
        <v>1.3333333333333333</v>
      </c>
      <c r="V75" s="577"/>
      <c r="W75" s="252"/>
      <c r="X75" s="578"/>
      <c r="Y75" s="252"/>
      <c r="Z75" s="564"/>
      <c r="AA75" s="564"/>
      <c r="AB75" s="270"/>
      <c r="AC75" s="579"/>
      <c r="AD75" s="579"/>
      <c r="AE75" s="579"/>
      <c r="AF75" s="367">
        <f t="shared" si="101"/>
        <v>0.55166666666666664</v>
      </c>
      <c r="AG75" s="368">
        <v>0.5</v>
      </c>
      <c r="AH75" s="377">
        <f t="shared" si="102"/>
        <v>1.1033333333333333</v>
      </c>
      <c r="AI75" s="386"/>
      <c r="AJ75" s="76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  <c r="CG75" s="69"/>
      <c r="CH75" s="69"/>
      <c r="CI75" s="69"/>
      <c r="CJ75" s="69"/>
      <c r="CK75" s="69"/>
      <c r="CL75" s="69"/>
      <c r="CM75" s="69"/>
      <c r="CN75" s="69"/>
      <c r="CO75" s="69"/>
      <c r="CP75" s="69"/>
      <c r="CQ75" s="69"/>
      <c r="CR75" s="69"/>
    </row>
    <row r="76" spans="1:96" ht="15.75" customHeight="1">
      <c r="A76" s="581" t="s">
        <v>84</v>
      </c>
      <c r="B76" s="582"/>
      <c r="C76" s="400"/>
      <c r="D76" s="583"/>
      <c r="E76" s="582"/>
      <c r="F76" s="400"/>
      <c r="G76" s="584"/>
      <c r="H76" s="577"/>
      <c r="I76" s="252"/>
      <c r="J76" s="578"/>
      <c r="K76" s="252"/>
      <c r="L76" s="585"/>
      <c r="M76" s="585"/>
      <c r="N76" s="584"/>
      <c r="O76" s="368">
        <f>66/O66</f>
        <v>0.94285714285714284</v>
      </c>
      <c r="P76" s="368">
        <f>19/P66</f>
        <v>0.90476190476190477</v>
      </c>
      <c r="Q76" s="579"/>
      <c r="R76" s="368">
        <v>1</v>
      </c>
      <c r="S76" s="580">
        <f>(66+19)/S66</f>
        <v>0.89473684210526316</v>
      </c>
      <c r="T76" s="200">
        <v>0.5</v>
      </c>
      <c r="U76" s="252"/>
      <c r="V76" s="577"/>
      <c r="W76" s="252"/>
      <c r="X76" s="578"/>
      <c r="Y76" s="252"/>
      <c r="Z76" s="585"/>
      <c r="AA76" s="585"/>
      <c r="AB76" s="584"/>
      <c r="AC76" s="579"/>
      <c r="AD76" s="579"/>
      <c r="AE76" s="579"/>
      <c r="AF76" s="367">
        <f>S76</f>
        <v>0.89473684210526316</v>
      </c>
      <c r="AG76" s="368">
        <v>0.5</v>
      </c>
      <c r="AH76" s="377">
        <f t="shared" si="102"/>
        <v>1.7894736842105263</v>
      </c>
      <c r="AI76" s="386"/>
      <c r="AJ76" s="76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  <c r="CP76" s="69"/>
      <c r="CQ76" s="69"/>
      <c r="CR76" s="69"/>
    </row>
    <row r="77" spans="1:96" ht="15.75" customHeight="1">
      <c r="A77" s="586" t="s">
        <v>85</v>
      </c>
      <c r="B77" s="587"/>
      <c r="C77" s="588"/>
      <c r="D77" s="589"/>
      <c r="E77" s="587"/>
      <c r="F77" s="588"/>
      <c r="G77" s="590"/>
      <c r="H77" s="591"/>
      <c r="I77" s="592"/>
      <c r="J77" s="593"/>
      <c r="K77" s="592">
        <v>6</v>
      </c>
      <c r="L77" s="594">
        <f>K77</f>
        <v>6</v>
      </c>
      <c r="M77" s="594" t="s">
        <v>39</v>
      </c>
      <c r="N77" s="595">
        <v>1</v>
      </c>
      <c r="O77" s="596"/>
      <c r="P77" s="596">
        <f>7</f>
        <v>7</v>
      </c>
      <c r="Q77" s="596">
        <v>19</v>
      </c>
      <c r="R77" s="596">
        <v>0</v>
      </c>
      <c r="S77" s="597">
        <f>O77+P77+Q77+R77</f>
        <v>26</v>
      </c>
      <c r="T77" s="550">
        <v>15</v>
      </c>
      <c r="U77" s="242">
        <f>S77/T77</f>
        <v>1.7333333333333334</v>
      </c>
      <c r="V77" s="598"/>
      <c r="W77" s="599"/>
      <c r="X77" s="600"/>
      <c r="Y77" s="599"/>
      <c r="Z77" s="601"/>
      <c r="AA77" s="602">
        <v>15</v>
      </c>
      <c r="AB77" s="603"/>
      <c r="AC77" s="596"/>
      <c r="AD77" s="596"/>
      <c r="AE77" s="596"/>
      <c r="AF77" s="604">
        <f>+S77+Z77+L77</f>
        <v>32</v>
      </c>
      <c r="AG77" s="596">
        <f>+T77+AA77</f>
        <v>30</v>
      </c>
      <c r="AH77" s="390">
        <f t="shared" si="102"/>
        <v>1.0666666666666667</v>
      </c>
      <c r="AI77" s="605"/>
      <c r="AJ77" s="606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70"/>
      <c r="CM77" s="70"/>
      <c r="CN77" s="70"/>
      <c r="CO77" s="70"/>
      <c r="CP77" s="70"/>
      <c r="CQ77" s="70"/>
      <c r="CR77" s="70"/>
    </row>
    <row r="78" spans="1:96" ht="15.75" customHeight="1">
      <c r="A78" s="607" t="s">
        <v>86</v>
      </c>
      <c r="B78" s="608"/>
      <c r="C78" s="609"/>
      <c r="D78" s="435"/>
      <c r="E78" s="608"/>
      <c r="F78" s="609"/>
      <c r="G78" s="441"/>
      <c r="H78" s="446"/>
      <c r="I78" s="610"/>
      <c r="J78" s="611"/>
      <c r="K78" s="612">
        <v>123</v>
      </c>
      <c r="L78" s="448"/>
      <c r="M78" s="447" t="s">
        <v>87</v>
      </c>
      <c r="N78" s="441"/>
      <c r="O78" s="613"/>
      <c r="P78" s="613"/>
      <c r="Q78" s="613"/>
      <c r="R78" s="613"/>
      <c r="S78" s="614">
        <f>R78</f>
        <v>0</v>
      </c>
      <c r="T78" s="615"/>
      <c r="U78" s="616"/>
      <c r="V78" s="617"/>
      <c r="W78" s="618"/>
      <c r="X78" s="619"/>
      <c r="Y78" s="620"/>
      <c r="Z78" s="621"/>
      <c r="AA78" s="430">
        <v>109</v>
      </c>
      <c r="AB78" s="414">
        <f>+Z78/AA78</f>
        <v>0</v>
      </c>
      <c r="AC78" s="622"/>
      <c r="AD78" s="622"/>
      <c r="AE78" s="622"/>
      <c r="AF78" s="623">
        <f t="shared" ref="AF78:AG78" si="103">+Z78</f>
        <v>0</v>
      </c>
      <c r="AG78" s="624">
        <f t="shared" si="103"/>
        <v>109</v>
      </c>
      <c r="AH78" s="625">
        <f t="shared" si="102"/>
        <v>0</v>
      </c>
      <c r="AI78" s="76"/>
      <c r="AJ78" s="76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  <c r="CP78" s="69"/>
      <c r="CQ78" s="69"/>
      <c r="CR78" s="69"/>
    </row>
    <row r="79" spans="1:96" ht="15.75" customHeight="1">
      <c r="A79" s="432" t="s">
        <v>88</v>
      </c>
      <c r="B79" s="626"/>
      <c r="C79" s="627"/>
      <c r="D79" s="628"/>
      <c r="E79" s="626"/>
      <c r="F79" s="627"/>
      <c r="G79" s="629"/>
      <c r="H79" s="630"/>
      <c r="I79" s="631"/>
      <c r="J79" s="632"/>
      <c r="K79" s="633"/>
      <c r="L79" s="634"/>
      <c r="M79" s="634"/>
      <c r="N79" s="629"/>
      <c r="O79" s="635"/>
      <c r="P79" s="635">
        <v>1</v>
      </c>
      <c r="Q79" s="635">
        <v>1</v>
      </c>
      <c r="R79" s="635"/>
      <c r="S79" s="592">
        <f t="shared" ref="S79:S83" si="104">O79+P79+Q79+R79</f>
        <v>2</v>
      </c>
      <c r="T79" s="636">
        <v>1</v>
      </c>
      <c r="U79" s="242">
        <f>S79/T79</f>
        <v>2</v>
      </c>
      <c r="V79" s="637">
        <v>1</v>
      </c>
      <c r="W79" s="638"/>
      <c r="X79" s="639"/>
      <c r="Y79" s="638"/>
      <c r="Z79" s="640">
        <f>V79</f>
        <v>1</v>
      </c>
      <c r="AA79" s="640">
        <v>1</v>
      </c>
      <c r="AB79" s="414">
        <f>Z79/AA79</f>
        <v>1</v>
      </c>
      <c r="AC79" s="362"/>
      <c r="AD79" s="362"/>
      <c r="AE79" s="362"/>
      <c r="AF79" s="641">
        <f>+S79+Z79</f>
        <v>3</v>
      </c>
      <c r="AG79" s="362">
        <v>2</v>
      </c>
      <c r="AH79" s="371">
        <f t="shared" si="102"/>
        <v>1.5</v>
      </c>
      <c r="AI79" s="76"/>
      <c r="AJ79" s="76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69"/>
      <c r="CO79" s="69"/>
      <c r="CP79" s="69"/>
      <c r="CQ79" s="69"/>
      <c r="CR79" s="69"/>
    </row>
    <row r="80" spans="1:96" ht="12.75" customHeight="1">
      <c r="A80" s="642" t="s">
        <v>89</v>
      </c>
      <c r="B80" s="643"/>
      <c r="C80" s="644"/>
      <c r="D80" s="645"/>
      <c r="E80" s="643"/>
      <c r="F80" s="644"/>
      <c r="G80" s="646"/>
      <c r="H80" s="647"/>
      <c r="I80" s="648"/>
      <c r="J80" s="649"/>
      <c r="K80" s="648"/>
      <c r="L80" s="650"/>
      <c r="M80" s="650"/>
      <c r="N80" s="646"/>
      <c r="O80" s="651"/>
      <c r="P80" s="651"/>
      <c r="Q80" s="651"/>
      <c r="R80" s="651"/>
      <c r="S80" s="648">
        <f t="shared" si="104"/>
        <v>0</v>
      </c>
      <c r="T80" s="648"/>
      <c r="U80" s="652"/>
      <c r="V80" s="647"/>
      <c r="W80" s="648"/>
      <c r="X80" s="649"/>
      <c r="Y80" s="648"/>
      <c r="Z80" s="650"/>
      <c r="AA80" s="650"/>
      <c r="AB80" s="646"/>
      <c r="AC80" s="651"/>
      <c r="AD80" s="651"/>
      <c r="AE80" s="651"/>
      <c r="AF80" s="643"/>
      <c r="AG80" s="644"/>
      <c r="AH80" s="645"/>
      <c r="AI80" s="35"/>
      <c r="AJ80" s="35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69"/>
      <c r="CO80" s="69"/>
      <c r="CP80" s="69"/>
      <c r="CQ80" s="69"/>
      <c r="CR80" s="69"/>
    </row>
    <row r="81" spans="1:96" ht="24.75" customHeight="1">
      <c r="A81" s="653" t="s">
        <v>90</v>
      </c>
      <c r="B81" s="654">
        <v>0.83</v>
      </c>
      <c r="C81" s="208">
        <v>0.8</v>
      </c>
      <c r="D81" s="118">
        <f>+B81/C81</f>
        <v>1.0374999999999999</v>
      </c>
      <c r="E81" s="369">
        <v>0</v>
      </c>
      <c r="F81" s="655">
        <v>0.8</v>
      </c>
      <c r="G81" s="196">
        <f>+E81/F81</f>
        <v>0</v>
      </c>
      <c r="H81" s="656">
        <v>0.54</v>
      </c>
      <c r="I81" s="657"/>
      <c r="J81" s="658"/>
      <c r="K81" s="657"/>
      <c r="L81" s="332">
        <f>+H81</f>
        <v>0.54</v>
      </c>
      <c r="M81" s="332">
        <v>0.8</v>
      </c>
      <c r="N81" s="196">
        <f>+L81/M81</f>
        <v>0.67500000000000004</v>
      </c>
      <c r="O81" s="655">
        <v>0.87</v>
      </c>
      <c r="P81" s="659"/>
      <c r="Q81" s="659"/>
      <c r="R81" s="659"/>
      <c r="S81" s="242">
        <f t="shared" si="104"/>
        <v>0.87</v>
      </c>
      <c r="T81" s="200">
        <v>0.8</v>
      </c>
      <c r="U81" s="200">
        <f>+S81/T81</f>
        <v>1.0874999999999999</v>
      </c>
      <c r="V81" s="656">
        <v>0.93</v>
      </c>
      <c r="W81" s="657"/>
      <c r="X81" s="658"/>
      <c r="Y81" s="657"/>
      <c r="Z81" s="332">
        <f>V81</f>
        <v>0.93</v>
      </c>
      <c r="AA81" s="332">
        <v>0.8</v>
      </c>
      <c r="AB81" s="414">
        <f t="shared" ref="AB81:AB86" si="105">Z81/AA81</f>
        <v>1.1625000000000001</v>
      </c>
      <c r="AC81" s="655"/>
      <c r="AD81" s="655">
        <v>0.83</v>
      </c>
      <c r="AE81" s="655"/>
      <c r="AF81" s="660">
        <f>AVERAGE(B81,L81,O81,Z81,AC81)</f>
        <v>0.79250000000000009</v>
      </c>
      <c r="AG81" s="208">
        <v>0.8</v>
      </c>
      <c r="AH81" s="118">
        <f t="shared" ref="AH81:AH88" si="106">+AF81/AG81</f>
        <v>0.99062500000000009</v>
      </c>
      <c r="AI81" s="661"/>
      <c r="AJ81" s="661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  <c r="CG81" s="69"/>
      <c r="CH81" s="69"/>
      <c r="CI81" s="69"/>
      <c r="CJ81" s="69"/>
      <c r="CK81" s="69"/>
      <c r="CL81" s="69"/>
      <c r="CM81" s="69"/>
      <c r="CN81" s="69"/>
      <c r="CO81" s="69"/>
      <c r="CP81" s="69"/>
      <c r="CQ81" s="69"/>
      <c r="CR81" s="69"/>
    </row>
    <row r="82" spans="1:96" ht="28.5" customHeight="1">
      <c r="A82" s="653" t="s">
        <v>126</v>
      </c>
      <c r="B82" s="369">
        <v>278</v>
      </c>
      <c r="C82" s="69">
        <v>154</v>
      </c>
      <c r="D82" s="118">
        <v>1.8051948051948052</v>
      </c>
      <c r="E82" s="369">
        <v>309</v>
      </c>
      <c r="F82" s="69">
        <v>278</v>
      </c>
      <c r="G82" s="196">
        <v>1.1115107913669064</v>
      </c>
      <c r="H82" s="473"/>
      <c r="I82" s="474"/>
      <c r="J82" s="475">
        <v>313</v>
      </c>
      <c r="K82" s="77">
        <v>314</v>
      </c>
      <c r="L82" s="662">
        <f t="shared" ref="L82:L83" si="107">K82</f>
        <v>314</v>
      </c>
      <c r="M82" s="299">
        <v>278</v>
      </c>
      <c r="N82" s="196">
        <f t="shared" ref="N82:N83" si="108">L82/M82</f>
        <v>1.1294964028776979</v>
      </c>
      <c r="O82" s="208"/>
      <c r="P82" s="208"/>
      <c r="Q82" s="208"/>
      <c r="R82" s="69">
        <v>307</v>
      </c>
      <c r="S82" s="360">
        <f t="shared" si="104"/>
        <v>307</v>
      </c>
      <c r="T82" s="663">
        <v>278</v>
      </c>
      <c r="U82" s="200">
        <f t="shared" ref="U82:U83" si="109">S82/T82</f>
        <v>1.1043165467625899</v>
      </c>
      <c r="V82" s="473"/>
      <c r="W82" s="474"/>
      <c r="X82" s="475"/>
      <c r="Y82" s="77"/>
      <c r="Z82" s="917">
        <f t="shared" ref="Z82:Z83" si="110">Y82</f>
        <v>0</v>
      </c>
      <c r="AA82" s="299">
        <v>278</v>
      </c>
      <c r="AB82" s="414">
        <f t="shared" si="105"/>
        <v>0</v>
      </c>
      <c r="AC82" s="664"/>
      <c r="AD82" s="664"/>
      <c r="AE82" s="664"/>
      <c r="AF82" s="665">
        <f t="shared" ref="AF82:AF83" si="111">+SUM(B82,E82,K82,S82,Z82)</f>
        <v>1208</v>
      </c>
      <c r="AG82" s="69">
        <v>1266</v>
      </c>
      <c r="AH82" s="118">
        <f t="shared" si="106"/>
        <v>0.95418641390205372</v>
      </c>
      <c r="AI82" s="50">
        <f t="shared" ref="AI82:AI84" si="112">AG82-AF82</f>
        <v>58</v>
      </c>
      <c r="AJ82" s="76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  <c r="CG82" s="69"/>
      <c r="CH82" s="69"/>
      <c r="CI82" s="69"/>
      <c r="CJ82" s="69"/>
      <c r="CK82" s="69"/>
      <c r="CL82" s="69"/>
      <c r="CM82" s="69"/>
      <c r="CN82" s="69"/>
      <c r="CO82" s="69"/>
      <c r="CP82" s="69"/>
      <c r="CQ82" s="69"/>
      <c r="CR82" s="69"/>
    </row>
    <row r="83" spans="1:96" ht="15.75" customHeight="1">
      <c r="A83" s="666" t="s">
        <v>127</v>
      </c>
      <c r="B83" s="667">
        <v>570</v>
      </c>
      <c r="C83" s="237">
        <v>600</v>
      </c>
      <c r="D83" s="131">
        <v>0.95</v>
      </c>
      <c r="E83" s="667">
        <v>628</v>
      </c>
      <c r="F83" s="237">
        <v>600</v>
      </c>
      <c r="G83" s="506">
        <v>1.0466666666666666</v>
      </c>
      <c r="H83" s="547"/>
      <c r="I83" s="548"/>
      <c r="J83" s="549">
        <v>666</v>
      </c>
      <c r="K83" s="392">
        <v>666</v>
      </c>
      <c r="L83" s="662">
        <f t="shared" si="107"/>
        <v>666</v>
      </c>
      <c r="M83" s="294">
        <v>600</v>
      </c>
      <c r="N83" s="506">
        <f t="shared" si="108"/>
        <v>1.1100000000000001</v>
      </c>
      <c r="O83" s="537"/>
      <c r="P83" s="537"/>
      <c r="Q83" s="537"/>
      <c r="R83" s="237">
        <v>642</v>
      </c>
      <c r="S83" s="360">
        <f t="shared" si="104"/>
        <v>642</v>
      </c>
      <c r="T83" s="668">
        <v>600</v>
      </c>
      <c r="U83" s="280">
        <f t="shared" si="109"/>
        <v>1.07</v>
      </c>
      <c r="V83" s="669"/>
      <c r="W83" s="670"/>
      <c r="X83" s="671"/>
      <c r="Y83" s="77"/>
      <c r="Z83" s="917">
        <f t="shared" si="110"/>
        <v>0</v>
      </c>
      <c r="AA83" s="299">
        <v>600</v>
      </c>
      <c r="AB83" s="414">
        <f t="shared" si="105"/>
        <v>0</v>
      </c>
      <c r="AC83" s="672"/>
      <c r="AD83" s="672"/>
      <c r="AE83" s="672"/>
      <c r="AF83" s="673">
        <f t="shared" si="111"/>
        <v>2506</v>
      </c>
      <c r="AG83" s="237">
        <v>3000</v>
      </c>
      <c r="AH83" s="131">
        <f t="shared" si="106"/>
        <v>0.83533333333333337</v>
      </c>
      <c r="AI83" s="50">
        <f t="shared" si="112"/>
        <v>494</v>
      </c>
      <c r="AJ83" s="76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  <c r="BZ83" s="69"/>
      <c r="CA83" s="69"/>
      <c r="CB83" s="69"/>
      <c r="CC83" s="69"/>
      <c r="CD83" s="69"/>
      <c r="CE83" s="69"/>
      <c r="CF83" s="69"/>
      <c r="CG83" s="69"/>
      <c r="CH83" s="69"/>
      <c r="CI83" s="69"/>
      <c r="CJ83" s="69"/>
      <c r="CK83" s="69"/>
      <c r="CL83" s="69"/>
      <c r="CM83" s="69"/>
      <c r="CN83" s="69"/>
      <c r="CO83" s="69"/>
      <c r="CP83" s="69"/>
      <c r="CQ83" s="69"/>
      <c r="CR83" s="69"/>
    </row>
    <row r="84" spans="1:96" ht="24.75" customHeight="1">
      <c r="A84" s="642" t="s">
        <v>91</v>
      </c>
      <c r="B84" s="177"/>
      <c r="C84" s="178"/>
      <c r="D84" s="179"/>
      <c r="E84" s="354">
        <v>61</v>
      </c>
      <c r="F84" s="239">
        <v>61</v>
      </c>
      <c r="G84" s="182">
        <f t="shared" ref="G84:G85" si="113">+E84/F84</f>
        <v>1</v>
      </c>
      <c r="H84" s="355"/>
      <c r="I84" s="356">
        <f t="shared" ref="I84:K84" si="114">+I85</f>
        <v>0</v>
      </c>
      <c r="J84" s="357">
        <f t="shared" si="114"/>
        <v>109</v>
      </c>
      <c r="K84" s="356">
        <f t="shared" si="114"/>
        <v>0</v>
      </c>
      <c r="L84" s="674">
        <f t="shared" ref="L84:M84" si="115">+L85+L86</f>
        <v>109</v>
      </c>
      <c r="M84" s="359">
        <f t="shared" si="115"/>
        <v>63</v>
      </c>
      <c r="N84" s="182">
        <f>+L84/M84</f>
        <v>1.7301587301587302</v>
      </c>
      <c r="O84" s="674">
        <f t="shared" ref="O84:R84" si="116">O85</f>
        <v>9</v>
      </c>
      <c r="P84" s="674">
        <f t="shared" si="116"/>
        <v>0</v>
      </c>
      <c r="Q84" s="674">
        <f t="shared" si="116"/>
        <v>0</v>
      </c>
      <c r="R84" s="674">
        <f t="shared" si="116"/>
        <v>110</v>
      </c>
      <c r="S84" s="380"/>
      <c r="T84" s="522">
        <f>+T85+T86</f>
        <v>113</v>
      </c>
      <c r="U84" s="241">
        <f>+S84/T84</f>
        <v>0</v>
      </c>
      <c r="V84" s="355"/>
      <c r="W84" s="356"/>
      <c r="X84" s="357"/>
      <c r="Y84" s="356"/>
      <c r="Z84" s="674">
        <f>Z85+Z86</f>
        <v>134</v>
      </c>
      <c r="AA84" s="239">
        <f>+AA85+AA86</f>
        <v>163</v>
      </c>
      <c r="AB84" s="675">
        <f t="shared" si="105"/>
        <v>0.82208588957055218</v>
      </c>
      <c r="AC84" s="188"/>
      <c r="AD84" s="188"/>
      <c r="AE84" s="188"/>
      <c r="AF84" s="526">
        <f>+B84+E84+L84+S84+Z84+AC84</f>
        <v>304</v>
      </c>
      <c r="AG84" s="188">
        <f>AG85+AG86</f>
        <v>350</v>
      </c>
      <c r="AH84" s="189">
        <f t="shared" si="106"/>
        <v>0.86857142857142855</v>
      </c>
      <c r="AI84" s="50">
        <f t="shared" si="112"/>
        <v>46</v>
      </c>
      <c r="AJ84" s="223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  <c r="BB84" s="132"/>
      <c r="BC84" s="132"/>
      <c r="BD84" s="132"/>
      <c r="BE84" s="132"/>
      <c r="BF84" s="132"/>
      <c r="BG84" s="132"/>
      <c r="BH84" s="132"/>
      <c r="BI84" s="132"/>
      <c r="BJ84" s="132"/>
      <c r="BK84" s="132"/>
      <c r="BL84" s="132"/>
      <c r="BM84" s="132"/>
      <c r="BN84" s="132"/>
      <c r="BO84" s="132"/>
      <c r="BP84" s="132"/>
      <c r="BQ84" s="132"/>
      <c r="BR84" s="132"/>
      <c r="BS84" s="132"/>
      <c r="BT84" s="132"/>
      <c r="BU84" s="132"/>
      <c r="BV84" s="132"/>
      <c r="BW84" s="132"/>
      <c r="BX84" s="132"/>
      <c r="BY84" s="132"/>
      <c r="BZ84" s="132"/>
      <c r="CA84" s="132"/>
      <c r="CB84" s="132"/>
      <c r="CC84" s="132"/>
      <c r="CD84" s="132"/>
      <c r="CE84" s="132"/>
      <c r="CF84" s="132"/>
      <c r="CG84" s="132"/>
      <c r="CH84" s="132"/>
      <c r="CI84" s="132"/>
      <c r="CJ84" s="132"/>
      <c r="CK84" s="132"/>
      <c r="CL84" s="132"/>
      <c r="CM84" s="132"/>
      <c r="CN84" s="132"/>
      <c r="CO84" s="132"/>
      <c r="CP84" s="132"/>
      <c r="CQ84" s="132"/>
      <c r="CR84" s="132"/>
    </row>
    <row r="85" spans="1:96" ht="15.75" customHeight="1">
      <c r="A85" s="918" t="s">
        <v>92</v>
      </c>
      <c r="B85" s="493"/>
      <c r="C85" s="494"/>
      <c r="D85" s="495"/>
      <c r="E85" s="677">
        <v>61</v>
      </c>
      <c r="F85" s="69">
        <v>61</v>
      </c>
      <c r="G85" s="196">
        <f t="shared" si="113"/>
        <v>1</v>
      </c>
      <c r="H85" s="473"/>
      <c r="I85" s="77"/>
      <c r="J85" s="366">
        <v>109</v>
      </c>
      <c r="K85" s="77"/>
      <c r="L85" s="662">
        <f>J85</f>
        <v>109</v>
      </c>
      <c r="M85" s="299">
        <v>63</v>
      </c>
      <c r="O85" s="366">
        <v>9</v>
      </c>
      <c r="P85" s="366"/>
      <c r="Q85" s="366"/>
      <c r="R85" s="366">
        <v>110</v>
      </c>
      <c r="S85" s="360">
        <v>119</v>
      </c>
      <c r="T85" s="663">
        <v>63</v>
      </c>
      <c r="V85" s="558"/>
      <c r="W85" s="77">
        <v>51</v>
      </c>
      <c r="X85" s="366"/>
      <c r="Y85" s="77"/>
      <c r="Z85" s="662">
        <f t="shared" ref="Z85:Z86" si="117">V85+W85+X85+Y85</f>
        <v>51</v>
      </c>
      <c r="AA85" s="299">
        <v>63</v>
      </c>
      <c r="AB85" s="414">
        <f t="shared" si="105"/>
        <v>0.80952380952380953</v>
      </c>
      <c r="AC85" s="175"/>
      <c r="AD85" s="175"/>
      <c r="AE85" s="175"/>
      <c r="AF85" s="531">
        <f>+B85+E85+L85+S85+Z85</f>
        <v>340</v>
      </c>
      <c r="AG85" s="175">
        <f>+AA85+T85+M85+F85+C85</f>
        <v>250</v>
      </c>
      <c r="AH85" s="118">
        <f t="shared" si="106"/>
        <v>1.36</v>
      </c>
      <c r="AI85" s="76"/>
      <c r="AJ85" s="76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69"/>
      <c r="CA85" s="69"/>
      <c r="CB85" s="69"/>
      <c r="CC85" s="69"/>
      <c r="CD85" s="69"/>
      <c r="CE85" s="69"/>
      <c r="CF85" s="69"/>
      <c r="CG85" s="69"/>
      <c r="CH85" s="69"/>
      <c r="CI85" s="69"/>
      <c r="CJ85" s="69"/>
      <c r="CK85" s="69"/>
      <c r="CL85" s="69"/>
      <c r="CM85" s="69"/>
      <c r="CN85" s="69"/>
      <c r="CO85" s="69"/>
      <c r="CP85" s="69"/>
      <c r="CQ85" s="69"/>
      <c r="CR85" s="69"/>
    </row>
    <row r="86" spans="1:96" ht="15.75" customHeight="1">
      <c r="A86" s="676" t="s">
        <v>46</v>
      </c>
      <c r="B86" s="271"/>
      <c r="C86" s="272"/>
      <c r="D86" s="273"/>
      <c r="E86" s="271"/>
      <c r="F86" s="272"/>
      <c r="G86" s="535"/>
      <c r="H86" s="547"/>
      <c r="I86" s="548"/>
      <c r="J86" s="549"/>
      <c r="K86" s="548"/>
      <c r="L86" s="227"/>
      <c r="M86" s="227"/>
      <c r="N86" s="535"/>
      <c r="O86" s="537"/>
      <c r="P86" s="537"/>
      <c r="Q86" s="537"/>
      <c r="R86" s="537"/>
      <c r="S86" s="678">
        <f t="shared" ref="S86:S88" si="118">O86+P86+Q86+R86</f>
        <v>0</v>
      </c>
      <c r="T86" s="668">
        <v>50</v>
      </c>
      <c r="U86" s="241">
        <f>+S86/T86</f>
        <v>0</v>
      </c>
      <c r="V86" s="679"/>
      <c r="W86" s="408"/>
      <c r="X86" s="409"/>
      <c r="Y86" s="392">
        <v>83</v>
      </c>
      <c r="Z86" s="680">
        <f t="shared" si="117"/>
        <v>83</v>
      </c>
      <c r="AA86" s="294">
        <v>100</v>
      </c>
      <c r="AB86" s="681">
        <f t="shared" si="105"/>
        <v>0.83</v>
      </c>
      <c r="AC86" s="235"/>
      <c r="AD86" s="235"/>
      <c r="AE86" s="235"/>
      <c r="AF86" s="236">
        <f>+S86+Z86</f>
        <v>83</v>
      </c>
      <c r="AG86" s="235">
        <f>AA86</f>
        <v>100</v>
      </c>
      <c r="AH86" s="131">
        <f t="shared" si="106"/>
        <v>0.83</v>
      </c>
      <c r="AI86" s="76"/>
      <c r="AJ86" s="76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</row>
    <row r="87" spans="1:96" ht="27" customHeight="1">
      <c r="A87" s="682" t="s">
        <v>128</v>
      </c>
      <c r="B87" s="683">
        <v>75</v>
      </c>
      <c r="C87" s="684">
        <v>60</v>
      </c>
      <c r="D87" s="532">
        <v>1.25</v>
      </c>
      <c r="E87" s="683">
        <v>122</v>
      </c>
      <c r="F87" s="684">
        <v>60</v>
      </c>
      <c r="G87" s="247">
        <v>2.0333333333333332</v>
      </c>
      <c r="H87" s="685"/>
      <c r="I87" s="686"/>
      <c r="J87" s="687">
        <v>50</v>
      </c>
      <c r="K87" s="686">
        <v>53</v>
      </c>
      <c r="L87" s="688">
        <f t="shared" ref="L87:L88" si="119">K87</f>
        <v>53</v>
      </c>
      <c r="M87" s="688"/>
      <c r="N87" s="247" t="s">
        <v>93</v>
      </c>
      <c r="O87" s="689"/>
      <c r="P87" s="689"/>
      <c r="Q87" s="689"/>
      <c r="R87" s="690">
        <v>17</v>
      </c>
      <c r="S87" s="691">
        <f t="shared" si="118"/>
        <v>17</v>
      </c>
      <c r="T87" s="686"/>
      <c r="U87" s="570" t="s">
        <v>93</v>
      </c>
      <c r="V87" s="457">
        <v>16</v>
      </c>
      <c r="W87" s="458"/>
      <c r="X87" s="459"/>
      <c r="Y87" s="919"/>
      <c r="Z87" s="692"/>
      <c r="AA87" s="692"/>
      <c r="AB87" s="196"/>
      <c r="AC87" s="693"/>
      <c r="AD87" s="693"/>
      <c r="AE87" s="693"/>
      <c r="AF87" s="920">
        <f>+B87+E87+L87+S87+Z87</f>
        <v>267</v>
      </c>
      <c r="AG87" s="684">
        <v>120</v>
      </c>
      <c r="AH87" s="532">
        <f t="shared" si="106"/>
        <v>2.2250000000000001</v>
      </c>
      <c r="AI87" s="50">
        <f t="shared" ref="AI87:AI88" si="120">AG87-AF87</f>
        <v>-147</v>
      </c>
      <c r="AJ87" s="76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69"/>
    </row>
    <row r="88" spans="1:96" ht="24.75" customHeight="1">
      <c r="A88" s="666" t="s">
        <v>94</v>
      </c>
      <c r="B88" s="667">
        <v>25</v>
      </c>
      <c r="C88" s="237">
        <v>25</v>
      </c>
      <c r="D88" s="131">
        <v>1</v>
      </c>
      <c r="E88" s="667">
        <v>27</v>
      </c>
      <c r="F88" s="237">
        <v>27</v>
      </c>
      <c r="G88" s="506">
        <v>1</v>
      </c>
      <c r="H88" s="547"/>
      <c r="I88" s="548"/>
      <c r="J88" s="549">
        <v>25</v>
      </c>
      <c r="K88" s="392">
        <v>26</v>
      </c>
      <c r="L88" s="662">
        <f t="shared" si="119"/>
        <v>26</v>
      </c>
      <c r="M88" s="294">
        <v>25</v>
      </c>
      <c r="N88" s="196">
        <f>L88/M88</f>
        <v>1.04</v>
      </c>
      <c r="O88" s="208"/>
      <c r="P88" s="208"/>
      <c r="Q88" s="208"/>
      <c r="R88" s="69">
        <v>25</v>
      </c>
      <c r="S88" s="360">
        <f t="shared" si="118"/>
        <v>25</v>
      </c>
      <c r="T88" s="392">
        <v>25</v>
      </c>
      <c r="U88" s="200">
        <f>S88/T88</f>
        <v>1</v>
      </c>
      <c r="V88" s="547">
        <v>25</v>
      </c>
      <c r="W88" s="548"/>
      <c r="X88" s="549"/>
      <c r="Y88" s="694"/>
      <c r="Z88" s="662">
        <f>Y88</f>
        <v>0</v>
      </c>
      <c r="AA88" s="294">
        <v>25</v>
      </c>
      <c r="AB88" s="414">
        <f>Z88/AA88</f>
        <v>0</v>
      </c>
      <c r="AC88" s="237"/>
      <c r="AD88" s="237"/>
      <c r="AE88" s="237"/>
      <c r="AF88" s="512">
        <f>B88+E88+L88+S88+Z88</f>
        <v>103</v>
      </c>
      <c r="AG88" s="237">
        <v>102</v>
      </c>
      <c r="AH88" s="131">
        <f t="shared" si="106"/>
        <v>1.0098039215686274</v>
      </c>
      <c r="AI88" s="50">
        <f t="shared" si="120"/>
        <v>-1</v>
      </c>
      <c r="AJ88" s="76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</row>
    <row r="89" spans="1:96" ht="30.75" customHeight="1">
      <c r="A89" s="682" t="s">
        <v>95</v>
      </c>
      <c r="B89" s="695"/>
      <c r="C89" s="696"/>
      <c r="D89" s="697"/>
      <c r="E89" s="698"/>
      <c r="F89" s="696"/>
      <c r="G89" s="699"/>
      <c r="H89" s="685"/>
      <c r="I89" s="700"/>
      <c r="J89" s="701"/>
      <c r="K89" s="570"/>
      <c r="L89" s="378"/>
      <c r="M89" s="921"/>
      <c r="N89" s="247"/>
      <c r="O89" s="684"/>
      <c r="P89" s="684"/>
      <c r="Q89" s="684"/>
      <c r="R89" s="684"/>
      <c r="S89" s="241"/>
      <c r="T89" s="922"/>
      <c r="U89" s="570"/>
      <c r="V89" s="923"/>
      <c r="W89" s="924"/>
      <c r="X89" s="925"/>
      <c r="Z89" s="378"/>
      <c r="AA89" s="239"/>
      <c r="AB89" s="189"/>
      <c r="AC89" s="702"/>
      <c r="AD89" s="702"/>
      <c r="AE89" s="702"/>
      <c r="AF89" s="926"/>
      <c r="AG89" s="927"/>
      <c r="AH89" s="532"/>
      <c r="AI89" s="207"/>
      <c r="AJ89" s="207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</row>
    <row r="90" spans="1:96" ht="15.75" customHeight="1">
      <c r="A90" s="703" t="s">
        <v>92</v>
      </c>
      <c r="B90" s="259"/>
      <c r="C90" s="260"/>
      <c r="D90" s="261"/>
      <c r="E90" s="469" t="s">
        <v>96</v>
      </c>
      <c r="F90" s="260"/>
      <c r="G90" s="472"/>
      <c r="H90" s="473"/>
      <c r="I90" s="704"/>
      <c r="J90" s="705"/>
      <c r="K90" s="706">
        <v>0.67500000000000004</v>
      </c>
      <c r="L90" s="707">
        <f>+K90</f>
        <v>0.67500000000000004</v>
      </c>
      <c r="M90" s="707">
        <v>0.82499999999999996</v>
      </c>
      <c r="N90" s="196">
        <f>+L90/M90</f>
        <v>0.81818181818181823</v>
      </c>
      <c r="O90" s="517"/>
      <c r="P90" s="517"/>
      <c r="Q90" s="517"/>
      <c r="R90" s="517"/>
      <c r="S90" s="242">
        <f>O90+P90+Q90+R90</f>
        <v>0</v>
      </c>
      <c r="T90" s="474"/>
      <c r="U90" s="200" t="e">
        <f>+S90/T90</f>
        <v>#DIV/0!</v>
      </c>
      <c r="V90" s="473"/>
      <c r="W90" s="704"/>
      <c r="X90" s="705"/>
      <c r="Y90" s="928">
        <f>L90+7.5%</f>
        <v>0.75</v>
      </c>
      <c r="Z90" s="332">
        <f t="shared" ref="Z90:Z91" si="121">Y90</f>
        <v>0.75</v>
      </c>
      <c r="AA90" s="929">
        <f>M90</f>
        <v>0.82499999999999996</v>
      </c>
      <c r="AB90" s="414">
        <f t="shared" ref="AB90:AB92" si="122">Z90/AA90</f>
        <v>0.90909090909090917</v>
      </c>
      <c r="AC90" s="70"/>
      <c r="AD90" s="70"/>
      <c r="AE90" s="70"/>
      <c r="AF90" s="930">
        <f t="shared" ref="AF90:AF91" si="123">Z90</f>
        <v>0.75</v>
      </c>
      <c r="AG90" s="931">
        <v>0.82499999999999996</v>
      </c>
      <c r="AH90" s="118">
        <f t="shared" ref="AH90:AH95" si="124">+AF90/AG90</f>
        <v>0.90909090909090917</v>
      </c>
      <c r="AI90" s="50"/>
      <c r="AJ90" s="207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  <c r="CG90" s="69"/>
      <c r="CH90" s="69"/>
      <c r="CI90" s="69"/>
      <c r="CJ90" s="69"/>
      <c r="CK90" s="69"/>
      <c r="CL90" s="69"/>
      <c r="CM90" s="69"/>
      <c r="CN90" s="69"/>
      <c r="CO90" s="69"/>
      <c r="CP90" s="69"/>
      <c r="CQ90" s="69"/>
      <c r="CR90" s="69"/>
    </row>
    <row r="91" spans="1:96" ht="15.75" customHeight="1">
      <c r="A91" s="932" t="s">
        <v>46</v>
      </c>
      <c r="B91" s="271"/>
      <c r="C91" s="272"/>
      <c r="D91" s="273"/>
      <c r="E91" s="271"/>
      <c r="F91" s="272"/>
      <c r="G91" s="535"/>
      <c r="H91" s="547"/>
      <c r="I91" s="548"/>
      <c r="J91" s="549"/>
      <c r="K91" s="548" t="s">
        <v>64</v>
      </c>
      <c r="L91" s="272"/>
      <c r="M91" s="227"/>
      <c r="N91" s="535"/>
      <c r="O91" s="710">
        <v>0.25</v>
      </c>
      <c r="P91" s="711"/>
      <c r="Q91" s="711"/>
      <c r="R91" s="711"/>
      <c r="S91" s="712">
        <v>0</v>
      </c>
      <c r="T91" s="548" t="s">
        <v>64</v>
      </c>
      <c r="U91" s="713"/>
      <c r="V91" s="933">
        <v>0.1</v>
      </c>
      <c r="W91" s="934"/>
      <c r="X91" s="935"/>
      <c r="Y91" s="936">
        <f>72%+7%</f>
        <v>0.79</v>
      </c>
      <c r="Z91" s="937">
        <f t="shared" si="121"/>
        <v>0.79</v>
      </c>
      <c r="AA91" s="938">
        <f>72%+7.5%</f>
        <v>0.79499999999999993</v>
      </c>
      <c r="AB91" s="939">
        <f t="shared" si="122"/>
        <v>0.99371069182389948</v>
      </c>
      <c r="AC91" s="237"/>
      <c r="AD91" s="237"/>
      <c r="AE91" s="237"/>
      <c r="AF91" s="714">
        <f t="shared" si="123"/>
        <v>0.79</v>
      </c>
      <c r="AG91" s="715">
        <f>+AA91</f>
        <v>0.79499999999999993</v>
      </c>
      <c r="AH91" s="940">
        <f t="shared" si="124"/>
        <v>0.99371069182389948</v>
      </c>
      <c r="AI91" s="207"/>
      <c r="AJ91" s="207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/>
      <c r="CM91" s="69"/>
      <c r="CN91" s="69"/>
      <c r="CO91" s="69"/>
      <c r="CP91" s="69"/>
      <c r="CQ91" s="69"/>
      <c r="CR91" s="69"/>
    </row>
    <row r="92" spans="1:96" ht="27" customHeight="1">
      <c r="A92" s="682" t="s">
        <v>97</v>
      </c>
      <c r="B92" s="177"/>
      <c r="C92" s="178"/>
      <c r="D92" s="179"/>
      <c r="E92" s="177"/>
      <c r="F92" s="178"/>
      <c r="G92" s="716"/>
      <c r="H92" s="540"/>
      <c r="I92" s="523"/>
      <c r="J92" s="541"/>
      <c r="K92" s="356">
        <f>K93+K94</f>
        <v>621</v>
      </c>
      <c r="L92" s="674">
        <f t="shared" ref="L92:M92" si="125">+L93+L94</f>
        <v>621</v>
      </c>
      <c r="M92" s="359">
        <f t="shared" si="125"/>
        <v>556</v>
      </c>
      <c r="N92" s="182">
        <f t="shared" ref="N92:N94" si="126">+L92/M92</f>
        <v>1.1169064748201438</v>
      </c>
      <c r="O92" s="239">
        <f t="shared" ref="O92:R92" si="127">O93+O94</f>
        <v>0</v>
      </c>
      <c r="P92" s="239">
        <f t="shared" si="127"/>
        <v>0</v>
      </c>
      <c r="Q92" s="239">
        <f t="shared" si="127"/>
        <v>271</v>
      </c>
      <c r="R92" s="239">
        <f t="shared" si="127"/>
        <v>0</v>
      </c>
      <c r="S92" s="360">
        <f>O92+P92+Q92+R92</f>
        <v>271</v>
      </c>
      <c r="T92" s="356">
        <f>+T94</f>
        <v>270</v>
      </c>
      <c r="U92" s="241">
        <f>+S92/T92</f>
        <v>1.0037037037037038</v>
      </c>
      <c r="V92" s="540"/>
      <c r="W92" s="523"/>
      <c r="X92" s="541"/>
      <c r="Y92" s="356">
        <f t="shared" ref="Y92:Z92" si="128">Y93+Y94</f>
        <v>347</v>
      </c>
      <c r="Z92" s="674">
        <f t="shared" si="128"/>
        <v>537</v>
      </c>
      <c r="AA92" s="239">
        <f>+AA94</f>
        <v>130</v>
      </c>
      <c r="AB92" s="499">
        <f t="shared" si="122"/>
        <v>4.1307692307692312</v>
      </c>
      <c r="AC92" s="312"/>
      <c r="AD92" s="312"/>
      <c r="AE92" s="312"/>
      <c r="AF92" s="717">
        <f>+L92+S92+Z92</f>
        <v>1429</v>
      </c>
      <c r="AG92" s="239">
        <f>+AG93+AG94</f>
        <v>956</v>
      </c>
      <c r="AH92" s="189">
        <f t="shared" si="124"/>
        <v>1.4947698744769875</v>
      </c>
      <c r="AI92" s="606">
        <f>AG92-AF92</f>
        <v>-473</v>
      </c>
      <c r="AJ92" s="207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69"/>
    </row>
    <row r="93" spans="1:96" ht="15.75" customHeight="1">
      <c r="A93" s="703" t="s">
        <v>92</v>
      </c>
      <c r="B93" s="259"/>
      <c r="C93" s="260"/>
      <c r="D93" s="261"/>
      <c r="E93" s="259"/>
      <c r="F93" s="260"/>
      <c r="G93" s="472"/>
      <c r="H93" s="473"/>
      <c r="I93" s="474"/>
      <c r="J93" s="475"/>
      <c r="K93" s="412">
        <v>525</v>
      </c>
      <c r="L93" s="662">
        <f t="shared" ref="L93:L94" si="129">+K93</f>
        <v>525</v>
      </c>
      <c r="M93" s="299">
        <v>430</v>
      </c>
      <c r="N93" s="196">
        <f t="shared" si="126"/>
        <v>1.2209302325581395</v>
      </c>
      <c r="O93" s="517"/>
      <c r="P93" s="517"/>
      <c r="Q93" s="517"/>
      <c r="R93" s="517"/>
      <c r="S93" s="282"/>
      <c r="T93" s="718"/>
      <c r="U93" s="204"/>
      <c r="V93" s="473"/>
      <c r="W93" s="474"/>
      <c r="X93" s="475"/>
      <c r="Y93" s="412">
        <v>202</v>
      </c>
      <c r="Z93" s="662">
        <f t="shared" ref="Z93:Z95" si="130">V93+W93+X93+Y93</f>
        <v>202</v>
      </c>
      <c r="AA93" s="941">
        <v>200</v>
      </c>
      <c r="AB93" s="196"/>
      <c r="AC93" s="70"/>
      <c r="AD93" s="70"/>
      <c r="AE93" s="70"/>
      <c r="AF93" s="502">
        <f>+L93+Z93</f>
        <v>727</v>
      </c>
      <c r="AG93" s="69">
        <f>+M93</f>
        <v>430</v>
      </c>
      <c r="AH93" s="118">
        <f t="shared" si="124"/>
        <v>1.6906976744186046</v>
      </c>
      <c r="AI93" s="207"/>
      <c r="AJ93" s="207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</row>
    <row r="94" spans="1:96" ht="15.75" customHeight="1">
      <c r="A94" s="720" t="s">
        <v>46</v>
      </c>
      <c r="B94" s="267"/>
      <c r="C94" s="268"/>
      <c r="D94" s="269"/>
      <c r="E94" s="267"/>
      <c r="F94" s="268"/>
      <c r="G94" s="721"/>
      <c r="H94" s="669"/>
      <c r="I94" s="670"/>
      <c r="J94" s="671"/>
      <c r="K94" s="719">
        <v>96</v>
      </c>
      <c r="L94" s="662">
        <f t="shared" si="129"/>
        <v>96</v>
      </c>
      <c r="M94" s="722">
        <v>126</v>
      </c>
      <c r="N94" s="196">
        <f t="shared" si="126"/>
        <v>0.76190476190476186</v>
      </c>
      <c r="O94" s="69"/>
      <c r="P94" s="69"/>
      <c r="Q94" s="942">
        <v>271</v>
      </c>
      <c r="R94" s="69"/>
      <c r="S94" s="360">
        <f>O94+P94+Q94+R94</f>
        <v>271</v>
      </c>
      <c r="T94" s="723">
        <v>270</v>
      </c>
      <c r="U94" s="706">
        <f>+S94/T94</f>
        <v>1.0037037037037038</v>
      </c>
      <c r="V94" s="943">
        <v>190</v>
      </c>
      <c r="W94" s="670"/>
      <c r="X94" s="671"/>
      <c r="Y94" s="719">
        <v>145</v>
      </c>
      <c r="Z94" s="662">
        <f t="shared" si="130"/>
        <v>335</v>
      </c>
      <c r="AA94" s="941">
        <v>130</v>
      </c>
      <c r="AB94" s="414">
        <f t="shared" ref="AB94:AB95" si="131">Z94/AA94</f>
        <v>2.5769230769230771</v>
      </c>
      <c r="AC94" s="70"/>
      <c r="AD94" s="70"/>
      <c r="AE94" s="70"/>
      <c r="AF94" s="502">
        <f t="shared" ref="AF94:AG94" si="132">+L94+S94+Z94</f>
        <v>702</v>
      </c>
      <c r="AG94" s="69">
        <f t="shared" si="132"/>
        <v>526</v>
      </c>
      <c r="AH94" s="118">
        <f t="shared" si="124"/>
        <v>1.3346007604562737</v>
      </c>
      <c r="AI94" s="207"/>
      <c r="AJ94" s="207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</row>
    <row r="95" spans="1:96" ht="15.75" customHeight="1">
      <c r="A95" s="724" t="s">
        <v>98</v>
      </c>
      <c r="B95" s="725"/>
      <c r="C95" s="726"/>
      <c r="D95" s="727"/>
      <c r="E95" s="725"/>
      <c r="F95" s="726"/>
      <c r="G95" s="728"/>
      <c r="H95" s="729"/>
      <c r="I95" s="730"/>
      <c r="J95" s="731"/>
      <c r="K95" s="732"/>
      <c r="L95" s="733"/>
      <c r="M95" s="732"/>
      <c r="N95" s="734"/>
      <c r="O95" s="735"/>
      <c r="P95" s="735"/>
      <c r="Q95" s="735"/>
      <c r="R95" s="735"/>
      <c r="S95" s="733"/>
      <c r="T95" s="732"/>
      <c r="U95" s="732"/>
      <c r="V95" s="736"/>
      <c r="W95" s="737"/>
      <c r="X95" s="738"/>
      <c r="Y95" s="412"/>
      <c r="Z95" s="739">
        <f t="shared" si="130"/>
        <v>0</v>
      </c>
      <c r="AA95" s="412">
        <v>30</v>
      </c>
      <c r="AB95" s="499">
        <f t="shared" si="131"/>
        <v>0</v>
      </c>
      <c r="AC95" s="740"/>
      <c r="AD95" s="740"/>
      <c r="AE95" s="740"/>
      <c r="AF95" s="502">
        <f t="shared" ref="AF95:AG95" si="133">+L95+S95+Z95</f>
        <v>0</v>
      </c>
      <c r="AG95" s="69">
        <f t="shared" si="133"/>
        <v>30</v>
      </c>
      <c r="AH95" s="118">
        <f t="shared" si="124"/>
        <v>0</v>
      </c>
      <c r="AI95" s="741"/>
      <c r="AJ95" s="207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9"/>
      <c r="CG95" s="69"/>
      <c r="CH95" s="69"/>
      <c r="CI95" s="69"/>
      <c r="CJ95" s="69"/>
      <c r="CK95" s="69"/>
      <c r="CL95" s="69"/>
      <c r="CM95" s="69"/>
      <c r="CN95" s="69"/>
      <c r="CO95" s="69"/>
      <c r="CP95" s="69"/>
      <c r="CQ95" s="69"/>
      <c r="CR95" s="69"/>
    </row>
    <row r="96" spans="1:96" ht="15.75" customHeight="1">
      <c r="A96" s="742" t="s">
        <v>99</v>
      </c>
      <c r="B96" s="743"/>
      <c r="C96" s="744"/>
      <c r="D96" s="745"/>
      <c r="E96" s="743"/>
      <c r="F96" s="746"/>
      <c r="G96" s="747"/>
      <c r="H96" s="748"/>
      <c r="I96" s="749"/>
      <c r="J96" s="750"/>
      <c r="K96" s="751"/>
      <c r="L96" s="750"/>
      <c r="M96" s="752"/>
      <c r="N96" s="753"/>
      <c r="O96" s="753"/>
      <c r="P96" s="753"/>
      <c r="Q96" s="753"/>
      <c r="R96" s="751"/>
      <c r="S96" s="750"/>
      <c r="T96" s="750"/>
      <c r="U96" s="747"/>
      <c r="V96" s="748"/>
      <c r="W96" s="749"/>
      <c r="X96" s="750"/>
      <c r="Y96" s="751"/>
      <c r="Z96" s="750">
        <v>15</v>
      </c>
      <c r="AA96" s="752"/>
      <c r="AB96" s="754"/>
      <c r="AC96" s="754"/>
      <c r="AD96" s="754"/>
      <c r="AE96" s="755"/>
      <c r="AF96" s="753"/>
      <c r="AG96" s="753">
        <v>15</v>
      </c>
      <c r="AH96" s="753"/>
      <c r="AI96" s="741"/>
      <c r="AJ96" s="207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69"/>
      <c r="BQ96" s="69"/>
      <c r="BR96" s="69"/>
      <c r="BS96" s="69"/>
      <c r="BT96" s="69"/>
      <c r="BU96" s="69"/>
      <c r="BV96" s="69"/>
      <c r="BW96" s="69"/>
      <c r="BX96" s="69"/>
      <c r="BY96" s="69"/>
      <c r="BZ96" s="69"/>
      <c r="CA96" s="69"/>
      <c r="CB96" s="69"/>
      <c r="CC96" s="69"/>
      <c r="CD96" s="69"/>
      <c r="CE96" s="69"/>
      <c r="CF96" s="69"/>
      <c r="CG96" s="69"/>
      <c r="CH96" s="69"/>
      <c r="CI96" s="69"/>
      <c r="CJ96" s="69"/>
      <c r="CK96" s="69"/>
      <c r="CL96" s="69"/>
      <c r="CM96" s="69"/>
      <c r="CN96" s="69"/>
      <c r="CO96" s="69"/>
      <c r="CP96" s="69"/>
      <c r="CQ96" s="69"/>
      <c r="CR96" s="69"/>
    </row>
    <row r="97" spans="1:96" ht="15.75" customHeight="1">
      <c r="A97" s="756" t="s">
        <v>100</v>
      </c>
      <c r="B97" s="757"/>
      <c r="C97" s="758"/>
      <c r="D97" s="759"/>
      <c r="E97" s="757"/>
      <c r="F97" s="758"/>
      <c r="G97" s="760"/>
      <c r="H97" s="761"/>
      <c r="I97" s="762"/>
      <c r="J97" s="763"/>
      <c r="K97" s="762"/>
      <c r="L97" s="764"/>
      <c r="M97" s="762"/>
      <c r="N97" s="760"/>
      <c r="O97" s="765"/>
      <c r="P97" s="765"/>
      <c r="Q97" s="765"/>
      <c r="R97" s="765"/>
      <c r="S97" s="764">
        <f>O97+P97+Q97+R97</f>
        <v>0</v>
      </c>
      <c r="T97" s="762"/>
      <c r="U97" s="760"/>
      <c r="V97" s="766"/>
      <c r="W97" s="767"/>
      <c r="X97" s="768"/>
      <c r="Y97" s="767"/>
      <c r="Z97" s="769"/>
      <c r="AA97" s="767"/>
      <c r="AB97" s="770"/>
      <c r="AC97" s="771"/>
      <c r="AD97" s="771"/>
      <c r="AE97" s="771"/>
      <c r="AF97" s="772"/>
      <c r="AG97" s="773"/>
      <c r="AH97" s="774"/>
      <c r="AI97" s="741"/>
      <c r="AJ97" s="207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69"/>
      <c r="CA97" s="69"/>
      <c r="CB97" s="69"/>
      <c r="CC97" s="69"/>
      <c r="CD97" s="69"/>
      <c r="CE97" s="69"/>
      <c r="CF97" s="69"/>
      <c r="CG97" s="69"/>
      <c r="CH97" s="69"/>
      <c r="CI97" s="69"/>
      <c r="CJ97" s="69"/>
      <c r="CK97" s="69"/>
      <c r="CL97" s="69"/>
      <c r="CM97" s="69"/>
      <c r="CN97" s="69"/>
      <c r="CO97" s="69"/>
      <c r="CP97" s="69"/>
      <c r="CQ97" s="69"/>
      <c r="CR97" s="69"/>
    </row>
    <row r="98" spans="1:96" ht="15" customHeight="1">
      <c r="A98" s="775" t="s">
        <v>101</v>
      </c>
      <c r="B98" s="132"/>
      <c r="C98" s="132"/>
      <c r="D98" s="208"/>
      <c r="E98" s="88"/>
      <c r="F98" s="88"/>
      <c r="G98" s="200"/>
      <c r="N98" s="77"/>
      <c r="O98" s="69"/>
      <c r="P98" s="69"/>
      <c r="Q98" s="69"/>
      <c r="R98" s="69"/>
      <c r="S98" s="77"/>
      <c r="T98" s="77"/>
      <c r="U98" s="69"/>
      <c r="V98" s="77">
        <v>1</v>
      </c>
      <c r="W98" s="77"/>
      <c r="X98" s="366"/>
      <c r="Y98" s="77"/>
      <c r="Z98" s="77">
        <f t="shared" ref="Z98:Z99" si="134">V98</f>
        <v>1</v>
      </c>
      <c r="AA98" s="77">
        <v>1</v>
      </c>
      <c r="AB98" s="414">
        <f t="shared" ref="AB98:AB99" si="135">Z98/AA98</f>
        <v>1</v>
      </c>
      <c r="AC98" s="69"/>
      <c r="AD98" s="69"/>
      <c r="AE98" s="69"/>
      <c r="AF98" s="776">
        <f t="shared" ref="AF98:AF99" si="136">Z98</f>
        <v>1</v>
      </c>
      <c r="AG98" s="777">
        <v>1</v>
      </c>
      <c r="AH98" s="778">
        <f t="shared" ref="AH98:AH99" si="137">AF98/AG98</f>
        <v>1</v>
      </c>
      <c r="AI98" s="741"/>
      <c r="AJ98" s="207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69"/>
      <c r="CQ98" s="69"/>
      <c r="CR98" s="69"/>
    </row>
    <row r="99" spans="1:96" ht="15" customHeight="1">
      <c r="A99" s="779" t="s">
        <v>102</v>
      </c>
      <c r="B99" s="780"/>
      <c r="C99" s="780"/>
      <c r="D99" s="537"/>
      <c r="E99" s="781"/>
      <c r="F99" s="781"/>
      <c r="G99" s="280"/>
      <c r="H99" s="782"/>
      <c r="I99" s="782"/>
      <c r="J99" s="782"/>
      <c r="K99" s="782"/>
      <c r="L99" s="782"/>
      <c r="M99" s="782"/>
      <c r="N99" s="392"/>
      <c r="O99" s="237"/>
      <c r="P99" s="237"/>
      <c r="Q99" s="237"/>
      <c r="R99" s="237"/>
      <c r="S99" s="392"/>
      <c r="T99" s="392"/>
      <c r="U99" s="237"/>
      <c r="V99" s="392">
        <v>1</v>
      </c>
      <c r="W99" s="392"/>
      <c r="X99" s="393"/>
      <c r="Y99" s="392"/>
      <c r="Z99" s="392">
        <f t="shared" si="134"/>
        <v>1</v>
      </c>
      <c r="AA99" s="392">
        <v>1</v>
      </c>
      <c r="AB99" s="681">
        <f t="shared" si="135"/>
        <v>1</v>
      </c>
      <c r="AC99" s="237"/>
      <c r="AD99" s="237"/>
      <c r="AE99" s="237"/>
      <c r="AF99" s="551">
        <f t="shared" si="136"/>
        <v>1</v>
      </c>
      <c r="AG99" s="783">
        <v>1</v>
      </c>
      <c r="AH99" s="349">
        <f t="shared" si="137"/>
        <v>1</v>
      </c>
      <c r="AI99" s="741"/>
      <c r="AJ99" s="207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9"/>
      <c r="CO99" s="69"/>
      <c r="CP99" s="69"/>
      <c r="CQ99" s="69"/>
      <c r="CR99" s="69"/>
    </row>
    <row r="100" spans="1:96" ht="15" customHeight="1">
      <c r="A100" s="784"/>
      <c r="B100" s="132" t="s">
        <v>103</v>
      </c>
      <c r="C100" s="132"/>
      <c r="D100" s="208">
        <f>+AVERAGE(D24:D46)</f>
        <v>0.8473446363357825</v>
      </c>
      <c r="E100" s="1071"/>
      <c r="F100" s="1064"/>
      <c r="G100" s="200"/>
      <c r="H100" s="77"/>
      <c r="I100" s="77"/>
      <c r="J100" s="366"/>
      <c r="K100" s="77"/>
      <c r="L100" s="77"/>
      <c r="M100" s="77"/>
      <c r="N100" s="77"/>
      <c r="O100" s="69"/>
      <c r="P100" s="69"/>
      <c r="Q100" s="69"/>
      <c r="R100" s="69"/>
      <c r="S100" s="77"/>
      <c r="T100" s="77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785"/>
      <c r="AH100" s="785"/>
      <c r="AI100" s="207"/>
      <c r="AJ100" s="207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69"/>
      <c r="CQ100" s="69"/>
      <c r="CR100" s="69"/>
    </row>
    <row r="101" spans="1:96" ht="12.75" customHeight="1">
      <c r="A101" s="784"/>
      <c r="B101" s="132" t="s">
        <v>104</v>
      </c>
      <c r="C101" s="132"/>
      <c r="D101" s="208">
        <f>+AVERAGE(D61:D74)</f>
        <v>1.1755555555555557</v>
      </c>
      <c r="E101" s="69"/>
      <c r="F101" s="69"/>
      <c r="G101" s="200">
        <f>+AVERAGE(G61:G74)</f>
        <v>1.0666666666666667</v>
      </c>
      <c r="H101" s="77"/>
      <c r="I101" s="77"/>
      <c r="J101" s="366"/>
      <c r="K101" s="77"/>
      <c r="L101" s="77"/>
      <c r="M101" s="77"/>
      <c r="N101" s="77"/>
      <c r="O101" s="69"/>
      <c r="P101" s="69"/>
      <c r="Q101" s="69"/>
      <c r="R101" s="69"/>
      <c r="S101" s="77"/>
      <c r="T101" s="77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207"/>
      <c r="AH101" s="207"/>
      <c r="AI101" s="207"/>
      <c r="AJ101" s="207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  <c r="CI101" s="69"/>
      <c r="CJ101" s="69"/>
      <c r="CK101" s="69"/>
      <c r="CL101" s="69"/>
      <c r="CM101" s="69"/>
      <c r="CN101" s="69"/>
      <c r="CO101" s="69"/>
      <c r="CP101" s="69"/>
      <c r="CQ101" s="69"/>
      <c r="CR101" s="69"/>
    </row>
    <row r="102" spans="1:96" ht="12.75" customHeight="1">
      <c r="A102" s="784"/>
      <c r="B102" s="132" t="s">
        <v>105</v>
      </c>
      <c r="C102" s="132"/>
      <c r="D102" s="208">
        <f>+AVERAGE(D81:D92)</f>
        <v>1.208538961038961</v>
      </c>
      <c r="E102" s="69"/>
      <c r="F102" s="69"/>
      <c r="G102" s="200">
        <f>+AVERAGE(G81:G92)</f>
        <v>1.0273586844809866</v>
      </c>
      <c r="H102" s="77"/>
      <c r="I102" s="77"/>
      <c r="J102" s="366"/>
      <c r="K102" s="77"/>
      <c r="L102" s="77"/>
      <c r="M102" s="77" t="s">
        <v>106</v>
      </c>
      <c r="N102" s="208">
        <f>+AVERAGE(N4,N7,N8,N19,N24,N33,N40,N46,N60,N64,N68,N74,N81,N82,N83,N84,N88,N89,N92)</f>
        <v>1.1111203752059839</v>
      </c>
      <c r="O102" s="69"/>
      <c r="P102" s="69"/>
      <c r="Q102" s="69"/>
      <c r="R102" s="69"/>
      <c r="S102" s="77"/>
      <c r="T102" s="77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207"/>
      <c r="AH102" s="207"/>
      <c r="AI102" s="207"/>
      <c r="AJ102" s="207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9"/>
      <c r="CO102" s="69"/>
      <c r="CP102" s="69"/>
      <c r="CQ102" s="69"/>
      <c r="CR102" s="69"/>
    </row>
    <row r="103" spans="1:96" ht="12.75" customHeight="1">
      <c r="A103" s="784"/>
      <c r="B103" s="132" t="s">
        <v>107</v>
      </c>
      <c r="C103" s="132"/>
      <c r="D103" s="208">
        <f>+AVERAGE(D7,D24,D33,D40,D46,D65,D74,D81,D82,D83,D87,D88)</f>
        <v>1.1058527466825769</v>
      </c>
      <c r="E103" s="69"/>
      <c r="F103" s="69"/>
      <c r="G103" s="200">
        <f>+AVERAGE(G7,G24,G33,G40,G46,G65,G74,G81,G82,G83,G87,G88)</f>
        <v>0.93375240333589427</v>
      </c>
      <c r="H103" s="77"/>
      <c r="I103" s="77"/>
      <c r="J103" s="366"/>
      <c r="K103" s="77"/>
      <c r="L103" s="77"/>
      <c r="M103" s="77"/>
      <c r="N103" s="77"/>
      <c r="O103" s="69"/>
      <c r="P103" s="69"/>
      <c r="Q103" s="69"/>
      <c r="R103" s="69"/>
      <c r="S103" s="77"/>
      <c r="T103" s="77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207"/>
      <c r="AH103" s="207"/>
      <c r="AI103" s="207"/>
      <c r="AJ103" s="207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/>
      <c r="CK103" s="69"/>
      <c r="CL103" s="69"/>
      <c r="CM103" s="69"/>
      <c r="CN103" s="69"/>
      <c r="CO103" s="69"/>
      <c r="CP103" s="69"/>
      <c r="CQ103" s="69"/>
      <c r="CR103" s="69"/>
    </row>
    <row r="104" spans="1:96" ht="12.75" customHeight="1">
      <c r="A104" s="784"/>
      <c r="B104" s="69"/>
      <c r="C104" s="69"/>
      <c r="D104" s="69"/>
      <c r="E104" s="69"/>
      <c r="F104" s="69"/>
      <c r="G104" s="77"/>
      <c r="H104" s="77"/>
      <c r="I104" s="77"/>
      <c r="J104" s="366"/>
      <c r="K104" s="77"/>
      <c r="L104" s="77"/>
      <c r="M104" s="77"/>
      <c r="N104" s="77"/>
      <c r="O104" s="69"/>
      <c r="P104" s="69"/>
      <c r="Q104" s="69"/>
      <c r="R104" s="69"/>
      <c r="S104" s="77"/>
      <c r="T104" s="77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207"/>
      <c r="AH104" s="207"/>
      <c r="AI104" s="207"/>
      <c r="AJ104" s="207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69"/>
      <c r="CQ104" s="69"/>
      <c r="CR104" s="69"/>
    </row>
    <row r="105" spans="1:96" ht="12.75" customHeight="1">
      <c r="A105" s="784"/>
      <c r="B105" s="786" t="s">
        <v>37</v>
      </c>
      <c r="C105" s="1072" t="s">
        <v>108</v>
      </c>
      <c r="D105" s="1070"/>
      <c r="E105" s="69"/>
      <c r="F105" s="69"/>
      <c r="G105" s="77"/>
      <c r="H105" s="77"/>
      <c r="I105" s="77"/>
      <c r="J105" s="366"/>
      <c r="K105" s="77"/>
      <c r="L105" s="77"/>
      <c r="M105" s="77"/>
      <c r="N105" s="77"/>
      <c r="O105" s="69"/>
      <c r="P105" s="69"/>
      <c r="Q105" s="69"/>
      <c r="R105" s="69"/>
      <c r="S105" s="77"/>
      <c r="T105" s="77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207"/>
      <c r="AH105" s="207"/>
      <c r="AI105" s="207"/>
      <c r="AJ105" s="207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9"/>
      <c r="CO105" s="69"/>
      <c r="CP105" s="69"/>
      <c r="CQ105" s="69"/>
      <c r="CR105" s="69"/>
    </row>
    <row r="106" spans="1:96" ht="12.75" customHeight="1">
      <c r="A106" s="784"/>
      <c r="B106" s="786" t="s">
        <v>40</v>
      </c>
      <c r="C106" s="787" t="s">
        <v>109</v>
      </c>
      <c r="D106" s="787"/>
      <c r="E106" s="69"/>
      <c r="F106" s="69"/>
      <c r="G106" s="77"/>
      <c r="H106" s="77"/>
      <c r="I106" s="77"/>
      <c r="J106" s="366"/>
      <c r="K106" s="77"/>
      <c r="L106" s="77"/>
      <c r="M106" s="77"/>
      <c r="N106" s="77"/>
      <c r="O106" s="69"/>
      <c r="P106" s="69"/>
      <c r="Q106" s="69"/>
      <c r="R106" s="69"/>
      <c r="S106" s="77"/>
      <c r="T106" s="77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207"/>
      <c r="AH106" s="207"/>
      <c r="AI106" s="207"/>
      <c r="AJ106" s="207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69"/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/>
      <c r="CM106" s="69"/>
      <c r="CN106" s="69"/>
      <c r="CO106" s="69"/>
      <c r="CP106" s="69"/>
      <c r="CQ106" s="69"/>
      <c r="CR106" s="69"/>
    </row>
    <row r="107" spans="1:96" ht="12.75" customHeight="1">
      <c r="A107" s="784"/>
      <c r="B107" s="788" t="s">
        <v>110</v>
      </c>
      <c r="C107" s="1073" t="s">
        <v>129</v>
      </c>
      <c r="D107" s="1069"/>
      <c r="E107" s="1069"/>
      <c r="F107" s="1069"/>
      <c r="G107" s="1069"/>
      <c r="H107" s="1069"/>
      <c r="I107" s="1069"/>
      <c r="J107" s="1069"/>
      <c r="K107" s="1070"/>
      <c r="L107" s="77"/>
      <c r="M107" s="77"/>
      <c r="N107" s="77"/>
      <c r="O107" s="69"/>
      <c r="P107" s="69"/>
      <c r="Q107" s="69"/>
      <c r="R107" s="69"/>
      <c r="S107" s="77"/>
      <c r="T107" s="77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207"/>
      <c r="AH107" s="207"/>
      <c r="AI107" s="207"/>
      <c r="AJ107" s="207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9"/>
      <c r="CO107" s="69"/>
      <c r="CP107" s="69"/>
      <c r="CQ107" s="69"/>
      <c r="CR107" s="69"/>
    </row>
    <row r="108" spans="1:96" ht="12.75" customHeight="1">
      <c r="A108" s="784"/>
      <c r="B108" s="788" t="s">
        <v>111</v>
      </c>
      <c r="C108" s="1073" t="s">
        <v>130</v>
      </c>
      <c r="D108" s="1069"/>
      <c r="E108" s="1069"/>
      <c r="F108" s="1069"/>
      <c r="G108" s="1069"/>
      <c r="H108" s="1069"/>
      <c r="I108" s="1069"/>
      <c r="J108" s="1069"/>
      <c r="K108" s="1070"/>
      <c r="L108" s="77"/>
      <c r="M108" s="77"/>
      <c r="N108" s="77"/>
      <c r="O108" s="69"/>
      <c r="P108" s="69"/>
      <c r="Q108" s="69"/>
      <c r="R108" s="69"/>
      <c r="S108" s="77"/>
      <c r="T108" s="77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207"/>
      <c r="AH108" s="207"/>
      <c r="AI108" s="207"/>
      <c r="AJ108" s="207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69"/>
      <c r="CM108" s="69"/>
      <c r="CN108" s="69"/>
      <c r="CO108" s="69"/>
      <c r="CP108" s="69"/>
      <c r="CQ108" s="69"/>
      <c r="CR108" s="69"/>
    </row>
    <row r="109" spans="1:96" ht="12.75" customHeight="1">
      <c r="A109" s="784"/>
      <c r="B109" s="788" t="s">
        <v>112</v>
      </c>
      <c r="C109" s="1073" t="s">
        <v>131</v>
      </c>
      <c r="D109" s="1069"/>
      <c r="E109" s="1069"/>
      <c r="F109" s="1069"/>
      <c r="G109" s="1069"/>
      <c r="H109" s="1069"/>
      <c r="I109" s="1069"/>
      <c r="J109" s="1069"/>
      <c r="K109" s="1070"/>
      <c r="L109" s="77"/>
      <c r="M109" s="77"/>
      <c r="N109" s="77"/>
      <c r="O109" s="69"/>
      <c r="P109" s="69"/>
      <c r="Q109" s="69"/>
      <c r="R109" s="69"/>
      <c r="S109" s="77"/>
      <c r="T109" s="77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207"/>
      <c r="AH109" s="207"/>
      <c r="AI109" s="207"/>
      <c r="AJ109" s="207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69"/>
      <c r="BQ109" s="69"/>
      <c r="BR109" s="69"/>
      <c r="BS109" s="69"/>
      <c r="BT109" s="69"/>
      <c r="BU109" s="69"/>
      <c r="BV109" s="69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  <c r="CG109" s="69"/>
      <c r="CH109" s="69"/>
      <c r="CI109" s="69"/>
      <c r="CJ109" s="69"/>
      <c r="CK109" s="69"/>
      <c r="CL109" s="69"/>
      <c r="CM109" s="69"/>
      <c r="CN109" s="69"/>
      <c r="CO109" s="69"/>
      <c r="CP109" s="69"/>
      <c r="CQ109" s="69"/>
      <c r="CR109" s="69"/>
    </row>
    <row r="110" spans="1:96" ht="12.75" customHeight="1">
      <c r="A110" s="784"/>
      <c r="B110" s="788" t="s">
        <v>113</v>
      </c>
      <c r="C110" s="1073" t="s">
        <v>132</v>
      </c>
      <c r="D110" s="1069"/>
      <c r="E110" s="1069"/>
      <c r="F110" s="1069"/>
      <c r="G110" s="1069"/>
      <c r="H110" s="1069"/>
      <c r="I110" s="1069"/>
      <c r="J110" s="1069"/>
      <c r="K110" s="1070"/>
      <c r="L110" s="77"/>
      <c r="M110" s="77"/>
      <c r="N110" s="77"/>
      <c r="O110" s="69"/>
      <c r="P110" s="69"/>
      <c r="Q110" s="69"/>
      <c r="R110" s="69"/>
      <c r="S110" s="77"/>
      <c r="T110" s="77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207"/>
      <c r="AH110" s="207"/>
      <c r="AI110" s="207"/>
      <c r="AJ110" s="207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9"/>
      <c r="CO110" s="69"/>
      <c r="CP110" s="69"/>
      <c r="CQ110" s="69"/>
      <c r="CR110" s="69"/>
    </row>
    <row r="111" spans="1:96" ht="12.75" customHeight="1">
      <c r="A111" s="784"/>
      <c r="B111" s="788">
        <v>3.1</v>
      </c>
      <c r="C111" s="1073" t="s">
        <v>114</v>
      </c>
      <c r="D111" s="1069"/>
      <c r="E111" s="1069"/>
      <c r="F111" s="1069"/>
      <c r="G111" s="1069"/>
      <c r="H111" s="1069"/>
      <c r="I111" s="1069"/>
      <c r="J111" s="1069"/>
      <c r="K111" s="1070"/>
      <c r="L111" s="77"/>
      <c r="M111" s="77"/>
      <c r="N111" s="77"/>
      <c r="O111" s="69"/>
      <c r="P111" s="69"/>
      <c r="Q111" s="69"/>
      <c r="R111" s="69"/>
      <c r="S111" s="77"/>
      <c r="T111" s="77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207"/>
      <c r="AH111" s="207"/>
      <c r="AI111" s="207"/>
      <c r="AJ111" s="207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69"/>
      <c r="BQ111" s="69"/>
      <c r="BR111" s="69"/>
      <c r="BS111" s="69"/>
      <c r="BT111" s="69"/>
      <c r="BU111" s="69"/>
      <c r="BV111" s="69"/>
      <c r="BW111" s="69"/>
      <c r="BX111" s="69"/>
      <c r="BY111" s="69"/>
      <c r="BZ111" s="69"/>
      <c r="CA111" s="69"/>
      <c r="CB111" s="69"/>
      <c r="CC111" s="69"/>
      <c r="CD111" s="69"/>
      <c r="CE111" s="69"/>
      <c r="CF111" s="69"/>
      <c r="CG111" s="69"/>
      <c r="CH111" s="69"/>
      <c r="CI111" s="69"/>
      <c r="CJ111" s="69"/>
      <c r="CK111" s="69"/>
      <c r="CL111" s="69"/>
      <c r="CM111" s="69"/>
      <c r="CN111" s="69"/>
      <c r="CO111" s="69"/>
      <c r="CP111" s="69"/>
      <c r="CQ111" s="69"/>
      <c r="CR111" s="69"/>
    </row>
    <row r="112" spans="1:96" ht="12.75" customHeight="1">
      <c r="A112" s="784"/>
      <c r="B112" s="788" t="s">
        <v>115</v>
      </c>
      <c r="C112" s="1068" t="s">
        <v>133</v>
      </c>
      <c r="D112" s="1069"/>
      <c r="E112" s="1069"/>
      <c r="F112" s="1069"/>
      <c r="G112" s="1069"/>
      <c r="H112" s="1069"/>
      <c r="I112" s="1069"/>
      <c r="J112" s="1069"/>
      <c r="K112" s="1070"/>
      <c r="L112" s="77"/>
      <c r="M112" s="77"/>
      <c r="N112" s="77"/>
      <c r="O112" s="69"/>
      <c r="P112" s="69"/>
      <c r="Q112" s="69"/>
      <c r="R112" s="69"/>
      <c r="S112" s="77"/>
      <c r="T112" s="77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207"/>
      <c r="AH112" s="207"/>
      <c r="AI112" s="207"/>
      <c r="AJ112" s="207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69"/>
      <c r="BQ112" s="69"/>
      <c r="BR112" s="69"/>
      <c r="BS112" s="69"/>
      <c r="BT112" s="69"/>
      <c r="BU112" s="69"/>
      <c r="BV112" s="69"/>
      <c r="BW112" s="69"/>
      <c r="BX112" s="69"/>
      <c r="BY112" s="69"/>
      <c r="BZ112" s="69"/>
      <c r="CA112" s="69"/>
      <c r="CB112" s="69"/>
      <c r="CC112" s="69"/>
      <c r="CD112" s="69"/>
      <c r="CE112" s="69"/>
      <c r="CF112" s="69"/>
      <c r="CG112" s="69"/>
      <c r="CH112" s="69"/>
      <c r="CI112" s="69"/>
      <c r="CJ112" s="69"/>
      <c r="CK112" s="69"/>
      <c r="CL112" s="69"/>
      <c r="CM112" s="69"/>
      <c r="CN112" s="69"/>
      <c r="CO112" s="69"/>
      <c r="CP112" s="69"/>
      <c r="CQ112" s="69"/>
      <c r="CR112" s="69"/>
    </row>
    <row r="113" spans="1:96" ht="12.75" customHeight="1">
      <c r="A113" s="784"/>
      <c r="B113" s="788" t="s">
        <v>116</v>
      </c>
      <c r="C113" s="1068" t="s">
        <v>134</v>
      </c>
      <c r="D113" s="1069"/>
      <c r="E113" s="1069"/>
      <c r="F113" s="1069"/>
      <c r="G113" s="1069"/>
      <c r="H113" s="1069"/>
      <c r="I113" s="1069"/>
      <c r="J113" s="1069"/>
      <c r="K113" s="1070"/>
      <c r="L113" s="77"/>
      <c r="M113" s="77"/>
      <c r="N113" s="77"/>
      <c r="O113" s="69"/>
      <c r="P113" s="69"/>
      <c r="Q113" s="69"/>
      <c r="R113" s="69"/>
      <c r="S113" s="77"/>
      <c r="T113" s="77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207"/>
      <c r="AH113" s="207"/>
      <c r="AI113" s="207"/>
      <c r="AJ113" s="207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69"/>
      <c r="BQ113" s="69"/>
      <c r="BR113" s="69"/>
      <c r="BS113" s="69"/>
      <c r="BT113" s="69"/>
      <c r="BU113" s="69"/>
      <c r="BV113" s="69"/>
      <c r="BW113" s="69"/>
      <c r="BX113" s="69"/>
      <c r="BY113" s="69"/>
      <c r="BZ113" s="69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  <c r="CL113" s="69"/>
      <c r="CM113" s="69"/>
      <c r="CN113" s="69"/>
      <c r="CO113" s="69"/>
      <c r="CP113" s="69"/>
      <c r="CQ113" s="69"/>
      <c r="CR113" s="69"/>
    </row>
    <row r="114" spans="1:96" ht="12.75" customHeight="1">
      <c r="A114" s="784"/>
      <c r="B114" s="788" t="s">
        <v>117</v>
      </c>
      <c r="C114" s="1068" t="s">
        <v>135</v>
      </c>
      <c r="D114" s="1069"/>
      <c r="E114" s="1069"/>
      <c r="F114" s="1069"/>
      <c r="G114" s="1069"/>
      <c r="H114" s="1069"/>
      <c r="I114" s="1069"/>
      <c r="J114" s="1069"/>
      <c r="K114" s="1070"/>
      <c r="L114" s="77"/>
      <c r="M114" s="77"/>
      <c r="N114" s="77"/>
      <c r="O114" s="69"/>
      <c r="P114" s="69"/>
      <c r="Q114" s="69"/>
      <c r="R114" s="69"/>
      <c r="S114" s="77"/>
      <c r="T114" s="77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207"/>
      <c r="AH114" s="207"/>
      <c r="AI114" s="207"/>
      <c r="AJ114" s="207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  <c r="CG114" s="69"/>
      <c r="CH114" s="69"/>
      <c r="CI114" s="69"/>
      <c r="CJ114" s="69"/>
      <c r="CK114" s="69"/>
      <c r="CL114" s="69"/>
      <c r="CM114" s="69"/>
      <c r="CN114" s="69"/>
      <c r="CO114" s="69"/>
      <c r="CP114" s="69"/>
      <c r="CQ114" s="69"/>
      <c r="CR114" s="69"/>
    </row>
    <row r="115" spans="1:96" ht="12.75" customHeight="1">
      <c r="A115" s="784"/>
      <c r="B115" s="788" t="s">
        <v>118</v>
      </c>
      <c r="C115" s="1068" t="s">
        <v>136</v>
      </c>
      <c r="D115" s="1069"/>
      <c r="E115" s="1069"/>
      <c r="F115" s="1069"/>
      <c r="G115" s="1069"/>
      <c r="H115" s="1069"/>
      <c r="I115" s="1069"/>
      <c r="J115" s="1069"/>
      <c r="K115" s="1070"/>
      <c r="L115" s="77"/>
      <c r="M115" s="77"/>
      <c r="N115" s="77"/>
      <c r="O115" s="69"/>
      <c r="P115" s="69"/>
      <c r="Q115" s="69"/>
      <c r="R115" s="69"/>
      <c r="S115" s="77"/>
      <c r="T115" s="77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207"/>
      <c r="AH115" s="207"/>
      <c r="AI115" s="207"/>
      <c r="AJ115" s="207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  <c r="BP115" s="69"/>
      <c r="BQ115" s="69"/>
      <c r="BR115" s="69"/>
      <c r="BS115" s="69"/>
      <c r="BT115" s="69"/>
      <c r="BU115" s="69"/>
      <c r="BV115" s="69"/>
      <c r="BW115" s="69"/>
      <c r="BX115" s="69"/>
      <c r="BY115" s="69"/>
      <c r="BZ115" s="69"/>
      <c r="CA115" s="69"/>
      <c r="CB115" s="69"/>
      <c r="CC115" s="69"/>
      <c r="CD115" s="69"/>
      <c r="CE115" s="69"/>
      <c r="CF115" s="69"/>
      <c r="CG115" s="69"/>
      <c r="CH115" s="69"/>
      <c r="CI115" s="69"/>
      <c r="CJ115" s="69"/>
      <c r="CK115" s="69"/>
      <c r="CL115" s="69"/>
      <c r="CM115" s="69"/>
      <c r="CN115" s="69"/>
      <c r="CO115" s="69"/>
      <c r="CP115" s="69"/>
      <c r="CQ115" s="69"/>
      <c r="CR115" s="69"/>
    </row>
    <row r="116" spans="1:96" ht="12.75" customHeight="1">
      <c r="A116" s="784"/>
      <c r="B116" s="788" t="s">
        <v>119</v>
      </c>
      <c r="C116" s="1068" t="s">
        <v>137</v>
      </c>
      <c r="D116" s="1069"/>
      <c r="E116" s="1069"/>
      <c r="F116" s="1069"/>
      <c r="G116" s="1069"/>
      <c r="H116" s="1069"/>
      <c r="I116" s="1069"/>
      <c r="J116" s="1069"/>
      <c r="K116" s="1070"/>
      <c r="L116" s="77"/>
      <c r="M116" s="77"/>
      <c r="N116" s="77"/>
      <c r="O116" s="69"/>
      <c r="P116" s="69"/>
      <c r="Q116" s="69"/>
      <c r="R116" s="69"/>
      <c r="S116" s="77"/>
      <c r="T116" s="77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207"/>
      <c r="AH116" s="207"/>
      <c r="AI116" s="207"/>
      <c r="AJ116" s="207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  <c r="CD116" s="69"/>
      <c r="CE116" s="69"/>
      <c r="CF116" s="69"/>
      <c r="CG116" s="69"/>
      <c r="CH116" s="69"/>
      <c r="CI116" s="69"/>
      <c r="CJ116" s="69"/>
      <c r="CK116" s="69"/>
      <c r="CL116" s="69"/>
      <c r="CM116" s="69"/>
      <c r="CN116" s="69"/>
      <c r="CO116" s="69"/>
      <c r="CP116" s="69"/>
      <c r="CQ116" s="69"/>
      <c r="CR116" s="69"/>
    </row>
    <row r="117" spans="1:96" ht="12.75" customHeight="1">
      <c r="A117" s="784"/>
      <c r="B117" s="788" t="s">
        <v>120</v>
      </c>
      <c r="C117" s="1068" t="s">
        <v>138</v>
      </c>
      <c r="D117" s="1069"/>
      <c r="E117" s="1069"/>
      <c r="F117" s="1069"/>
      <c r="G117" s="1069"/>
      <c r="H117" s="1069"/>
      <c r="I117" s="1069"/>
      <c r="J117" s="1069"/>
      <c r="K117" s="1070"/>
      <c r="L117" s="77"/>
      <c r="M117" s="77"/>
      <c r="N117" s="77"/>
      <c r="O117" s="69"/>
      <c r="P117" s="69"/>
      <c r="Q117" s="69"/>
      <c r="R117" s="69"/>
      <c r="S117" s="77"/>
      <c r="T117" s="77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207"/>
      <c r="AH117" s="207"/>
      <c r="AI117" s="207"/>
      <c r="AJ117" s="207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69"/>
      <c r="BQ117" s="69"/>
      <c r="BR117" s="69"/>
      <c r="BS117" s="69"/>
      <c r="BT117" s="69"/>
      <c r="BU117" s="69"/>
      <c r="BV117" s="69"/>
      <c r="BW117" s="69"/>
      <c r="BX117" s="69"/>
      <c r="BY117" s="69"/>
      <c r="BZ117" s="69"/>
      <c r="CA117" s="69"/>
      <c r="CB117" s="69"/>
      <c r="CC117" s="69"/>
      <c r="CD117" s="69"/>
      <c r="CE117" s="69"/>
      <c r="CF117" s="69"/>
      <c r="CG117" s="69"/>
      <c r="CH117" s="69"/>
      <c r="CI117" s="69"/>
      <c r="CJ117" s="69"/>
      <c r="CK117" s="69"/>
      <c r="CL117" s="69"/>
      <c r="CM117" s="69"/>
      <c r="CN117" s="69"/>
      <c r="CO117" s="69"/>
      <c r="CP117" s="69"/>
      <c r="CQ117" s="69"/>
      <c r="CR117" s="69"/>
    </row>
    <row r="118" spans="1:96" ht="12.75" customHeight="1">
      <c r="A118" s="784"/>
      <c r="B118" s="69"/>
      <c r="C118" s="69"/>
      <c r="D118" s="69"/>
      <c r="E118" s="69"/>
      <c r="F118" s="69"/>
      <c r="G118" s="77"/>
      <c r="H118" s="77"/>
      <c r="I118" s="77"/>
      <c r="J118" s="366"/>
      <c r="K118" s="77"/>
      <c r="L118" s="77"/>
      <c r="M118" s="77"/>
      <c r="N118" s="77"/>
      <c r="O118" s="69"/>
      <c r="P118" s="69"/>
      <c r="Q118" s="69"/>
      <c r="R118" s="69"/>
      <c r="S118" s="77"/>
      <c r="T118" s="77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207"/>
      <c r="AH118" s="207"/>
      <c r="AI118" s="207"/>
      <c r="AJ118" s="207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69"/>
      <c r="BT118" s="69"/>
      <c r="BU118" s="69"/>
      <c r="BV118" s="69"/>
      <c r="BW118" s="69"/>
      <c r="BX118" s="69"/>
      <c r="BY118" s="69"/>
      <c r="BZ118" s="69"/>
      <c r="CA118" s="69"/>
      <c r="CB118" s="69"/>
      <c r="CC118" s="69"/>
      <c r="CD118" s="69"/>
      <c r="CE118" s="69"/>
      <c r="CF118" s="69"/>
      <c r="CG118" s="69"/>
      <c r="CH118" s="69"/>
      <c r="CI118" s="69"/>
      <c r="CJ118" s="69"/>
      <c r="CK118" s="69"/>
      <c r="CL118" s="69"/>
      <c r="CM118" s="69"/>
      <c r="CN118" s="69"/>
      <c r="CO118" s="69"/>
      <c r="CP118" s="69"/>
      <c r="CQ118" s="69"/>
      <c r="CR118" s="69"/>
    </row>
    <row r="119" spans="1:96" ht="12.75" customHeight="1">
      <c r="A119" s="784"/>
      <c r="B119" s="69"/>
      <c r="C119" s="69"/>
      <c r="D119" s="69"/>
      <c r="E119" s="69"/>
      <c r="F119" s="69"/>
      <c r="G119" s="77"/>
      <c r="H119" s="77"/>
      <c r="I119" s="77"/>
      <c r="J119" s="366"/>
      <c r="K119" s="77"/>
      <c r="L119" s="77"/>
      <c r="M119" s="77"/>
      <c r="N119" s="77"/>
      <c r="O119" s="69"/>
      <c r="P119" s="69"/>
      <c r="Q119" s="69"/>
      <c r="R119" s="69"/>
      <c r="S119" s="77"/>
      <c r="T119" s="77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207"/>
      <c r="AH119" s="207"/>
      <c r="AI119" s="207"/>
      <c r="AJ119" s="207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69"/>
      <c r="BQ119" s="69"/>
      <c r="BR119" s="69"/>
      <c r="BS119" s="69"/>
      <c r="BT119" s="69"/>
      <c r="BU119" s="69"/>
      <c r="BV119" s="69"/>
      <c r="BW119" s="69"/>
      <c r="BX119" s="69"/>
      <c r="BY119" s="69"/>
      <c r="BZ119" s="69"/>
      <c r="CA119" s="69"/>
      <c r="CB119" s="69"/>
      <c r="CC119" s="69"/>
      <c r="CD119" s="69"/>
      <c r="CE119" s="69"/>
      <c r="CF119" s="69"/>
      <c r="CG119" s="69"/>
      <c r="CH119" s="69"/>
      <c r="CI119" s="69"/>
      <c r="CJ119" s="69"/>
      <c r="CK119" s="69"/>
      <c r="CL119" s="69"/>
      <c r="CM119" s="69"/>
      <c r="CN119" s="69"/>
      <c r="CO119" s="69"/>
      <c r="CP119" s="69"/>
      <c r="CQ119" s="69"/>
      <c r="CR119" s="69"/>
    </row>
    <row r="120" spans="1:96" ht="12.75" customHeight="1">
      <c r="A120" s="784"/>
      <c r="B120" s="69"/>
      <c r="C120" s="69"/>
      <c r="D120" s="69"/>
      <c r="E120" s="69"/>
      <c r="F120" s="69"/>
      <c r="G120" s="77"/>
      <c r="H120" s="77"/>
      <c r="I120" s="77"/>
      <c r="J120" s="366"/>
      <c r="K120" s="77"/>
      <c r="L120" s="77"/>
      <c r="M120" s="77"/>
      <c r="N120" s="77"/>
      <c r="O120" s="69"/>
      <c r="P120" s="69"/>
      <c r="Q120" s="69"/>
      <c r="R120" s="69"/>
      <c r="S120" s="77"/>
      <c r="T120" s="77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207"/>
      <c r="AH120" s="207"/>
      <c r="AI120" s="207"/>
      <c r="AJ120" s="207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69"/>
      <c r="BQ120" s="69"/>
      <c r="BR120" s="69"/>
      <c r="BS120" s="69"/>
      <c r="BT120" s="69"/>
      <c r="BU120" s="69"/>
      <c r="BV120" s="69"/>
      <c r="BW120" s="69"/>
      <c r="BX120" s="69"/>
      <c r="BY120" s="69"/>
      <c r="BZ120" s="69"/>
      <c r="CA120" s="69"/>
      <c r="CB120" s="69"/>
      <c r="CC120" s="69"/>
      <c r="CD120" s="69"/>
      <c r="CE120" s="69"/>
      <c r="CF120" s="69"/>
      <c r="CG120" s="69"/>
      <c r="CH120" s="69"/>
      <c r="CI120" s="69"/>
      <c r="CJ120" s="69"/>
      <c r="CK120" s="69"/>
      <c r="CL120" s="69"/>
      <c r="CM120" s="69"/>
      <c r="CN120" s="69"/>
      <c r="CO120" s="69"/>
      <c r="CP120" s="69"/>
      <c r="CQ120" s="69"/>
      <c r="CR120" s="69"/>
    </row>
    <row r="121" spans="1:96" ht="12.75" customHeight="1">
      <c r="A121" s="784"/>
      <c r="B121" s="69"/>
      <c r="C121" s="69"/>
      <c r="D121" s="69"/>
      <c r="E121" s="69"/>
      <c r="F121" s="69"/>
      <c r="G121" s="77"/>
      <c r="H121" s="77"/>
      <c r="I121" s="77"/>
      <c r="J121" s="366"/>
      <c r="K121" s="77"/>
      <c r="L121" s="77"/>
      <c r="M121" s="77"/>
      <c r="N121" s="77"/>
      <c r="O121" s="69"/>
      <c r="P121" s="69"/>
      <c r="Q121" s="69"/>
      <c r="R121" s="69"/>
      <c r="S121" s="77"/>
      <c r="T121" s="77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207"/>
      <c r="AH121" s="207"/>
      <c r="AI121" s="207"/>
      <c r="AJ121" s="207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69"/>
      <c r="BQ121" s="69"/>
      <c r="BR121" s="69"/>
      <c r="BS121" s="69"/>
      <c r="BT121" s="69"/>
      <c r="BU121" s="69"/>
      <c r="BV121" s="69"/>
      <c r="BW121" s="69"/>
      <c r="BX121" s="69"/>
      <c r="BY121" s="69"/>
      <c r="BZ121" s="69"/>
      <c r="CA121" s="69"/>
      <c r="CB121" s="69"/>
      <c r="CC121" s="69"/>
      <c r="CD121" s="69"/>
      <c r="CE121" s="69"/>
      <c r="CF121" s="69"/>
      <c r="CG121" s="69"/>
      <c r="CH121" s="69"/>
      <c r="CI121" s="69"/>
      <c r="CJ121" s="69"/>
      <c r="CK121" s="69"/>
      <c r="CL121" s="69"/>
      <c r="CM121" s="69"/>
      <c r="CN121" s="69"/>
      <c r="CO121" s="69"/>
      <c r="CP121" s="69"/>
      <c r="CQ121" s="69"/>
      <c r="CR121" s="69"/>
    </row>
    <row r="122" spans="1:96" ht="12.75" customHeight="1">
      <c r="A122" s="784"/>
      <c r="B122" s="69"/>
      <c r="C122" s="69"/>
      <c r="D122" s="69"/>
      <c r="E122" s="69"/>
      <c r="F122" s="69"/>
      <c r="G122" s="77"/>
      <c r="H122" s="77"/>
      <c r="I122" s="77"/>
      <c r="J122" s="366"/>
      <c r="K122" s="77"/>
      <c r="L122" s="77"/>
      <c r="M122" s="77"/>
      <c r="N122" s="77"/>
      <c r="O122" s="69"/>
      <c r="P122" s="69"/>
      <c r="Q122" s="69"/>
      <c r="R122" s="69"/>
      <c r="S122" s="77"/>
      <c r="T122" s="77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207"/>
      <c r="AH122" s="207"/>
      <c r="AI122" s="207"/>
      <c r="AJ122" s="207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  <c r="BP122" s="69"/>
      <c r="BQ122" s="69"/>
      <c r="BR122" s="69"/>
      <c r="BS122" s="69"/>
      <c r="BT122" s="69"/>
      <c r="BU122" s="69"/>
      <c r="BV122" s="69"/>
      <c r="BW122" s="69"/>
      <c r="BX122" s="69"/>
      <c r="BY122" s="69"/>
      <c r="BZ122" s="69"/>
      <c r="CA122" s="69"/>
      <c r="CB122" s="69"/>
      <c r="CC122" s="69"/>
      <c r="CD122" s="69"/>
      <c r="CE122" s="69"/>
      <c r="CF122" s="69"/>
      <c r="CG122" s="69"/>
      <c r="CH122" s="69"/>
      <c r="CI122" s="69"/>
      <c r="CJ122" s="69"/>
      <c r="CK122" s="69"/>
      <c r="CL122" s="69"/>
      <c r="CM122" s="69"/>
      <c r="CN122" s="69"/>
      <c r="CO122" s="69"/>
      <c r="CP122" s="69"/>
      <c r="CQ122" s="69"/>
      <c r="CR122" s="69"/>
    </row>
    <row r="123" spans="1:96" ht="12.75" customHeight="1">
      <c r="A123" s="784"/>
      <c r="B123" s="69"/>
      <c r="C123" s="69"/>
      <c r="D123" s="69"/>
      <c r="E123" s="69"/>
      <c r="F123" s="69"/>
      <c r="G123" s="77"/>
      <c r="H123" s="77"/>
      <c r="I123" s="77"/>
      <c r="J123" s="366"/>
      <c r="K123" s="77"/>
      <c r="L123" s="77"/>
      <c r="M123" s="77"/>
      <c r="N123" s="77"/>
      <c r="O123" s="69"/>
      <c r="P123" s="69"/>
      <c r="Q123" s="69"/>
      <c r="R123" s="69"/>
      <c r="S123" s="77"/>
      <c r="T123" s="77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207"/>
      <c r="AH123" s="207"/>
      <c r="AI123" s="207"/>
      <c r="AJ123" s="207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69"/>
      <c r="BQ123" s="69"/>
      <c r="BR123" s="69"/>
      <c r="BS123" s="69"/>
      <c r="BT123" s="69"/>
      <c r="BU123" s="69"/>
      <c r="BV123" s="69"/>
      <c r="BW123" s="69"/>
      <c r="BX123" s="69"/>
      <c r="BY123" s="69"/>
      <c r="BZ123" s="69"/>
      <c r="CA123" s="69"/>
      <c r="CB123" s="69"/>
      <c r="CC123" s="69"/>
      <c r="CD123" s="69"/>
      <c r="CE123" s="69"/>
      <c r="CF123" s="69"/>
      <c r="CG123" s="69"/>
      <c r="CH123" s="69"/>
      <c r="CI123" s="69"/>
      <c r="CJ123" s="69"/>
      <c r="CK123" s="69"/>
      <c r="CL123" s="69"/>
      <c r="CM123" s="69"/>
      <c r="CN123" s="69"/>
      <c r="CO123" s="69"/>
      <c r="CP123" s="69"/>
      <c r="CQ123" s="69"/>
      <c r="CR123" s="69"/>
    </row>
    <row r="124" spans="1:96" ht="12.75" customHeight="1">
      <c r="A124" s="784"/>
      <c r="B124" s="69"/>
      <c r="C124" s="69"/>
      <c r="D124" s="69"/>
      <c r="E124" s="69"/>
      <c r="F124" s="69"/>
      <c r="G124" s="77"/>
      <c r="H124" s="77"/>
      <c r="I124" s="77"/>
      <c r="J124" s="366"/>
      <c r="K124" s="77"/>
      <c r="L124" s="77"/>
      <c r="M124" s="77"/>
      <c r="N124" s="77"/>
      <c r="O124" s="69"/>
      <c r="P124" s="69"/>
      <c r="Q124" s="69"/>
      <c r="R124" s="69"/>
      <c r="S124" s="77"/>
      <c r="T124" s="77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207"/>
      <c r="AH124" s="207"/>
      <c r="AI124" s="207"/>
      <c r="AJ124" s="207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  <c r="BP124" s="69"/>
      <c r="BQ124" s="69"/>
      <c r="BR124" s="69"/>
      <c r="BS124" s="69"/>
      <c r="BT124" s="69"/>
      <c r="BU124" s="69"/>
      <c r="BV124" s="69"/>
      <c r="BW124" s="69"/>
      <c r="BX124" s="69"/>
      <c r="BY124" s="69"/>
      <c r="BZ124" s="69"/>
      <c r="CA124" s="69"/>
      <c r="CB124" s="69"/>
      <c r="CC124" s="69"/>
      <c r="CD124" s="69"/>
      <c r="CE124" s="69"/>
      <c r="CF124" s="69"/>
      <c r="CG124" s="69"/>
      <c r="CH124" s="69"/>
      <c r="CI124" s="69"/>
      <c r="CJ124" s="69"/>
      <c r="CK124" s="69"/>
      <c r="CL124" s="69"/>
      <c r="CM124" s="69"/>
      <c r="CN124" s="69"/>
      <c r="CO124" s="69"/>
      <c r="CP124" s="69"/>
      <c r="CQ124" s="69"/>
      <c r="CR124" s="69"/>
    </row>
    <row r="125" spans="1:96" ht="12.75" customHeight="1">
      <c r="A125" s="784"/>
      <c r="B125" s="69"/>
      <c r="C125" s="69"/>
      <c r="D125" s="69"/>
      <c r="E125" s="69"/>
      <c r="F125" s="69"/>
      <c r="G125" s="77"/>
      <c r="H125" s="77"/>
      <c r="I125" s="77"/>
      <c r="J125" s="366"/>
      <c r="K125" s="77"/>
      <c r="L125" s="77"/>
      <c r="M125" s="77"/>
      <c r="N125" s="77"/>
      <c r="O125" s="69"/>
      <c r="P125" s="69"/>
      <c r="Q125" s="69"/>
      <c r="R125" s="69"/>
      <c r="S125" s="77"/>
      <c r="T125" s="77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207"/>
      <c r="AH125" s="207"/>
      <c r="AI125" s="207"/>
      <c r="AJ125" s="207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  <c r="BP125" s="69"/>
      <c r="BQ125" s="69"/>
      <c r="BR125" s="69"/>
      <c r="BS125" s="69"/>
      <c r="BT125" s="69"/>
      <c r="BU125" s="69"/>
      <c r="BV125" s="69"/>
      <c r="BW125" s="69"/>
      <c r="BX125" s="69"/>
      <c r="BY125" s="69"/>
      <c r="BZ125" s="69"/>
      <c r="CA125" s="69"/>
      <c r="CB125" s="69"/>
      <c r="CC125" s="69"/>
      <c r="CD125" s="69"/>
      <c r="CE125" s="69"/>
      <c r="CF125" s="69"/>
      <c r="CG125" s="69"/>
      <c r="CH125" s="69"/>
      <c r="CI125" s="69"/>
      <c r="CJ125" s="69"/>
      <c r="CK125" s="69"/>
      <c r="CL125" s="69"/>
      <c r="CM125" s="69"/>
      <c r="CN125" s="69"/>
      <c r="CO125" s="69"/>
      <c r="CP125" s="69"/>
      <c r="CQ125" s="69"/>
      <c r="CR125" s="69"/>
    </row>
    <row r="126" spans="1:96" ht="12.75" customHeight="1">
      <c r="A126" s="784"/>
      <c r="B126" s="69"/>
      <c r="C126" s="69"/>
      <c r="D126" s="69"/>
      <c r="E126" s="69"/>
      <c r="F126" s="69"/>
      <c r="G126" s="77"/>
      <c r="H126" s="77"/>
      <c r="I126" s="77"/>
      <c r="J126" s="366"/>
      <c r="K126" s="77"/>
      <c r="L126" s="77"/>
      <c r="M126" s="77"/>
      <c r="N126" s="77"/>
      <c r="O126" s="69"/>
      <c r="P126" s="69"/>
      <c r="Q126" s="69"/>
      <c r="R126" s="69"/>
      <c r="S126" s="77"/>
      <c r="T126" s="77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207"/>
      <c r="AH126" s="207"/>
      <c r="AI126" s="207"/>
      <c r="AJ126" s="207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  <c r="BP126" s="69"/>
      <c r="BQ126" s="69"/>
      <c r="BR126" s="69"/>
      <c r="BS126" s="69"/>
      <c r="BT126" s="69"/>
      <c r="BU126" s="69"/>
      <c r="BV126" s="69"/>
      <c r="BW126" s="69"/>
      <c r="BX126" s="69"/>
      <c r="BY126" s="69"/>
      <c r="BZ126" s="69"/>
      <c r="CA126" s="69"/>
      <c r="CB126" s="69"/>
      <c r="CC126" s="69"/>
      <c r="CD126" s="69"/>
      <c r="CE126" s="69"/>
      <c r="CF126" s="69"/>
      <c r="CG126" s="69"/>
      <c r="CH126" s="69"/>
      <c r="CI126" s="69"/>
      <c r="CJ126" s="69"/>
      <c r="CK126" s="69"/>
      <c r="CL126" s="69"/>
      <c r="CM126" s="69"/>
      <c r="CN126" s="69"/>
      <c r="CO126" s="69"/>
      <c r="CP126" s="69"/>
      <c r="CQ126" s="69"/>
      <c r="CR126" s="69"/>
    </row>
    <row r="127" spans="1:96" ht="12.75" customHeight="1">
      <c r="A127" s="784"/>
      <c r="B127" s="69"/>
      <c r="C127" s="69"/>
      <c r="D127" s="69"/>
      <c r="E127" s="69"/>
      <c r="F127" s="69"/>
      <c r="G127" s="77"/>
      <c r="H127" s="77"/>
      <c r="I127" s="77"/>
      <c r="J127" s="366"/>
      <c r="K127" s="77"/>
      <c r="L127" s="77"/>
      <c r="M127" s="77"/>
      <c r="N127" s="77"/>
      <c r="O127" s="69"/>
      <c r="P127" s="69"/>
      <c r="Q127" s="69"/>
      <c r="R127" s="69"/>
      <c r="S127" s="77"/>
      <c r="T127" s="77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207"/>
      <c r="AH127" s="207"/>
      <c r="AI127" s="207"/>
      <c r="AJ127" s="207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  <c r="BP127" s="69"/>
      <c r="BQ127" s="69"/>
      <c r="BR127" s="69"/>
      <c r="BS127" s="69"/>
      <c r="BT127" s="69"/>
      <c r="BU127" s="69"/>
      <c r="BV127" s="69"/>
      <c r="BW127" s="69"/>
      <c r="BX127" s="69"/>
      <c r="BY127" s="69"/>
      <c r="BZ127" s="69"/>
      <c r="CA127" s="69"/>
      <c r="CB127" s="69"/>
      <c r="CC127" s="69"/>
      <c r="CD127" s="69"/>
      <c r="CE127" s="69"/>
      <c r="CF127" s="69"/>
      <c r="CG127" s="69"/>
      <c r="CH127" s="69"/>
      <c r="CI127" s="69"/>
      <c r="CJ127" s="69"/>
      <c r="CK127" s="69"/>
      <c r="CL127" s="69"/>
      <c r="CM127" s="69"/>
      <c r="CN127" s="69"/>
      <c r="CO127" s="69"/>
      <c r="CP127" s="69"/>
      <c r="CQ127" s="69"/>
      <c r="CR127" s="69"/>
    </row>
    <row r="128" spans="1:96" ht="12.75" customHeight="1">
      <c r="A128" s="784"/>
      <c r="B128" s="69"/>
      <c r="C128" s="69"/>
      <c r="D128" s="69"/>
      <c r="E128" s="69"/>
      <c r="F128" s="69"/>
      <c r="G128" s="77"/>
      <c r="H128" s="77"/>
      <c r="I128" s="77"/>
      <c r="J128" s="366"/>
      <c r="K128" s="77"/>
      <c r="L128" s="77"/>
      <c r="M128" s="77"/>
      <c r="N128" s="77"/>
      <c r="O128" s="69"/>
      <c r="P128" s="69"/>
      <c r="Q128" s="69"/>
      <c r="R128" s="69"/>
      <c r="S128" s="77"/>
      <c r="T128" s="77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207"/>
      <c r="AH128" s="207"/>
      <c r="AI128" s="207"/>
      <c r="AJ128" s="207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  <c r="BP128" s="69"/>
      <c r="BQ128" s="69"/>
      <c r="BR128" s="69"/>
      <c r="BS128" s="69"/>
      <c r="BT128" s="69"/>
      <c r="BU128" s="69"/>
      <c r="BV128" s="69"/>
      <c r="BW128" s="69"/>
      <c r="BX128" s="69"/>
      <c r="BY128" s="69"/>
      <c r="BZ128" s="69"/>
      <c r="CA128" s="69"/>
      <c r="CB128" s="69"/>
      <c r="CC128" s="69"/>
      <c r="CD128" s="69"/>
      <c r="CE128" s="69"/>
      <c r="CF128" s="69"/>
      <c r="CG128" s="69"/>
      <c r="CH128" s="69"/>
      <c r="CI128" s="69"/>
      <c r="CJ128" s="69"/>
      <c r="CK128" s="69"/>
      <c r="CL128" s="69"/>
      <c r="CM128" s="69"/>
      <c r="CN128" s="69"/>
      <c r="CO128" s="69"/>
      <c r="CP128" s="69"/>
      <c r="CQ128" s="69"/>
      <c r="CR128" s="69"/>
    </row>
    <row r="129" spans="1:96" ht="12.75" customHeight="1">
      <c r="A129" s="784"/>
      <c r="B129" s="69"/>
      <c r="C129" s="69"/>
      <c r="D129" s="69"/>
      <c r="E129" s="69"/>
      <c r="F129" s="69"/>
      <c r="G129" s="77"/>
      <c r="H129" s="77"/>
      <c r="I129" s="77"/>
      <c r="J129" s="366"/>
      <c r="K129" s="77"/>
      <c r="L129" s="77"/>
      <c r="M129" s="77"/>
      <c r="N129" s="77"/>
      <c r="O129" s="69"/>
      <c r="P129" s="69"/>
      <c r="Q129" s="69"/>
      <c r="R129" s="69"/>
      <c r="S129" s="77"/>
      <c r="T129" s="77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207"/>
      <c r="AH129" s="207"/>
      <c r="AI129" s="207"/>
      <c r="AJ129" s="207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  <c r="BP129" s="69"/>
      <c r="BQ129" s="69"/>
      <c r="BR129" s="69"/>
      <c r="BS129" s="69"/>
      <c r="BT129" s="69"/>
      <c r="BU129" s="69"/>
      <c r="BV129" s="69"/>
      <c r="BW129" s="69"/>
      <c r="BX129" s="69"/>
      <c r="BY129" s="69"/>
      <c r="BZ129" s="69"/>
      <c r="CA129" s="69"/>
      <c r="CB129" s="69"/>
      <c r="CC129" s="69"/>
      <c r="CD129" s="69"/>
      <c r="CE129" s="69"/>
      <c r="CF129" s="69"/>
      <c r="CG129" s="69"/>
      <c r="CH129" s="69"/>
      <c r="CI129" s="69"/>
      <c r="CJ129" s="69"/>
      <c r="CK129" s="69"/>
      <c r="CL129" s="69"/>
      <c r="CM129" s="69"/>
      <c r="CN129" s="69"/>
      <c r="CO129" s="69"/>
      <c r="CP129" s="69"/>
      <c r="CQ129" s="69"/>
      <c r="CR129" s="69"/>
    </row>
    <row r="130" spans="1:96" ht="12.75" customHeight="1">
      <c r="A130" s="784"/>
      <c r="B130" s="69"/>
      <c r="C130" s="69"/>
      <c r="D130" s="69"/>
      <c r="E130" s="69"/>
      <c r="F130" s="69"/>
      <c r="G130" s="77"/>
      <c r="H130" s="77"/>
      <c r="I130" s="77"/>
      <c r="J130" s="366"/>
      <c r="K130" s="77"/>
      <c r="L130" s="77"/>
      <c r="M130" s="77"/>
      <c r="N130" s="77"/>
      <c r="O130" s="69"/>
      <c r="P130" s="69"/>
      <c r="Q130" s="69"/>
      <c r="R130" s="69"/>
      <c r="S130" s="77"/>
      <c r="T130" s="77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207"/>
      <c r="AH130" s="207"/>
      <c r="AI130" s="207"/>
      <c r="AJ130" s="207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  <c r="BP130" s="69"/>
      <c r="BQ130" s="69"/>
      <c r="BR130" s="69"/>
      <c r="BS130" s="69"/>
      <c r="BT130" s="69"/>
      <c r="BU130" s="69"/>
      <c r="BV130" s="69"/>
      <c r="BW130" s="69"/>
      <c r="BX130" s="69"/>
      <c r="BY130" s="69"/>
      <c r="BZ130" s="69"/>
      <c r="CA130" s="69"/>
      <c r="CB130" s="69"/>
      <c r="CC130" s="69"/>
      <c r="CD130" s="69"/>
      <c r="CE130" s="69"/>
      <c r="CF130" s="69"/>
      <c r="CG130" s="69"/>
      <c r="CH130" s="69"/>
      <c r="CI130" s="69"/>
      <c r="CJ130" s="69"/>
      <c r="CK130" s="69"/>
      <c r="CL130" s="69"/>
      <c r="CM130" s="69"/>
      <c r="CN130" s="69"/>
      <c r="CO130" s="69"/>
      <c r="CP130" s="69"/>
      <c r="CQ130" s="69"/>
      <c r="CR130" s="69"/>
    </row>
    <row r="131" spans="1:96" ht="12.75" customHeight="1">
      <c r="A131" s="784"/>
      <c r="B131" s="69"/>
      <c r="C131" s="69"/>
      <c r="D131" s="69"/>
      <c r="E131" s="69"/>
      <c r="F131" s="69"/>
      <c r="G131" s="77"/>
      <c r="H131" s="77"/>
      <c r="I131" s="77"/>
      <c r="J131" s="366"/>
      <c r="K131" s="77"/>
      <c r="L131" s="77"/>
      <c r="M131" s="77"/>
      <c r="N131" s="77"/>
      <c r="O131" s="69"/>
      <c r="P131" s="69"/>
      <c r="Q131" s="69"/>
      <c r="R131" s="69"/>
      <c r="S131" s="77"/>
      <c r="T131" s="77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207"/>
      <c r="AH131" s="207"/>
      <c r="AI131" s="207"/>
      <c r="AJ131" s="207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  <c r="BP131" s="69"/>
      <c r="BQ131" s="69"/>
      <c r="BR131" s="69"/>
      <c r="BS131" s="69"/>
      <c r="BT131" s="69"/>
      <c r="BU131" s="69"/>
      <c r="BV131" s="69"/>
      <c r="BW131" s="69"/>
      <c r="BX131" s="69"/>
      <c r="BY131" s="69"/>
      <c r="BZ131" s="69"/>
      <c r="CA131" s="69"/>
      <c r="CB131" s="69"/>
      <c r="CC131" s="69"/>
      <c r="CD131" s="69"/>
      <c r="CE131" s="69"/>
      <c r="CF131" s="69"/>
      <c r="CG131" s="69"/>
      <c r="CH131" s="69"/>
      <c r="CI131" s="69"/>
      <c r="CJ131" s="69"/>
      <c r="CK131" s="69"/>
      <c r="CL131" s="69"/>
      <c r="CM131" s="69"/>
      <c r="CN131" s="69"/>
      <c r="CO131" s="69"/>
      <c r="CP131" s="69"/>
      <c r="CQ131" s="69"/>
      <c r="CR131" s="69"/>
    </row>
    <row r="132" spans="1:96" ht="12.75" customHeight="1">
      <c r="A132" s="784"/>
      <c r="B132" s="69"/>
      <c r="C132" s="69"/>
      <c r="D132" s="69"/>
      <c r="E132" s="69"/>
      <c r="F132" s="69"/>
      <c r="G132" s="77"/>
      <c r="H132" s="77"/>
      <c r="I132" s="77"/>
      <c r="J132" s="366"/>
      <c r="K132" s="77"/>
      <c r="L132" s="77"/>
      <c r="M132" s="77"/>
      <c r="N132" s="77"/>
      <c r="O132" s="69"/>
      <c r="P132" s="69"/>
      <c r="Q132" s="69"/>
      <c r="R132" s="69"/>
      <c r="S132" s="77"/>
      <c r="T132" s="77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207"/>
      <c r="AH132" s="207"/>
      <c r="AI132" s="207"/>
      <c r="AJ132" s="207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  <c r="BP132" s="69"/>
      <c r="BQ132" s="69"/>
      <c r="BR132" s="69"/>
      <c r="BS132" s="69"/>
      <c r="BT132" s="69"/>
      <c r="BU132" s="69"/>
      <c r="BV132" s="69"/>
      <c r="BW132" s="69"/>
      <c r="BX132" s="69"/>
      <c r="BY132" s="69"/>
      <c r="BZ132" s="69"/>
      <c r="CA132" s="69"/>
      <c r="CB132" s="69"/>
      <c r="CC132" s="69"/>
      <c r="CD132" s="69"/>
      <c r="CE132" s="69"/>
      <c r="CF132" s="69"/>
      <c r="CG132" s="69"/>
      <c r="CH132" s="69"/>
      <c r="CI132" s="69"/>
      <c r="CJ132" s="69"/>
      <c r="CK132" s="69"/>
      <c r="CL132" s="69"/>
      <c r="CM132" s="69"/>
      <c r="CN132" s="69"/>
      <c r="CO132" s="69"/>
      <c r="CP132" s="69"/>
      <c r="CQ132" s="69"/>
      <c r="CR132" s="69"/>
    </row>
    <row r="133" spans="1:96" ht="12.75" customHeight="1">
      <c r="A133" s="784"/>
      <c r="B133" s="69"/>
      <c r="C133" s="69"/>
      <c r="D133" s="69"/>
      <c r="E133" s="69"/>
      <c r="F133" s="69"/>
      <c r="G133" s="77"/>
      <c r="H133" s="77"/>
      <c r="I133" s="77"/>
      <c r="J133" s="366"/>
      <c r="K133" s="77"/>
      <c r="L133" s="77"/>
      <c r="M133" s="77"/>
      <c r="N133" s="77"/>
      <c r="O133" s="69"/>
      <c r="P133" s="69"/>
      <c r="Q133" s="69"/>
      <c r="R133" s="69"/>
      <c r="S133" s="77"/>
      <c r="T133" s="77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207"/>
      <c r="AH133" s="207"/>
      <c r="AI133" s="207"/>
      <c r="AJ133" s="207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  <c r="BP133" s="69"/>
      <c r="BQ133" s="69"/>
      <c r="BR133" s="69"/>
      <c r="BS133" s="69"/>
      <c r="BT133" s="69"/>
      <c r="BU133" s="69"/>
      <c r="BV133" s="69"/>
      <c r="BW133" s="69"/>
      <c r="BX133" s="69"/>
      <c r="BY133" s="69"/>
      <c r="BZ133" s="69"/>
      <c r="CA133" s="69"/>
      <c r="CB133" s="69"/>
      <c r="CC133" s="69"/>
      <c r="CD133" s="69"/>
      <c r="CE133" s="69"/>
      <c r="CF133" s="69"/>
      <c r="CG133" s="69"/>
      <c r="CH133" s="69"/>
      <c r="CI133" s="69"/>
      <c r="CJ133" s="69"/>
      <c r="CK133" s="69"/>
      <c r="CL133" s="69"/>
      <c r="CM133" s="69"/>
      <c r="CN133" s="69"/>
      <c r="CO133" s="69"/>
      <c r="CP133" s="69"/>
      <c r="CQ133" s="69"/>
      <c r="CR133" s="69"/>
    </row>
    <row r="134" spans="1:96" ht="12.75" customHeight="1">
      <c r="A134" s="784"/>
      <c r="B134" s="69"/>
      <c r="C134" s="69"/>
      <c r="D134" s="69"/>
      <c r="E134" s="69"/>
      <c r="F134" s="69"/>
      <c r="G134" s="77"/>
      <c r="H134" s="77"/>
      <c r="I134" s="77"/>
      <c r="J134" s="366"/>
      <c r="K134" s="77"/>
      <c r="L134" s="77"/>
      <c r="M134" s="77"/>
      <c r="N134" s="77"/>
      <c r="O134" s="69"/>
      <c r="P134" s="69"/>
      <c r="Q134" s="69"/>
      <c r="R134" s="69"/>
      <c r="S134" s="77"/>
      <c r="T134" s="77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207"/>
      <c r="AH134" s="207"/>
      <c r="AI134" s="207"/>
      <c r="AJ134" s="207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  <c r="BP134" s="69"/>
      <c r="BQ134" s="69"/>
      <c r="BR134" s="69"/>
      <c r="BS134" s="69"/>
      <c r="BT134" s="69"/>
      <c r="BU134" s="69"/>
      <c r="BV134" s="69"/>
      <c r="BW134" s="69"/>
      <c r="BX134" s="69"/>
      <c r="BY134" s="69"/>
      <c r="BZ134" s="69"/>
      <c r="CA134" s="69"/>
      <c r="CB134" s="69"/>
      <c r="CC134" s="69"/>
      <c r="CD134" s="69"/>
      <c r="CE134" s="69"/>
      <c r="CF134" s="69"/>
      <c r="CG134" s="69"/>
      <c r="CH134" s="69"/>
      <c r="CI134" s="69"/>
      <c r="CJ134" s="69"/>
      <c r="CK134" s="69"/>
      <c r="CL134" s="69"/>
      <c r="CM134" s="69"/>
      <c r="CN134" s="69"/>
      <c r="CO134" s="69"/>
      <c r="CP134" s="69"/>
      <c r="CQ134" s="69"/>
      <c r="CR134" s="69"/>
    </row>
    <row r="135" spans="1:96" ht="12.75" customHeight="1">
      <c r="A135" s="784"/>
      <c r="B135" s="69"/>
      <c r="C135" s="69"/>
      <c r="D135" s="69"/>
      <c r="E135" s="69"/>
      <c r="F135" s="69"/>
      <c r="G135" s="77"/>
      <c r="H135" s="77"/>
      <c r="I135" s="77"/>
      <c r="J135" s="366"/>
      <c r="K135" s="77"/>
      <c r="L135" s="77"/>
      <c r="M135" s="77"/>
      <c r="N135" s="77"/>
      <c r="O135" s="69"/>
      <c r="P135" s="69"/>
      <c r="Q135" s="69"/>
      <c r="R135" s="69"/>
      <c r="S135" s="77"/>
      <c r="T135" s="77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207"/>
      <c r="AH135" s="207"/>
      <c r="AI135" s="207"/>
      <c r="AJ135" s="207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  <c r="BP135" s="69"/>
      <c r="BQ135" s="69"/>
      <c r="BR135" s="69"/>
      <c r="BS135" s="69"/>
      <c r="BT135" s="69"/>
      <c r="BU135" s="69"/>
      <c r="BV135" s="69"/>
      <c r="BW135" s="69"/>
      <c r="BX135" s="69"/>
      <c r="BY135" s="69"/>
      <c r="BZ135" s="69"/>
      <c r="CA135" s="69"/>
      <c r="CB135" s="69"/>
      <c r="CC135" s="69"/>
      <c r="CD135" s="69"/>
      <c r="CE135" s="69"/>
      <c r="CF135" s="69"/>
      <c r="CG135" s="69"/>
      <c r="CH135" s="69"/>
      <c r="CI135" s="69"/>
      <c r="CJ135" s="69"/>
      <c r="CK135" s="69"/>
      <c r="CL135" s="69"/>
      <c r="CM135" s="69"/>
      <c r="CN135" s="69"/>
      <c r="CO135" s="69"/>
      <c r="CP135" s="69"/>
      <c r="CQ135" s="69"/>
      <c r="CR135" s="69"/>
    </row>
    <row r="136" spans="1:96" ht="12.75" customHeight="1">
      <c r="A136" s="784"/>
      <c r="B136" s="69"/>
      <c r="C136" s="69"/>
      <c r="D136" s="69"/>
      <c r="E136" s="69"/>
      <c r="F136" s="69"/>
      <c r="G136" s="77"/>
      <c r="H136" s="77"/>
      <c r="I136" s="77"/>
      <c r="J136" s="366"/>
      <c r="K136" s="77"/>
      <c r="L136" s="77"/>
      <c r="M136" s="77"/>
      <c r="N136" s="77"/>
      <c r="O136" s="69"/>
      <c r="P136" s="69"/>
      <c r="Q136" s="69"/>
      <c r="R136" s="69"/>
      <c r="S136" s="77"/>
      <c r="T136" s="77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207"/>
      <c r="AH136" s="207"/>
      <c r="AI136" s="207"/>
      <c r="AJ136" s="207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  <c r="BP136" s="69"/>
      <c r="BQ136" s="69"/>
      <c r="BR136" s="69"/>
      <c r="BS136" s="69"/>
      <c r="BT136" s="69"/>
      <c r="BU136" s="69"/>
      <c r="BV136" s="69"/>
      <c r="BW136" s="69"/>
      <c r="BX136" s="69"/>
      <c r="BY136" s="69"/>
      <c r="BZ136" s="69"/>
      <c r="CA136" s="69"/>
      <c r="CB136" s="69"/>
      <c r="CC136" s="69"/>
      <c r="CD136" s="69"/>
      <c r="CE136" s="69"/>
      <c r="CF136" s="69"/>
      <c r="CG136" s="69"/>
      <c r="CH136" s="69"/>
      <c r="CI136" s="69"/>
      <c r="CJ136" s="69"/>
      <c r="CK136" s="69"/>
      <c r="CL136" s="69"/>
      <c r="CM136" s="69"/>
      <c r="CN136" s="69"/>
      <c r="CO136" s="69"/>
      <c r="CP136" s="69"/>
      <c r="CQ136" s="69"/>
      <c r="CR136" s="69"/>
    </row>
    <row r="137" spans="1:96" ht="12.75" customHeight="1">
      <c r="A137" s="784"/>
      <c r="B137" s="69"/>
      <c r="C137" s="69"/>
      <c r="D137" s="69"/>
      <c r="E137" s="69"/>
      <c r="F137" s="69"/>
      <c r="G137" s="77"/>
      <c r="H137" s="77"/>
      <c r="I137" s="77"/>
      <c r="J137" s="366"/>
      <c r="K137" s="77"/>
      <c r="L137" s="77"/>
      <c r="M137" s="77"/>
      <c r="N137" s="77"/>
      <c r="O137" s="69"/>
      <c r="P137" s="69"/>
      <c r="Q137" s="69"/>
      <c r="R137" s="69"/>
      <c r="S137" s="77"/>
      <c r="T137" s="77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207"/>
      <c r="AH137" s="207"/>
      <c r="AI137" s="207"/>
      <c r="AJ137" s="207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69"/>
      <c r="BQ137" s="69"/>
      <c r="BR137" s="69"/>
      <c r="BS137" s="69"/>
      <c r="BT137" s="69"/>
      <c r="BU137" s="69"/>
      <c r="BV137" s="69"/>
      <c r="BW137" s="69"/>
      <c r="BX137" s="69"/>
      <c r="BY137" s="69"/>
      <c r="BZ137" s="69"/>
      <c r="CA137" s="69"/>
      <c r="CB137" s="69"/>
      <c r="CC137" s="69"/>
      <c r="CD137" s="69"/>
      <c r="CE137" s="69"/>
      <c r="CF137" s="69"/>
      <c r="CG137" s="69"/>
      <c r="CH137" s="69"/>
      <c r="CI137" s="69"/>
      <c r="CJ137" s="69"/>
      <c r="CK137" s="69"/>
      <c r="CL137" s="69"/>
      <c r="CM137" s="69"/>
      <c r="CN137" s="69"/>
      <c r="CO137" s="69"/>
      <c r="CP137" s="69"/>
      <c r="CQ137" s="69"/>
      <c r="CR137" s="69"/>
    </row>
    <row r="138" spans="1:96" ht="12.75" customHeight="1">
      <c r="A138" s="784"/>
      <c r="B138" s="69"/>
      <c r="C138" s="69"/>
      <c r="D138" s="69"/>
      <c r="E138" s="69"/>
      <c r="F138" s="69"/>
      <c r="G138" s="77"/>
      <c r="H138" s="77"/>
      <c r="I138" s="77"/>
      <c r="J138" s="366"/>
      <c r="K138" s="77"/>
      <c r="L138" s="77"/>
      <c r="M138" s="77"/>
      <c r="N138" s="77"/>
      <c r="O138" s="69"/>
      <c r="P138" s="69"/>
      <c r="Q138" s="69"/>
      <c r="R138" s="69"/>
      <c r="S138" s="77"/>
      <c r="T138" s="77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207"/>
      <c r="AH138" s="207"/>
      <c r="AI138" s="207"/>
      <c r="AJ138" s="207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  <c r="BP138" s="69"/>
      <c r="BQ138" s="69"/>
      <c r="BR138" s="69"/>
      <c r="BS138" s="69"/>
      <c r="BT138" s="69"/>
      <c r="BU138" s="69"/>
      <c r="BV138" s="69"/>
      <c r="BW138" s="69"/>
      <c r="BX138" s="69"/>
      <c r="BY138" s="69"/>
      <c r="BZ138" s="69"/>
      <c r="CA138" s="69"/>
      <c r="CB138" s="69"/>
      <c r="CC138" s="69"/>
      <c r="CD138" s="69"/>
      <c r="CE138" s="69"/>
      <c r="CF138" s="69"/>
      <c r="CG138" s="69"/>
      <c r="CH138" s="69"/>
      <c r="CI138" s="69"/>
      <c r="CJ138" s="69"/>
      <c r="CK138" s="69"/>
      <c r="CL138" s="69"/>
      <c r="CM138" s="69"/>
      <c r="CN138" s="69"/>
      <c r="CO138" s="69"/>
      <c r="CP138" s="69"/>
      <c r="CQ138" s="69"/>
      <c r="CR138" s="69"/>
    </row>
    <row r="139" spans="1:96" ht="12.75" customHeight="1">
      <c r="A139" s="784"/>
      <c r="B139" s="69"/>
      <c r="C139" s="69"/>
      <c r="D139" s="69"/>
      <c r="E139" s="69"/>
      <c r="F139" s="69"/>
      <c r="G139" s="77"/>
      <c r="H139" s="77"/>
      <c r="I139" s="77"/>
      <c r="J139" s="366"/>
      <c r="K139" s="77"/>
      <c r="L139" s="77"/>
      <c r="M139" s="77"/>
      <c r="N139" s="77"/>
      <c r="O139" s="69"/>
      <c r="P139" s="69"/>
      <c r="Q139" s="69"/>
      <c r="R139" s="69"/>
      <c r="S139" s="77"/>
      <c r="T139" s="77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207"/>
      <c r="AH139" s="207"/>
      <c r="AI139" s="207"/>
      <c r="AJ139" s="207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  <c r="BP139" s="69"/>
      <c r="BQ139" s="69"/>
      <c r="BR139" s="69"/>
      <c r="BS139" s="69"/>
      <c r="BT139" s="69"/>
      <c r="BU139" s="69"/>
      <c r="BV139" s="69"/>
      <c r="BW139" s="69"/>
      <c r="BX139" s="69"/>
      <c r="BY139" s="69"/>
      <c r="BZ139" s="69"/>
      <c r="CA139" s="69"/>
      <c r="CB139" s="69"/>
      <c r="CC139" s="69"/>
      <c r="CD139" s="69"/>
      <c r="CE139" s="69"/>
      <c r="CF139" s="69"/>
      <c r="CG139" s="69"/>
      <c r="CH139" s="69"/>
      <c r="CI139" s="69"/>
      <c r="CJ139" s="69"/>
      <c r="CK139" s="69"/>
      <c r="CL139" s="69"/>
      <c r="CM139" s="69"/>
      <c r="CN139" s="69"/>
      <c r="CO139" s="69"/>
      <c r="CP139" s="69"/>
      <c r="CQ139" s="69"/>
      <c r="CR139" s="69"/>
    </row>
    <row r="140" spans="1:96" ht="12.75" customHeight="1">
      <c r="A140" s="784"/>
      <c r="B140" s="69"/>
      <c r="C140" s="69"/>
      <c r="D140" s="69"/>
      <c r="E140" s="69"/>
      <c r="F140" s="69"/>
      <c r="G140" s="77"/>
      <c r="H140" s="77"/>
      <c r="I140" s="77"/>
      <c r="J140" s="366"/>
      <c r="K140" s="77"/>
      <c r="L140" s="77"/>
      <c r="M140" s="77"/>
      <c r="N140" s="77"/>
      <c r="O140" s="69"/>
      <c r="P140" s="69"/>
      <c r="Q140" s="69"/>
      <c r="R140" s="69"/>
      <c r="S140" s="77"/>
      <c r="T140" s="77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207"/>
      <c r="AH140" s="207"/>
      <c r="AI140" s="207"/>
      <c r="AJ140" s="207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  <c r="BP140" s="69"/>
      <c r="BQ140" s="69"/>
      <c r="BR140" s="69"/>
      <c r="BS140" s="69"/>
      <c r="BT140" s="69"/>
      <c r="BU140" s="69"/>
      <c r="BV140" s="69"/>
      <c r="BW140" s="69"/>
      <c r="BX140" s="69"/>
      <c r="BY140" s="69"/>
      <c r="BZ140" s="69"/>
      <c r="CA140" s="69"/>
      <c r="CB140" s="69"/>
      <c r="CC140" s="69"/>
      <c r="CD140" s="69"/>
      <c r="CE140" s="69"/>
      <c r="CF140" s="69"/>
      <c r="CG140" s="69"/>
      <c r="CH140" s="69"/>
      <c r="CI140" s="69"/>
      <c r="CJ140" s="69"/>
      <c r="CK140" s="69"/>
      <c r="CL140" s="69"/>
      <c r="CM140" s="69"/>
      <c r="CN140" s="69"/>
      <c r="CO140" s="69"/>
      <c r="CP140" s="69"/>
      <c r="CQ140" s="69"/>
      <c r="CR140" s="69"/>
    </row>
    <row r="141" spans="1:96" ht="12.75" customHeight="1">
      <c r="A141" s="784"/>
      <c r="B141" s="69"/>
      <c r="C141" s="69"/>
      <c r="D141" s="69"/>
      <c r="E141" s="69"/>
      <c r="F141" s="69"/>
      <c r="G141" s="77"/>
      <c r="H141" s="77"/>
      <c r="I141" s="77"/>
      <c r="J141" s="366"/>
      <c r="K141" s="77"/>
      <c r="L141" s="77"/>
      <c r="M141" s="77"/>
      <c r="N141" s="77"/>
      <c r="O141" s="69"/>
      <c r="P141" s="69"/>
      <c r="Q141" s="69"/>
      <c r="R141" s="69"/>
      <c r="S141" s="77"/>
      <c r="T141" s="77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207"/>
      <c r="AH141" s="207"/>
      <c r="AI141" s="207"/>
      <c r="AJ141" s="207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  <c r="BP141" s="69"/>
      <c r="BQ141" s="69"/>
      <c r="BR141" s="69"/>
      <c r="BS141" s="69"/>
      <c r="BT141" s="69"/>
      <c r="BU141" s="69"/>
      <c r="BV141" s="69"/>
      <c r="BW141" s="69"/>
      <c r="BX141" s="69"/>
      <c r="BY141" s="69"/>
      <c r="BZ141" s="69"/>
      <c r="CA141" s="69"/>
      <c r="CB141" s="69"/>
      <c r="CC141" s="69"/>
      <c r="CD141" s="69"/>
      <c r="CE141" s="69"/>
      <c r="CF141" s="69"/>
      <c r="CG141" s="69"/>
      <c r="CH141" s="69"/>
      <c r="CI141" s="69"/>
      <c r="CJ141" s="69"/>
      <c r="CK141" s="69"/>
      <c r="CL141" s="69"/>
      <c r="CM141" s="69"/>
      <c r="CN141" s="69"/>
      <c r="CO141" s="69"/>
      <c r="CP141" s="69"/>
      <c r="CQ141" s="69"/>
      <c r="CR141" s="69"/>
    </row>
    <row r="142" spans="1:96" ht="12.75" customHeight="1">
      <c r="A142" s="784"/>
      <c r="B142" s="69"/>
      <c r="C142" s="69"/>
      <c r="D142" s="69"/>
      <c r="E142" s="69"/>
      <c r="F142" s="69"/>
      <c r="G142" s="77"/>
      <c r="H142" s="77"/>
      <c r="I142" s="77"/>
      <c r="J142" s="366"/>
      <c r="K142" s="77"/>
      <c r="L142" s="77"/>
      <c r="M142" s="77"/>
      <c r="N142" s="77"/>
      <c r="O142" s="69"/>
      <c r="P142" s="69"/>
      <c r="Q142" s="69"/>
      <c r="R142" s="69"/>
      <c r="S142" s="77"/>
      <c r="T142" s="77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207"/>
      <c r="AH142" s="207"/>
      <c r="AI142" s="207"/>
      <c r="AJ142" s="207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  <c r="BP142" s="69"/>
      <c r="BQ142" s="69"/>
      <c r="BR142" s="69"/>
      <c r="BS142" s="69"/>
      <c r="BT142" s="69"/>
      <c r="BU142" s="69"/>
      <c r="BV142" s="69"/>
      <c r="BW142" s="69"/>
      <c r="BX142" s="69"/>
      <c r="BY142" s="69"/>
      <c r="BZ142" s="69"/>
      <c r="CA142" s="69"/>
      <c r="CB142" s="69"/>
      <c r="CC142" s="69"/>
      <c r="CD142" s="69"/>
      <c r="CE142" s="69"/>
      <c r="CF142" s="69"/>
      <c r="CG142" s="69"/>
      <c r="CH142" s="69"/>
      <c r="CI142" s="69"/>
      <c r="CJ142" s="69"/>
      <c r="CK142" s="69"/>
      <c r="CL142" s="69"/>
      <c r="CM142" s="69"/>
      <c r="CN142" s="69"/>
      <c r="CO142" s="69"/>
      <c r="CP142" s="69"/>
      <c r="CQ142" s="69"/>
      <c r="CR142" s="69"/>
    </row>
    <row r="143" spans="1:96" ht="12.75" customHeight="1">
      <c r="A143" s="784"/>
      <c r="B143" s="69"/>
      <c r="C143" s="69"/>
      <c r="D143" s="69"/>
      <c r="E143" s="69"/>
      <c r="F143" s="69"/>
      <c r="G143" s="77"/>
      <c r="H143" s="77"/>
      <c r="I143" s="77"/>
      <c r="J143" s="366"/>
      <c r="K143" s="77"/>
      <c r="L143" s="77"/>
      <c r="M143" s="77"/>
      <c r="N143" s="77"/>
      <c r="O143" s="69"/>
      <c r="P143" s="69"/>
      <c r="Q143" s="69"/>
      <c r="R143" s="69"/>
      <c r="S143" s="77"/>
      <c r="T143" s="77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207"/>
      <c r="AH143" s="207"/>
      <c r="AI143" s="207"/>
      <c r="AJ143" s="207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  <c r="BP143" s="69"/>
      <c r="BQ143" s="69"/>
      <c r="BR143" s="69"/>
      <c r="BS143" s="69"/>
      <c r="BT143" s="69"/>
      <c r="BU143" s="69"/>
      <c r="BV143" s="69"/>
      <c r="BW143" s="69"/>
      <c r="BX143" s="69"/>
      <c r="BY143" s="69"/>
      <c r="BZ143" s="69"/>
      <c r="CA143" s="69"/>
      <c r="CB143" s="69"/>
      <c r="CC143" s="69"/>
      <c r="CD143" s="69"/>
      <c r="CE143" s="69"/>
      <c r="CF143" s="69"/>
      <c r="CG143" s="69"/>
      <c r="CH143" s="69"/>
      <c r="CI143" s="69"/>
      <c r="CJ143" s="69"/>
      <c r="CK143" s="69"/>
      <c r="CL143" s="69"/>
      <c r="CM143" s="69"/>
      <c r="CN143" s="69"/>
      <c r="CO143" s="69"/>
      <c r="CP143" s="69"/>
      <c r="CQ143" s="69"/>
      <c r="CR143" s="69"/>
    </row>
    <row r="144" spans="1:96" ht="12.75" customHeight="1">
      <c r="A144" s="784"/>
      <c r="B144" s="69"/>
      <c r="C144" s="69"/>
      <c r="D144" s="69"/>
      <c r="E144" s="69"/>
      <c r="F144" s="69"/>
      <c r="G144" s="77"/>
      <c r="H144" s="77"/>
      <c r="I144" s="77"/>
      <c r="J144" s="366"/>
      <c r="K144" s="77"/>
      <c r="L144" s="77"/>
      <c r="M144" s="77"/>
      <c r="N144" s="77"/>
      <c r="O144" s="69"/>
      <c r="P144" s="69"/>
      <c r="Q144" s="69"/>
      <c r="R144" s="69"/>
      <c r="S144" s="77"/>
      <c r="T144" s="77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207"/>
      <c r="AH144" s="207"/>
      <c r="AI144" s="207"/>
      <c r="AJ144" s="207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  <c r="BP144" s="69"/>
      <c r="BQ144" s="69"/>
      <c r="BR144" s="69"/>
      <c r="BS144" s="69"/>
      <c r="BT144" s="69"/>
      <c r="BU144" s="69"/>
      <c r="BV144" s="69"/>
      <c r="BW144" s="69"/>
      <c r="BX144" s="69"/>
      <c r="BY144" s="69"/>
      <c r="BZ144" s="69"/>
      <c r="CA144" s="69"/>
      <c r="CB144" s="69"/>
      <c r="CC144" s="69"/>
      <c r="CD144" s="69"/>
      <c r="CE144" s="69"/>
      <c r="CF144" s="69"/>
      <c r="CG144" s="69"/>
      <c r="CH144" s="69"/>
      <c r="CI144" s="69"/>
      <c r="CJ144" s="69"/>
      <c r="CK144" s="69"/>
      <c r="CL144" s="69"/>
      <c r="CM144" s="69"/>
      <c r="CN144" s="69"/>
      <c r="CO144" s="69"/>
      <c r="CP144" s="69"/>
      <c r="CQ144" s="69"/>
      <c r="CR144" s="69"/>
    </row>
    <row r="145" spans="1:96" ht="12.75" customHeight="1">
      <c r="A145" s="784"/>
      <c r="B145" s="69"/>
      <c r="C145" s="69"/>
      <c r="D145" s="69"/>
      <c r="E145" s="69"/>
      <c r="F145" s="69"/>
      <c r="G145" s="77"/>
      <c r="H145" s="77"/>
      <c r="I145" s="77"/>
      <c r="J145" s="366"/>
      <c r="K145" s="77"/>
      <c r="L145" s="77"/>
      <c r="M145" s="77"/>
      <c r="N145" s="77"/>
      <c r="O145" s="69"/>
      <c r="P145" s="69"/>
      <c r="Q145" s="69"/>
      <c r="R145" s="69"/>
      <c r="S145" s="77"/>
      <c r="T145" s="77"/>
      <c r="U145" s="69"/>
      <c r="V145" s="69"/>
      <c r="W145" s="69"/>
      <c r="X145" s="69"/>
      <c r="Y145" s="69"/>
      <c r="Z145" s="69"/>
      <c r="AA145" s="69"/>
      <c r="AB145" s="69"/>
      <c r="AC145" s="69"/>
      <c r="AD145" s="69"/>
      <c r="AE145" s="69"/>
      <c r="AF145" s="69"/>
      <c r="AG145" s="207"/>
      <c r="AH145" s="207"/>
      <c r="AI145" s="207"/>
      <c r="AJ145" s="207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  <c r="BP145" s="69"/>
      <c r="BQ145" s="69"/>
      <c r="BR145" s="69"/>
      <c r="BS145" s="69"/>
      <c r="BT145" s="69"/>
      <c r="BU145" s="69"/>
      <c r="BV145" s="69"/>
      <c r="BW145" s="69"/>
      <c r="BX145" s="69"/>
      <c r="BY145" s="69"/>
      <c r="BZ145" s="69"/>
      <c r="CA145" s="69"/>
      <c r="CB145" s="69"/>
      <c r="CC145" s="69"/>
      <c r="CD145" s="69"/>
      <c r="CE145" s="69"/>
      <c r="CF145" s="69"/>
      <c r="CG145" s="69"/>
      <c r="CH145" s="69"/>
      <c r="CI145" s="69"/>
      <c r="CJ145" s="69"/>
      <c r="CK145" s="69"/>
      <c r="CL145" s="69"/>
      <c r="CM145" s="69"/>
      <c r="CN145" s="69"/>
      <c r="CO145" s="69"/>
      <c r="CP145" s="69"/>
      <c r="CQ145" s="69"/>
      <c r="CR145" s="69"/>
    </row>
    <row r="146" spans="1:96" ht="12.75" customHeight="1">
      <c r="A146" s="784"/>
      <c r="B146" s="69"/>
      <c r="C146" s="69"/>
      <c r="D146" s="69"/>
      <c r="E146" s="69"/>
      <c r="F146" s="69"/>
      <c r="G146" s="77"/>
      <c r="H146" s="77"/>
      <c r="I146" s="77"/>
      <c r="J146" s="366"/>
      <c r="K146" s="77"/>
      <c r="L146" s="77"/>
      <c r="M146" s="77"/>
      <c r="N146" s="77"/>
      <c r="O146" s="69"/>
      <c r="P146" s="69"/>
      <c r="Q146" s="69"/>
      <c r="R146" s="69"/>
      <c r="S146" s="77"/>
      <c r="T146" s="77"/>
      <c r="U146" s="69"/>
      <c r="V146" s="69"/>
      <c r="W146" s="69"/>
      <c r="X146" s="69"/>
      <c r="Y146" s="69"/>
      <c r="Z146" s="69"/>
      <c r="AA146" s="69"/>
      <c r="AB146" s="69"/>
      <c r="AC146" s="69"/>
      <c r="AD146" s="69"/>
      <c r="AE146" s="69"/>
      <c r="AF146" s="69"/>
      <c r="AG146" s="207"/>
      <c r="AH146" s="207"/>
      <c r="AI146" s="207"/>
      <c r="AJ146" s="207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  <c r="BP146" s="69"/>
      <c r="BQ146" s="69"/>
      <c r="BR146" s="69"/>
      <c r="BS146" s="69"/>
      <c r="BT146" s="69"/>
      <c r="BU146" s="69"/>
      <c r="BV146" s="69"/>
      <c r="BW146" s="69"/>
      <c r="BX146" s="69"/>
      <c r="BY146" s="69"/>
      <c r="BZ146" s="69"/>
      <c r="CA146" s="69"/>
      <c r="CB146" s="69"/>
      <c r="CC146" s="69"/>
      <c r="CD146" s="69"/>
      <c r="CE146" s="69"/>
      <c r="CF146" s="69"/>
      <c r="CG146" s="69"/>
      <c r="CH146" s="69"/>
      <c r="CI146" s="69"/>
      <c r="CJ146" s="69"/>
      <c r="CK146" s="69"/>
      <c r="CL146" s="69"/>
      <c r="CM146" s="69"/>
      <c r="CN146" s="69"/>
      <c r="CO146" s="69"/>
      <c r="CP146" s="69"/>
      <c r="CQ146" s="69"/>
      <c r="CR146" s="69"/>
    </row>
    <row r="147" spans="1:96" ht="12.75" customHeight="1">
      <c r="A147" s="784"/>
      <c r="B147" s="69"/>
      <c r="C147" s="69"/>
      <c r="D147" s="69"/>
      <c r="E147" s="69"/>
      <c r="F147" s="69"/>
      <c r="G147" s="77"/>
      <c r="H147" s="77"/>
      <c r="I147" s="77"/>
      <c r="J147" s="366"/>
      <c r="K147" s="77"/>
      <c r="L147" s="77"/>
      <c r="M147" s="77"/>
      <c r="N147" s="77"/>
      <c r="O147" s="69"/>
      <c r="P147" s="69"/>
      <c r="Q147" s="69"/>
      <c r="R147" s="69"/>
      <c r="S147" s="77"/>
      <c r="T147" s="77"/>
      <c r="U147" s="69"/>
      <c r="V147" s="69"/>
      <c r="W147" s="69"/>
      <c r="X147" s="69"/>
      <c r="Y147" s="69"/>
      <c r="Z147" s="69"/>
      <c r="AA147" s="69"/>
      <c r="AB147" s="69"/>
      <c r="AC147" s="69"/>
      <c r="AD147" s="69"/>
      <c r="AE147" s="69"/>
      <c r="AF147" s="69"/>
      <c r="AG147" s="207"/>
      <c r="AH147" s="207"/>
      <c r="AI147" s="207"/>
      <c r="AJ147" s="207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  <c r="BP147" s="69"/>
      <c r="BQ147" s="69"/>
      <c r="BR147" s="69"/>
      <c r="BS147" s="69"/>
      <c r="BT147" s="69"/>
      <c r="BU147" s="69"/>
      <c r="BV147" s="69"/>
      <c r="BW147" s="69"/>
      <c r="BX147" s="69"/>
      <c r="BY147" s="69"/>
      <c r="BZ147" s="69"/>
      <c r="CA147" s="69"/>
      <c r="CB147" s="69"/>
      <c r="CC147" s="69"/>
      <c r="CD147" s="69"/>
      <c r="CE147" s="69"/>
      <c r="CF147" s="69"/>
      <c r="CG147" s="69"/>
      <c r="CH147" s="69"/>
      <c r="CI147" s="69"/>
      <c r="CJ147" s="69"/>
      <c r="CK147" s="69"/>
      <c r="CL147" s="69"/>
      <c r="CM147" s="69"/>
      <c r="CN147" s="69"/>
      <c r="CO147" s="69"/>
      <c r="CP147" s="69"/>
      <c r="CQ147" s="69"/>
      <c r="CR147" s="69"/>
    </row>
    <row r="148" spans="1:96" ht="12.75" customHeight="1">
      <c r="A148" s="784"/>
      <c r="B148" s="69"/>
      <c r="C148" s="69"/>
      <c r="D148" s="69"/>
      <c r="E148" s="69"/>
      <c r="F148" s="69"/>
      <c r="G148" s="77"/>
      <c r="H148" s="77"/>
      <c r="I148" s="77"/>
      <c r="J148" s="366"/>
      <c r="K148" s="77"/>
      <c r="L148" s="77"/>
      <c r="M148" s="77"/>
      <c r="N148" s="77"/>
      <c r="O148" s="69"/>
      <c r="P148" s="69"/>
      <c r="Q148" s="69"/>
      <c r="R148" s="69"/>
      <c r="S148" s="77"/>
      <c r="T148" s="77"/>
      <c r="U148" s="69"/>
      <c r="V148" s="69"/>
      <c r="W148" s="69"/>
      <c r="X148" s="69"/>
      <c r="Y148" s="69"/>
      <c r="Z148" s="69"/>
      <c r="AA148" s="69"/>
      <c r="AB148" s="69"/>
      <c r="AC148" s="69"/>
      <c r="AD148" s="69"/>
      <c r="AE148" s="69"/>
      <c r="AF148" s="69"/>
      <c r="AG148" s="207"/>
      <c r="AH148" s="207"/>
      <c r="AI148" s="207"/>
      <c r="AJ148" s="207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  <c r="BP148" s="69"/>
      <c r="BQ148" s="69"/>
      <c r="BR148" s="69"/>
      <c r="BS148" s="69"/>
      <c r="BT148" s="69"/>
      <c r="BU148" s="69"/>
      <c r="BV148" s="69"/>
      <c r="BW148" s="69"/>
      <c r="BX148" s="69"/>
      <c r="BY148" s="69"/>
      <c r="BZ148" s="69"/>
      <c r="CA148" s="69"/>
      <c r="CB148" s="69"/>
      <c r="CC148" s="69"/>
      <c r="CD148" s="69"/>
      <c r="CE148" s="69"/>
      <c r="CF148" s="69"/>
      <c r="CG148" s="69"/>
      <c r="CH148" s="69"/>
      <c r="CI148" s="69"/>
      <c r="CJ148" s="69"/>
      <c r="CK148" s="69"/>
      <c r="CL148" s="69"/>
      <c r="CM148" s="69"/>
      <c r="CN148" s="69"/>
      <c r="CO148" s="69"/>
      <c r="CP148" s="69"/>
      <c r="CQ148" s="69"/>
      <c r="CR148" s="69"/>
    </row>
    <row r="149" spans="1:96" ht="12.75" customHeight="1">
      <c r="A149" s="784"/>
      <c r="B149" s="69"/>
      <c r="C149" s="69"/>
      <c r="D149" s="69"/>
      <c r="E149" s="69"/>
      <c r="F149" s="69"/>
      <c r="G149" s="77"/>
      <c r="H149" s="77"/>
      <c r="I149" s="77"/>
      <c r="J149" s="366"/>
      <c r="K149" s="77"/>
      <c r="L149" s="77"/>
      <c r="M149" s="77"/>
      <c r="N149" s="77"/>
      <c r="O149" s="69"/>
      <c r="P149" s="69"/>
      <c r="Q149" s="69"/>
      <c r="R149" s="69"/>
      <c r="S149" s="77"/>
      <c r="T149" s="77"/>
      <c r="U149" s="69"/>
      <c r="V149" s="69"/>
      <c r="W149" s="69"/>
      <c r="X149" s="69"/>
      <c r="Y149" s="69"/>
      <c r="Z149" s="69"/>
      <c r="AA149" s="69"/>
      <c r="AB149" s="69"/>
      <c r="AC149" s="69"/>
      <c r="AD149" s="69"/>
      <c r="AE149" s="69"/>
      <c r="AF149" s="69"/>
      <c r="AG149" s="207"/>
      <c r="AH149" s="207"/>
      <c r="AI149" s="207"/>
      <c r="AJ149" s="207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  <c r="BP149" s="69"/>
      <c r="BQ149" s="69"/>
      <c r="BR149" s="69"/>
      <c r="BS149" s="69"/>
      <c r="BT149" s="69"/>
      <c r="BU149" s="69"/>
      <c r="BV149" s="69"/>
      <c r="BW149" s="69"/>
      <c r="BX149" s="69"/>
      <c r="BY149" s="69"/>
      <c r="BZ149" s="69"/>
      <c r="CA149" s="69"/>
      <c r="CB149" s="69"/>
      <c r="CC149" s="69"/>
      <c r="CD149" s="69"/>
      <c r="CE149" s="69"/>
      <c r="CF149" s="69"/>
      <c r="CG149" s="69"/>
      <c r="CH149" s="69"/>
      <c r="CI149" s="69"/>
      <c r="CJ149" s="69"/>
      <c r="CK149" s="69"/>
      <c r="CL149" s="69"/>
      <c r="CM149" s="69"/>
      <c r="CN149" s="69"/>
      <c r="CO149" s="69"/>
      <c r="CP149" s="69"/>
      <c r="CQ149" s="69"/>
      <c r="CR149" s="69"/>
    </row>
    <row r="150" spans="1:96" ht="12.75" customHeight="1">
      <c r="A150" s="784"/>
      <c r="B150" s="69"/>
      <c r="C150" s="69"/>
      <c r="D150" s="69"/>
      <c r="E150" s="69"/>
      <c r="F150" s="69"/>
      <c r="G150" s="77"/>
      <c r="H150" s="77"/>
      <c r="I150" s="77"/>
      <c r="J150" s="366"/>
      <c r="K150" s="77"/>
      <c r="L150" s="77"/>
      <c r="M150" s="77"/>
      <c r="N150" s="77"/>
      <c r="O150" s="69"/>
      <c r="P150" s="69"/>
      <c r="Q150" s="69"/>
      <c r="R150" s="69"/>
      <c r="S150" s="77"/>
      <c r="T150" s="77"/>
      <c r="U150" s="69"/>
      <c r="V150" s="69"/>
      <c r="W150" s="69"/>
      <c r="X150" s="69"/>
      <c r="Y150" s="69"/>
      <c r="Z150" s="69"/>
      <c r="AA150" s="69"/>
      <c r="AB150" s="69"/>
      <c r="AC150" s="69"/>
      <c r="AD150" s="69"/>
      <c r="AE150" s="69"/>
      <c r="AF150" s="69"/>
      <c r="AG150" s="207"/>
      <c r="AH150" s="207"/>
      <c r="AI150" s="207"/>
      <c r="AJ150" s="207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  <c r="BP150" s="69"/>
      <c r="BQ150" s="69"/>
      <c r="BR150" s="69"/>
      <c r="BS150" s="69"/>
      <c r="BT150" s="69"/>
      <c r="BU150" s="69"/>
      <c r="BV150" s="69"/>
      <c r="BW150" s="69"/>
      <c r="BX150" s="69"/>
      <c r="BY150" s="69"/>
      <c r="BZ150" s="69"/>
      <c r="CA150" s="69"/>
      <c r="CB150" s="69"/>
      <c r="CC150" s="69"/>
      <c r="CD150" s="69"/>
      <c r="CE150" s="69"/>
      <c r="CF150" s="69"/>
      <c r="CG150" s="69"/>
      <c r="CH150" s="69"/>
      <c r="CI150" s="69"/>
      <c r="CJ150" s="69"/>
      <c r="CK150" s="69"/>
      <c r="CL150" s="69"/>
      <c r="CM150" s="69"/>
      <c r="CN150" s="69"/>
      <c r="CO150" s="69"/>
      <c r="CP150" s="69"/>
      <c r="CQ150" s="69"/>
      <c r="CR150" s="69"/>
    </row>
    <row r="151" spans="1:96" ht="12.75" customHeight="1">
      <c r="A151" s="784"/>
      <c r="B151" s="69"/>
      <c r="C151" s="69"/>
      <c r="D151" s="69"/>
      <c r="E151" s="69"/>
      <c r="F151" s="69"/>
      <c r="G151" s="77"/>
      <c r="H151" s="77"/>
      <c r="I151" s="77"/>
      <c r="J151" s="366"/>
      <c r="K151" s="77"/>
      <c r="L151" s="77"/>
      <c r="M151" s="77"/>
      <c r="N151" s="77"/>
      <c r="O151" s="69"/>
      <c r="P151" s="69"/>
      <c r="Q151" s="69"/>
      <c r="R151" s="69"/>
      <c r="S151" s="77"/>
      <c r="T151" s="77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9"/>
      <c r="AF151" s="69"/>
      <c r="AG151" s="207"/>
      <c r="AH151" s="207"/>
      <c r="AI151" s="207"/>
      <c r="AJ151" s="207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  <c r="BP151" s="69"/>
      <c r="BQ151" s="69"/>
      <c r="BR151" s="69"/>
      <c r="BS151" s="69"/>
      <c r="BT151" s="69"/>
      <c r="BU151" s="69"/>
      <c r="BV151" s="69"/>
      <c r="BW151" s="69"/>
      <c r="BX151" s="69"/>
      <c r="BY151" s="69"/>
      <c r="BZ151" s="69"/>
      <c r="CA151" s="69"/>
      <c r="CB151" s="69"/>
      <c r="CC151" s="69"/>
      <c r="CD151" s="69"/>
      <c r="CE151" s="69"/>
      <c r="CF151" s="69"/>
      <c r="CG151" s="69"/>
      <c r="CH151" s="69"/>
      <c r="CI151" s="69"/>
      <c r="CJ151" s="69"/>
      <c r="CK151" s="69"/>
      <c r="CL151" s="69"/>
      <c r="CM151" s="69"/>
      <c r="CN151" s="69"/>
      <c r="CO151" s="69"/>
      <c r="CP151" s="69"/>
      <c r="CQ151" s="69"/>
      <c r="CR151" s="69"/>
    </row>
    <row r="152" spans="1:96" ht="12.75" customHeight="1">
      <c r="A152" s="784"/>
      <c r="B152" s="69"/>
      <c r="C152" s="69"/>
      <c r="D152" s="69"/>
      <c r="E152" s="69"/>
      <c r="F152" s="69"/>
      <c r="G152" s="77"/>
      <c r="H152" s="77"/>
      <c r="I152" s="77"/>
      <c r="J152" s="366"/>
      <c r="K152" s="77"/>
      <c r="L152" s="77"/>
      <c r="M152" s="77"/>
      <c r="N152" s="77"/>
      <c r="O152" s="69"/>
      <c r="P152" s="69"/>
      <c r="Q152" s="69"/>
      <c r="R152" s="69"/>
      <c r="S152" s="77"/>
      <c r="T152" s="77"/>
      <c r="U152" s="69"/>
      <c r="V152" s="69"/>
      <c r="W152" s="69"/>
      <c r="X152" s="69"/>
      <c r="Y152" s="69"/>
      <c r="Z152" s="69"/>
      <c r="AA152" s="69"/>
      <c r="AB152" s="69"/>
      <c r="AC152" s="69"/>
      <c r="AD152" s="69"/>
      <c r="AE152" s="69"/>
      <c r="AF152" s="69"/>
      <c r="AG152" s="207"/>
      <c r="AH152" s="207"/>
      <c r="AI152" s="207"/>
      <c r="AJ152" s="207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  <c r="BP152" s="69"/>
      <c r="BQ152" s="69"/>
      <c r="BR152" s="69"/>
      <c r="BS152" s="69"/>
      <c r="BT152" s="69"/>
      <c r="BU152" s="69"/>
      <c r="BV152" s="69"/>
      <c r="BW152" s="69"/>
      <c r="BX152" s="69"/>
      <c r="BY152" s="69"/>
      <c r="BZ152" s="69"/>
      <c r="CA152" s="69"/>
      <c r="CB152" s="69"/>
      <c r="CC152" s="69"/>
      <c r="CD152" s="69"/>
      <c r="CE152" s="69"/>
      <c r="CF152" s="69"/>
      <c r="CG152" s="69"/>
      <c r="CH152" s="69"/>
      <c r="CI152" s="69"/>
      <c r="CJ152" s="69"/>
      <c r="CK152" s="69"/>
      <c r="CL152" s="69"/>
      <c r="CM152" s="69"/>
      <c r="CN152" s="69"/>
      <c r="CO152" s="69"/>
      <c r="CP152" s="69"/>
      <c r="CQ152" s="69"/>
      <c r="CR152" s="69"/>
    </row>
    <row r="153" spans="1:96" ht="12.75" customHeight="1">
      <c r="A153" s="784"/>
      <c r="B153" s="69"/>
      <c r="C153" s="69"/>
      <c r="D153" s="69"/>
      <c r="E153" s="69"/>
      <c r="F153" s="69"/>
      <c r="G153" s="77"/>
      <c r="H153" s="77"/>
      <c r="I153" s="77"/>
      <c r="J153" s="366"/>
      <c r="K153" s="77"/>
      <c r="L153" s="77"/>
      <c r="M153" s="77"/>
      <c r="N153" s="77"/>
      <c r="O153" s="69"/>
      <c r="P153" s="69"/>
      <c r="Q153" s="69"/>
      <c r="R153" s="69"/>
      <c r="S153" s="77"/>
      <c r="T153" s="77"/>
      <c r="U153" s="69"/>
      <c r="V153" s="69"/>
      <c r="W153" s="69"/>
      <c r="X153" s="69"/>
      <c r="Y153" s="69"/>
      <c r="Z153" s="69"/>
      <c r="AA153" s="69"/>
      <c r="AB153" s="69"/>
      <c r="AC153" s="69"/>
      <c r="AD153" s="69"/>
      <c r="AE153" s="69"/>
      <c r="AF153" s="69"/>
      <c r="AG153" s="207"/>
      <c r="AH153" s="207"/>
      <c r="AI153" s="207"/>
      <c r="AJ153" s="207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69"/>
      <c r="BN153" s="69"/>
      <c r="BO153" s="69"/>
      <c r="BP153" s="69"/>
      <c r="BQ153" s="69"/>
      <c r="BR153" s="69"/>
      <c r="BS153" s="69"/>
      <c r="BT153" s="69"/>
      <c r="BU153" s="69"/>
      <c r="BV153" s="69"/>
      <c r="BW153" s="69"/>
      <c r="BX153" s="69"/>
      <c r="BY153" s="69"/>
      <c r="BZ153" s="69"/>
      <c r="CA153" s="69"/>
      <c r="CB153" s="69"/>
      <c r="CC153" s="69"/>
      <c r="CD153" s="69"/>
      <c r="CE153" s="69"/>
      <c r="CF153" s="69"/>
      <c r="CG153" s="69"/>
      <c r="CH153" s="69"/>
      <c r="CI153" s="69"/>
      <c r="CJ153" s="69"/>
      <c r="CK153" s="69"/>
      <c r="CL153" s="69"/>
      <c r="CM153" s="69"/>
      <c r="CN153" s="69"/>
      <c r="CO153" s="69"/>
      <c r="CP153" s="69"/>
      <c r="CQ153" s="69"/>
      <c r="CR153" s="69"/>
    </row>
    <row r="154" spans="1:96" ht="12.75" customHeight="1">
      <c r="A154" s="784"/>
      <c r="B154" s="69"/>
      <c r="C154" s="69"/>
      <c r="D154" s="69"/>
      <c r="E154" s="69"/>
      <c r="F154" s="69"/>
      <c r="G154" s="77"/>
      <c r="H154" s="77"/>
      <c r="I154" s="77"/>
      <c r="J154" s="366"/>
      <c r="K154" s="77"/>
      <c r="L154" s="77"/>
      <c r="M154" s="77"/>
      <c r="N154" s="77"/>
      <c r="O154" s="69"/>
      <c r="P154" s="69"/>
      <c r="Q154" s="69"/>
      <c r="R154" s="69"/>
      <c r="S154" s="77"/>
      <c r="T154" s="77"/>
      <c r="U154" s="69"/>
      <c r="V154" s="69"/>
      <c r="W154" s="69"/>
      <c r="X154" s="69"/>
      <c r="Y154" s="69"/>
      <c r="Z154" s="69"/>
      <c r="AA154" s="69"/>
      <c r="AB154" s="69"/>
      <c r="AC154" s="69"/>
      <c r="AD154" s="69"/>
      <c r="AE154" s="69"/>
      <c r="AF154" s="69"/>
      <c r="AG154" s="207"/>
      <c r="AH154" s="207"/>
      <c r="AI154" s="207"/>
      <c r="AJ154" s="207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  <c r="BP154" s="69"/>
      <c r="BQ154" s="69"/>
      <c r="BR154" s="69"/>
      <c r="BS154" s="69"/>
      <c r="BT154" s="69"/>
      <c r="BU154" s="69"/>
      <c r="BV154" s="69"/>
      <c r="BW154" s="69"/>
      <c r="BX154" s="69"/>
      <c r="BY154" s="69"/>
      <c r="BZ154" s="69"/>
      <c r="CA154" s="69"/>
      <c r="CB154" s="69"/>
      <c r="CC154" s="69"/>
      <c r="CD154" s="69"/>
      <c r="CE154" s="69"/>
      <c r="CF154" s="69"/>
      <c r="CG154" s="69"/>
      <c r="CH154" s="69"/>
      <c r="CI154" s="69"/>
      <c r="CJ154" s="69"/>
      <c r="CK154" s="69"/>
      <c r="CL154" s="69"/>
      <c r="CM154" s="69"/>
      <c r="CN154" s="69"/>
      <c r="CO154" s="69"/>
      <c r="CP154" s="69"/>
      <c r="CQ154" s="69"/>
      <c r="CR154" s="69"/>
    </row>
    <row r="155" spans="1:96" ht="12.75" customHeight="1">
      <c r="A155" s="784"/>
      <c r="B155" s="69"/>
      <c r="C155" s="69"/>
      <c r="D155" s="69"/>
      <c r="E155" s="69"/>
      <c r="F155" s="69"/>
      <c r="G155" s="77"/>
      <c r="H155" s="77"/>
      <c r="I155" s="77"/>
      <c r="J155" s="366"/>
      <c r="K155" s="77"/>
      <c r="L155" s="77"/>
      <c r="M155" s="77"/>
      <c r="N155" s="77"/>
      <c r="O155" s="69"/>
      <c r="P155" s="69"/>
      <c r="Q155" s="69"/>
      <c r="R155" s="69"/>
      <c r="S155" s="77"/>
      <c r="T155" s="77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207"/>
      <c r="AH155" s="207"/>
      <c r="AI155" s="207"/>
      <c r="AJ155" s="207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  <c r="BP155" s="69"/>
      <c r="BQ155" s="69"/>
      <c r="BR155" s="69"/>
      <c r="BS155" s="69"/>
      <c r="BT155" s="69"/>
      <c r="BU155" s="69"/>
      <c r="BV155" s="69"/>
      <c r="BW155" s="69"/>
      <c r="BX155" s="69"/>
      <c r="BY155" s="69"/>
      <c r="BZ155" s="69"/>
      <c r="CA155" s="69"/>
      <c r="CB155" s="69"/>
      <c r="CC155" s="69"/>
      <c r="CD155" s="69"/>
      <c r="CE155" s="69"/>
      <c r="CF155" s="69"/>
      <c r="CG155" s="69"/>
      <c r="CH155" s="69"/>
      <c r="CI155" s="69"/>
      <c r="CJ155" s="69"/>
      <c r="CK155" s="69"/>
      <c r="CL155" s="69"/>
      <c r="CM155" s="69"/>
      <c r="CN155" s="69"/>
      <c r="CO155" s="69"/>
      <c r="CP155" s="69"/>
      <c r="CQ155" s="69"/>
      <c r="CR155" s="69"/>
    </row>
    <row r="156" spans="1:96" ht="12.75" customHeight="1">
      <c r="A156" s="784"/>
      <c r="B156" s="69"/>
      <c r="C156" s="69"/>
      <c r="D156" s="69"/>
      <c r="E156" s="69"/>
      <c r="F156" s="69"/>
      <c r="G156" s="77"/>
      <c r="H156" s="77"/>
      <c r="I156" s="77"/>
      <c r="J156" s="366"/>
      <c r="K156" s="77"/>
      <c r="L156" s="77"/>
      <c r="M156" s="77"/>
      <c r="N156" s="77"/>
      <c r="O156" s="69"/>
      <c r="P156" s="69"/>
      <c r="Q156" s="69"/>
      <c r="R156" s="69"/>
      <c r="S156" s="77"/>
      <c r="T156" s="77"/>
      <c r="U156" s="69"/>
      <c r="V156" s="69"/>
      <c r="W156" s="69"/>
      <c r="X156" s="69"/>
      <c r="Y156" s="69"/>
      <c r="Z156" s="69"/>
      <c r="AA156" s="69"/>
      <c r="AB156" s="69"/>
      <c r="AC156" s="69"/>
      <c r="AD156" s="69"/>
      <c r="AE156" s="69"/>
      <c r="AF156" s="69"/>
      <c r="AG156" s="207"/>
      <c r="AH156" s="207"/>
      <c r="AI156" s="207"/>
      <c r="AJ156" s="207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/>
      <c r="BN156" s="69"/>
      <c r="BO156" s="69"/>
      <c r="BP156" s="69"/>
      <c r="BQ156" s="69"/>
      <c r="BR156" s="69"/>
      <c r="BS156" s="69"/>
      <c r="BT156" s="69"/>
      <c r="BU156" s="69"/>
      <c r="BV156" s="69"/>
      <c r="BW156" s="69"/>
      <c r="BX156" s="69"/>
      <c r="BY156" s="69"/>
      <c r="BZ156" s="69"/>
      <c r="CA156" s="69"/>
      <c r="CB156" s="69"/>
      <c r="CC156" s="69"/>
      <c r="CD156" s="69"/>
      <c r="CE156" s="69"/>
      <c r="CF156" s="69"/>
      <c r="CG156" s="69"/>
      <c r="CH156" s="69"/>
      <c r="CI156" s="69"/>
      <c r="CJ156" s="69"/>
      <c r="CK156" s="69"/>
      <c r="CL156" s="69"/>
      <c r="CM156" s="69"/>
      <c r="CN156" s="69"/>
      <c r="CO156" s="69"/>
      <c r="CP156" s="69"/>
      <c r="CQ156" s="69"/>
      <c r="CR156" s="69"/>
    </row>
    <row r="157" spans="1:96" ht="12.75" customHeight="1">
      <c r="A157" s="784"/>
      <c r="B157" s="69"/>
      <c r="C157" s="69"/>
      <c r="D157" s="69"/>
      <c r="E157" s="69"/>
      <c r="F157" s="69"/>
      <c r="G157" s="77"/>
      <c r="H157" s="77"/>
      <c r="I157" s="77"/>
      <c r="J157" s="366"/>
      <c r="K157" s="77"/>
      <c r="L157" s="77"/>
      <c r="M157" s="77"/>
      <c r="N157" s="77"/>
      <c r="O157" s="69"/>
      <c r="P157" s="69"/>
      <c r="Q157" s="69"/>
      <c r="R157" s="69"/>
      <c r="S157" s="77"/>
      <c r="T157" s="77"/>
      <c r="U157" s="69"/>
      <c r="V157" s="69"/>
      <c r="W157" s="69"/>
      <c r="X157" s="69"/>
      <c r="Y157" s="69"/>
      <c r="Z157" s="69"/>
      <c r="AA157" s="69"/>
      <c r="AB157" s="69"/>
      <c r="AC157" s="69"/>
      <c r="AD157" s="69"/>
      <c r="AE157" s="69"/>
      <c r="AF157" s="69"/>
      <c r="AG157" s="207"/>
      <c r="AH157" s="207"/>
      <c r="AI157" s="207"/>
      <c r="AJ157" s="207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  <c r="BM157" s="69"/>
      <c r="BN157" s="69"/>
      <c r="BO157" s="69"/>
      <c r="BP157" s="69"/>
      <c r="BQ157" s="69"/>
      <c r="BR157" s="69"/>
      <c r="BS157" s="69"/>
      <c r="BT157" s="69"/>
      <c r="BU157" s="69"/>
      <c r="BV157" s="69"/>
      <c r="BW157" s="69"/>
      <c r="BX157" s="69"/>
      <c r="BY157" s="69"/>
      <c r="BZ157" s="69"/>
      <c r="CA157" s="69"/>
      <c r="CB157" s="69"/>
      <c r="CC157" s="69"/>
      <c r="CD157" s="69"/>
      <c r="CE157" s="69"/>
      <c r="CF157" s="69"/>
      <c r="CG157" s="69"/>
      <c r="CH157" s="69"/>
      <c r="CI157" s="69"/>
      <c r="CJ157" s="69"/>
      <c r="CK157" s="69"/>
      <c r="CL157" s="69"/>
      <c r="CM157" s="69"/>
      <c r="CN157" s="69"/>
      <c r="CO157" s="69"/>
      <c r="CP157" s="69"/>
      <c r="CQ157" s="69"/>
      <c r="CR157" s="69"/>
    </row>
    <row r="158" spans="1:96" ht="12.75" customHeight="1">
      <c r="A158" s="784"/>
      <c r="B158" s="69"/>
      <c r="C158" s="69"/>
      <c r="D158" s="69"/>
      <c r="E158" s="69"/>
      <c r="F158" s="69"/>
      <c r="G158" s="77"/>
      <c r="H158" s="77"/>
      <c r="I158" s="77"/>
      <c r="J158" s="366"/>
      <c r="K158" s="77"/>
      <c r="L158" s="77"/>
      <c r="M158" s="77"/>
      <c r="N158" s="77"/>
      <c r="O158" s="69"/>
      <c r="P158" s="69"/>
      <c r="Q158" s="69"/>
      <c r="R158" s="69"/>
      <c r="S158" s="77"/>
      <c r="T158" s="77"/>
      <c r="U158" s="69"/>
      <c r="V158" s="69"/>
      <c r="W158" s="69"/>
      <c r="X158" s="69"/>
      <c r="Y158" s="69"/>
      <c r="Z158" s="69"/>
      <c r="AA158" s="69"/>
      <c r="AB158" s="69"/>
      <c r="AC158" s="69"/>
      <c r="AD158" s="69"/>
      <c r="AE158" s="69"/>
      <c r="AF158" s="69"/>
      <c r="AG158" s="207"/>
      <c r="AH158" s="207"/>
      <c r="AI158" s="207"/>
      <c r="AJ158" s="207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  <c r="BP158" s="69"/>
      <c r="BQ158" s="69"/>
      <c r="BR158" s="69"/>
      <c r="BS158" s="69"/>
      <c r="BT158" s="69"/>
      <c r="BU158" s="69"/>
      <c r="BV158" s="69"/>
      <c r="BW158" s="69"/>
      <c r="BX158" s="69"/>
      <c r="BY158" s="69"/>
      <c r="BZ158" s="69"/>
      <c r="CA158" s="69"/>
      <c r="CB158" s="69"/>
      <c r="CC158" s="69"/>
      <c r="CD158" s="69"/>
      <c r="CE158" s="69"/>
      <c r="CF158" s="69"/>
      <c r="CG158" s="69"/>
      <c r="CH158" s="69"/>
      <c r="CI158" s="69"/>
      <c r="CJ158" s="69"/>
      <c r="CK158" s="69"/>
      <c r="CL158" s="69"/>
      <c r="CM158" s="69"/>
      <c r="CN158" s="69"/>
      <c r="CO158" s="69"/>
      <c r="CP158" s="69"/>
      <c r="CQ158" s="69"/>
      <c r="CR158" s="69"/>
    </row>
    <row r="159" spans="1:96" ht="12.75" customHeight="1">
      <c r="A159" s="784"/>
      <c r="B159" s="69"/>
      <c r="C159" s="69"/>
      <c r="D159" s="69"/>
      <c r="E159" s="69"/>
      <c r="F159" s="69"/>
      <c r="G159" s="77"/>
      <c r="H159" s="77"/>
      <c r="I159" s="77"/>
      <c r="J159" s="366"/>
      <c r="K159" s="77"/>
      <c r="L159" s="77"/>
      <c r="M159" s="77"/>
      <c r="N159" s="77"/>
      <c r="O159" s="69"/>
      <c r="P159" s="69"/>
      <c r="Q159" s="69"/>
      <c r="R159" s="69"/>
      <c r="S159" s="77"/>
      <c r="T159" s="77"/>
      <c r="U159" s="69"/>
      <c r="V159" s="69"/>
      <c r="W159" s="69"/>
      <c r="X159" s="69"/>
      <c r="Y159" s="69"/>
      <c r="Z159" s="69"/>
      <c r="AA159" s="69"/>
      <c r="AB159" s="69"/>
      <c r="AC159" s="69"/>
      <c r="AD159" s="69"/>
      <c r="AE159" s="69"/>
      <c r="AF159" s="69"/>
      <c r="AG159" s="207"/>
      <c r="AH159" s="207"/>
      <c r="AI159" s="207"/>
      <c r="AJ159" s="207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  <c r="BP159" s="69"/>
      <c r="BQ159" s="69"/>
      <c r="BR159" s="69"/>
      <c r="BS159" s="69"/>
      <c r="BT159" s="69"/>
      <c r="BU159" s="69"/>
      <c r="BV159" s="69"/>
      <c r="BW159" s="69"/>
      <c r="BX159" s="69"/>
      <c r="BY159" s="69"/>
      <c r="BZ159" s="69"/>
      <c r="CA159" s="69"/>
      <c r="CB159" s="69"/>
      <c r="CC159" s="69"/>
      <c r="CD159" s="69"/>
      <c r="CE159" s="69"/>
      <c r="CF159" s="69"/>
      <c r="CG159" s="69"/>
      <c r="CH159" s="69"/>
      <c r="CI159" s="69"/>
      <c r="CJ159" s="69"/>
      <c r="CK159" s="69"/>
      <c r="CL159" s="69"/>
      <c r="CM159" s="69"/>
      <c r="CN159" s="69"/>
      <c r="CO159" s="69"/>
      <c r="CP159" s="69"/>
      <c r="CQ159" s="69"/>
      <c r="CR159" s="69"/>
    </row>
    <row r="160" spans="1:96" ht="12.75" customHeight="1">
      <c r="A160" s="784"/>
      <c r="B160" s="69"/>
      <c r="C160" s="69"/>
      <c r="D160" s="69"/>
      <c r="E160" s="69"/>
      <c r="F160" s="69"/>
      <c r="G160" s="77"/>
      <c r="H160" s="77"/>
      <c r="I160" s="77"/>
      <c r="J160" s="366"/>
      <c r="K160" s="77"/>
      <c r="L160" s="77"/>
      <c r="M160" s="77"/>
      <c r="N160" s="77"/>
      <c r="O160" s="69"/>
      <c r="P160" s="69"/>
      <c r="Q160" s="69"/>
      <c r="R160" s="69"/>
      <c r="S160" s="77"/>
      <c r="T160" s="77"/>
      <c r="U160" s="69"/>
      <c r="V160" s="69"/>
      <c r="W160" s="69"/>
      <c r="X160" s="69"/>
      <c r="Y160" s="69"/>
      <c r="Z160" s="69"/>
      <c r="AA160" s="69"/>
      <c r="AB160" s="69"/>
      <c r="AC160" s="69"/>
      <c r="AD160" s="69"/>
      <c r="AE160" s="69"/>
      <c r="AF160" s="69"/>
      <c r="AG160" s="207"/>
      <c r="AH160" s="207"/>
      <c r="AI160" s="207"/>
      <c r="AJ160" s="207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69"/>
      <c r="BP160" s="69"/>
      <c r="BQ160" s="69"/>
      <c r="BR160" s="69"/>
      <c r="BS160" s="69"/>
      <c r="BT160" s="69"/>
      <c r="BU160" s="69"/>
      <c r="BV160" s="69"/>
      <c r="BW160" s="69"/>
      <c r="BX160" s="69"/>
      <c r="BY160" s="69"/>
      <c r="BZ160" s="69"/>
      <c r="CA160" s="69"/>
      <c r="CB160" s="69"/>
      <c r="CC160" s="69"/>
      <c r="CD160" s="69"/>
      <c r="CE160" s="69"/>
      <c r="CF160" s="69"/>
      <c r="CG160" s="69"/>
      <c r="CH160" s="69"/>
      <c r="CI160" s="69"/>
      <c r="CJ160" s="69"/>
      <c r="CK160" s="69"/>
      <c r="CL160" s="69"/>
      <c r="CM160" s="69"/>
      <c r="CN160" s="69"/>
      <c r="CO160" s="69"/>
      <c r="CP160" s="69"/>
      <c r="CQ160" s="69"/>
      <c r="CR160" s="69"/>
    </row>
    <row r="161" spans="1:96" ht="12.75" customHeight="1">
      <c r="A161" s="784"/>
      <c r="B161" s="69"/>
      <c r="C161" s="69"/>
      <c r="D161" s="69"/>
      <c r="E161" s="69"/>
      <c r="F161" s="69"/>
      <c r="G161" s="77"/>
      <c r="H161" s="77"/>
      <c r="I161" s="77"/>
      <c r="J161" s="366"/>
      <c r="K161" s="77"/>
      <c r="L161" s="77"/>
      <c r="M161" s="77"/>
      <c r="N161" s="77"/>
      <c r="O161" s="69"/>
      <c r="P161" s="69"/>
      <c r="Q161" s="69"/>
      <c r="R161" s="69"/>
      <c r="S161" s="77"/>
      <c r="T161" s="77"/>
      <c r="U161" s="69"/>
      <c r="V161" s="69"/>
      <c r="W161" s="69"/>
      <c r="X161" s="69"/>
      <c r="Y161" s="69"/>
      <c r="Z161" s="69"/>
      <c r="AA161" s="69"/>
      <c r="AB161" s="69"/>
      <c r="AC161" s="69"/>
      <c r="AD161" s="69"/>
      <c r="AE161" s="69"/>
      <c r="AF161" s="69"/>
      <c r="AG161" s="207"/>
      <c r="AH161" s="207"/>
      <c r="AI161" s="207"/>
      <c r="AJ161" s="207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69"/>
      <c r="BN161" s="69"/>
      <c r="BO161" s="69"/>
      <c r="BP161" s="69"/>
      <c r="BQ161" s="69"/>
      <c r="BR161" s="69"/>
      <c r="BS161" s="69"/>
      <c r="BT161" s="69"/>
      <c r="BU161" s="69"/>
      <c r="BV161" s="69"/>
      <c r="BW161" s="69"/>
      <c r="BX161" s="69"/>
      <c r="BY161" s="69"/>
      <c r="BZ161" s="69"/>
      <c r="CA161" s="69"/>
      <c r="CB161" s="69"/>
      <c r="CC161" s="69"/>
      <c r="CD161" s="69"/>
      <c r="CE161" s="69"/>
      <c r="CF161" s="69"/>
      <c r="CG161" s="69"/>
      <c r="CH161" s="69"/>
      <c r="CI161" s="69"/>
      <c r="CJ161" s="69"/>
      <c r="CK161" s="69"/>
      <c r="CL161" s="69"/>
      <c r="CM161" s="69"/>
      <c r="CN161" s="69"/>
      <c r="CO161" s="69"/>
      <c r="CP161" s="69"/>
      <c r="CQ161" s="69"/>
      <c r="CR161" s="69"/>
    </row>
    <row r="162" spans="1:96" ht="12.75" customHeight="1">
      <c r="A162" s="784"/>
      <c r="B162" s="69"/>
      <c r="C162" s="69"/>
      <c r="D162" s="69"/>
      <c r="E162" s="69"/>
      <c r="F162" s="69"/>
      <c r="G162" s="77"/>
      <c r="H162" s="77"/>
      <c r="I162" s="77"/>
      <c r="J162" s="366"/>
      <c r="K162" s="77"/>
      <c r="L162" s="77"/>
      <c r="M162" s="77"/>
      <c r="N162" s="77"/>
      <c r="O162" s="69"/>
      <c r="P162" s="69"/>
      <c r="Q162" s="69"/>
      <c r="R162" s="69"/>
      <c r="S162" s="77"/>
      <c r="T162" s="77"/>
      <c r="U162" s="69"/>
      <c r="V162" s="69"/>
      <c r="W162" s="69"/>
      <c r="X162" s="69"/>
      <c r="Y162" s="69"/>
      <c r="Z162" s="69"/>
      <c r="AA162" s="69"/>
      <c r="AB162" s="69"/>
      <c r="AC162" s="69"/>
      <c r="AD162" s="69"/>
      <c r="AE162" s="69"/>
      <c r="AF162" s="69"/>
      <c r="AG162" s="207"/>
      <c r="AH162" s="207"/>
      <c r="AI162" s="207"/>
      <c r="AJ162" s="207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  <c r="BM162" s="69"/>
      <c r="BN162" s="69"/>
      <c r="BO162" s="69"/>
      <c r="BP162" s="69"/>
      <c r="BQ162" s="69"/>
      <c r="BR162" s="69"/>
      <c r="BS162" s="69"/>
      <c r="BT162" s="69"/>
      <c r="BU162" s="69"/>
      <c r="BV162" s="69"/>
      <c r="BW162" s="69"/>
      <c r="BX162" s="69"/>
      <c r="BY162" s="69"/>
      <c r="BZ162" s="69"/>
      <c r="CA162" s="69"/>
      <c r="CB162" s="69"/>
      <c r="CC162" s="69"/>
      <c r="CD162" s="69"/>
      <c r="CE162" s="69"/>
      <c r="CF162" s="69"/>
      <c r="CG162" s="69"/>
      <c r="CH162" s="69"/>
      <c r="CI162" s="69"/>
      <c r="CJ162" s="69"/>
      <c r="CK162" s="69"/>
      <c r="CL162" s="69"/>
      <c r="CM162" s="69"/>
      <c r="CN162" s="69"/>
      <c r="CO162" s="69"/>
      <c r="CP162" s="69"/>
      <c r="CQ162" s="69"/>
      <c r="CR162" s="69"/>
    </row>
    <row r="163" spans="1:96" ht="12.75" customHeight="1">
      <c r="A163" s="784"/>
      <c r="B163" s="69"/>
      <c r="C163" s="69"/>
      <c r="D163" s="69"/>
      <c r="E163" s="69"/>
      <c r="F163" s="69"/>
      <c r="G163" s="77"/>
      <c r="H163" s="77"/>
      <c r="I163" s="77"/>
      <c r="J163" s="366"/>
      <c r="K163" s="77"/>
      <c r="L163" s="77"/>
      <c r="M163" s="77"/>
      <c r="N163" s="77"/>
      <c r="O163" s="69"/>
      <c r="P163" s="69"/>
      <c r="Q163" s="69"/>
      <c r="R163" s="69"/>
      <c r="S163" s="77"/>
      <c r="T163" s="77"/>
      <c r="U163" s="69"/>
      <c r="V163" s="69"/>
      <c r="W163" s="69"/>
      <c r="X163" s="69"/>
      <c r="Y163" s="69"/>
      <c r="Z163" s="69"/>
      <c r="AA163" s="69"/>
      <c r="AB163" s="69"/>
      <c r="AC163" s="69"/>
      <c r="AD163" s="69"/>
      <c r="AE163" s="69"/>
      <c r="AF163" s="69"/>
      <c r="AG163" s="207"/>
      <c r="AH163" s="207"/>
      <c r="AI163" s="207"/>
      <c r="AJ163" s="207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  <c r="BM163" s="69"/>
      <c r="BN163" s="69"/>
      <c r="BO163" s="69"/>
      <c r="BP163" s="69"/>
      <c r="BQ163" s="69"/>
      <c r="BR163" s="69"/>
      <c r="BS163" s="69"/>
      <c r="BT163" s="69"/>
      <c r="BU163" s="69"/>
      <c r="BV163" s="69"/>
      <c r="BW163" s="69"/>
      <c r="BX163" s="69"/>
      <c r="BY163" s="69"/>
      <c r="BZ163" s="69"/>
      <c r="CA163" s="69"/>
      <c r="CB163" s="69"/>
      <c r="CC163" s="69"/>
      <c r="CD163" s="69"/>
      <c r="CE163" s="69"/>
      <c r="CF163" s="69"/>
      <c r="CG163" s="69"/>
      <c r="CH163" s="69"/>
      <c r="CI163" s="69"/>
      <c r="CJ163" s="69"/>
      <c r="CK163" s="69"/>
      <c r="CL163" s="69"/>
      <c r="CM163" s="69"/>
      <c r="CN163" s="69"/>
      <c r="CO163" s="69"/>
      <c r="CP163" s="69"/>
      <c r="CQ163" s="69"/>
      <c r="CR163" s="69"/>
    </row>
    <row r="164" spans="1:96" ht="12.75" customHeight="1">
      <c r="A164" s="784"/>
      <c r="B164" s="69"/>
      <c r="C164" s="69"/>
      <c r="D164" s="69"/>
      <c r="E164" s="69"/>
      <c r="F164" s="69"/>
      <c r="G164" s="77"/>
      <c r="H164" s="77"/>
      <c r="I164" s="77"/>
      <c r="J164" s="366"/>
      <c r="K164" s="77"/>
      <c r="L164" s="77"/>
      <c r="M164" s="77"/>
      <c r="N164" s="77"/>
      <c r="O164" s="69"/>
      <c r="P164" s="69"/>
      <c r="Q164" s="69"/>
      <c r="R164" s="69"/>
      <c r="S164" s="77"/>
      <c r="T164" s="77"/>
      <c r="U164" s="69"/>
      <c r="V164" s="69"/>
      <c r="W164" s="69"/>
      <c r="X164" s="69"/>
      <c r="Y164" s="69"/>
      <c r="Z164" s="69"/>
      <c r="AA164" s="69"/>
      <c r="AB164" s="69"/>
      <c r="AC164" s="69"/>
      <c r="AD164" s="69"/>
      <c r="AE164" s="69"/>
      <c r="AF164" s="69"/>
      <c r="AG164" s="207"/>
      <c r="AH164" s="207"/>
      <c r="AI164" s="207"/>
      <c r="AJ164" s="207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  <c r="BP164" s="69"/>
      <c r="BQ164" s="69"/>
      <c r="BR164" s="69"/>
      <c r="BS164" s="69"/>
      <c r="BT164" s="69"/>
      <c r="BU164" s="69"/>
      <c r="BV164" s="69"/>
      <c r="BW164" s="69"/>
      <c r="BX164" s="69"/>
      <c r="BY164" s="69"/>
      <c r="BZ164" s="69"/>
      <c r="CA164" s="69"/>
      <c r="CB164" s="69"/>
      <c r="CC164" s="69"/>
      <c r="CD164" s="69"/>
      <c r="CE164" s="69"/>
      <c r="CF164" s="69"/>
      <c r="CG164" s="69"/>
      <c r="CH164" s="69"/>
      <c r="CI164" s="69"/>
      <c r="CJ164" s="69"/>
      <c r="CK164" s="69"/>
      <c r="CL164" s="69"/>
      <c r="CM164" s="69"/>
      <c r="CN164" s="69"/>
      <c r="CO164" s="69"/>
      <c r="CP164" s="69"/>
      <c r="CQ164" s="69"/>
      <c r="CR164" s="69"/>
    </row>
    <row r="165" spans="1:96" ht="12.75" customHeight="1">
      <c r="A165" s="784"/>
      <c r="B165" s="69"/>
      <c r="C165" s="69"/>
      <c r="D165" s="69"/>
      <c r="E165" s="69"/>
      <c r="F165" s="69"/>
      <c r="G165" s="77"/>
      <c r="H165" s="77"/>
      <c r="I165" s="77"/>
      <c r="J165" s="366"/>
      <c r="K165" s="77"/>
      <c r="L165" s="77"/>
      <c r="M165" s="77"/>
      <c r="N165" s="77"/>
      <c r="O165" s="69"/>
      <c r="P165" s="69"/>
      <c r="Q165" s="69"/>
      <c r="R165" s="69"/>
      <c r="S165" s="77"/>
      <c r="T165" s="77"/>
      <c r="U165" s="69"/>
      <c r="V165" s="69"/>
      <c r="W165" s="69"/>
      <c r="X165" s="69"/>
      <c r="Y165" s="69"/>
      <c r="Z165" s="69"/>
      <c r="AA165" s="69"/>
      <c r="AB165" s="69"/>
      <c r="AC165" s="69"/>
      <c r="AD165" s="69"/>
      <c r="AE165" s="69"/>
      <c r="AF165" s="69"/>
      <c r="AG165" s="207"/>
      <c r="AH165" s="207"/>
      <c r="AI165" s="207"/>
      <c r="AJ165" s="207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  <c r="BM165" s="69"/>
      <c r="BN165" s="69"/>
      <c r="BO165" s="69"/>
      <c r="BP165" s="69"/>
      <c r="BQ165" s="69"/>
      <c r="BR165" s="69"/>
      <c r="BS165" s="69"/>
      <c r="BT165" s="69"/>
      <c r="BU165" s="69"/>
      <c r="BV165" s="69"/>
      <c r="BW165" s="69"/>
      <c r="BX165" s="69"/>
      <c r="BY165" s="69"/>
      <c r="BZ165" s="69"/>
      <c r="CA165" s="69"/>
      <c r="CB165" s="69"/>
      <c r="CC165" s="69"/>
      <c r="CD165" s="69"/>
      <c r="CE165" s="69"/>
      <c r="CF165" s="69"/>
      <c r="CG165" s="69"/>
      <c r="CH165" s="69"/>
      <c r="CI165" s="69"/>
      <c r="CJ165" s="69"/>
      <c r="CK165" s="69"/>
      <c r="CL165" s="69"/>
      <c r="CM165" s="69"/>
      <c r="CN165" s="69"/>
      <c r="CO165" s="69"/>
      <c r="CP165" s="69"/>
      <c r="CQ165" s="69"/>
      <c r="CR165" s="69"/>
    </row>
    <row r="166" spans="1:96" ht="12.75" customHeight="1">
      <c r="A166" s="784"/>
      <c r="B166" s="69"/>
      <c r="C166" s="69"/>
      <c r="D166" s="69"/>
      <c r="E166" s="69"/>
      <c r="F166" s="69"/>
      <c r="G166" s="77"/>
      <c r="H166" s="77"/>
      <c r="I166" s="77"/>
      <c r="J166" s="366"/>
      <c r="K166" s="77"/>
      <c r="L166" s="77"/>
      <c r="M166" s="77"/>
      <c r="N166" s="77"/>
      <c r="O166" s="69"/>
      <c r="P166" s="69"/>
      <c r="Q166" s="69"/>
      <c r="R166" s="69"/>
      <c r="S166" s="77"/>
      <c r="T166" s="77"/>
      <c r="U166" s="69"/>
      <c r="V166" s="69"/>
      <c r="W166" s="69"/>
      <c r="X166" s="69"/>
      <c r="Y166" s="69"/>
      <c r="Z166" s="69"/>
      <c r="AA166" s="69"/>
      <c r="AB166" s="69"/>
      <c r="AC166" s="69"/>
      <c r="AD166" s="69"/>
      <c r="AE166" s="69"/>
      <c r="AF166" s="69"/>
      <c r="AG166" s="207"/>
      <c r="AH166" s="207"/>
      <c r="AI166" s="207"/>
      <c r="AJ166" s="207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  <c r="BM166" s="69"/>
      <c r="BN166" s="69"/>
      <c r="BO166" s="69"/>
      <c r="BP166" s="69"/>
      <c r="BQ166" s="69"/>
      <c r="BR166" s="69"/>
      <c r="BS166" s="69"/>
      <c r="BT166" s="69"/>
      <c r="BU166" s="69"/>
      <c r="BV166" s="69"/>
      <c r="BW166" s="69"/>
      <c r="BX166" s="69"/>
      <c r="BY166" s="69"/>
      <c r="BZ166" s="69"/>
      <c r="CA166" s="69"/>
      <c r="CB166" s="69"/>
      <c r="CC166" s="69"/>
      <c r="CD166" s="69"/>
      <c r="CE166" s="69"/>
      <c r="CF166" s="69"/>
      <c r="CG166" s="69"/>
      <c r="CH166" s="69"/>
      <c r="CI166" s="69"/>
      <c r="CJ166" s="69"/>
      <c r="CK166" s="69"/>
      <c r="CL166" s="69"/>
      <c r="CM166" s="69"/>
      <c r="CN166" s="69"/>
      <c r="CO166" s="69"/>
      <c r="CP166" s="69"/>
      <c r="CQ166" s="69"/>
      <c r="CR166" s="69"/>
    </row>
    <row r="167" spans="1:96" ht="12.75" customHeight="1">
      <c r="A167" s="784"/>
      <c r="B167" s="69"/>
      <c r="C167" s="69"/>
      <c r="D167" s="69"/>
      <c r="E167" s="69"/>
      <c r="F167" s="69"/>
      <c r="G167" s="77"/>
      <c r="H167" s="77"/>
      <c r="I167" s="77"/>
      <c r="J167" s="366"/>
      <c r="K167" s="77"/>
      <c r="L167" s="77"/>
      <c r="M167" s="77"/>
      <c r="N167" s="77"/>
      <c r="O167" s="69"/>
      <c r="P167" s="69"/>
      <c r="Q167" s="69"/>
      <c r="R167" s="69"/>
      <c r="S167" s="77"/>
      <c r="T167" s="77"/>
      <c r="U167" s="69"/>
      <c r="V167" s="69"/>
      <c r="W167" s="69"/>
      <c r="X167" s="69"/>
      <c r="Y167" s="69"/>
      <c r="Z167" s="69"/>
      <c r="AA167" s="69"/>
      <c r="AB167" s="69"/>
      <c r="AC167" s="69"/>
      <c r="AD167" s="69"/>
      <c r="AE167" s="69"/>
      <c r="AF167" s="69"/>
      <c r="AG167" s="207"/>
      <c r="AH167" s="207"/>
      <c r="AI167" s="207"/>
      <c r="AJ167" s="207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69"/>
      <c r="BN167" s="69"/>
      <c r="BO167" s="69"/>
      <c r="BP167" s="69"/>
      <c r="BQ167" s="69"/>
      <c r="BR167" s="69"/>
      <c r="BS167" s="69"/>
      <c r="BT167" s="69"/>
      <c r="BU167" s="69"/>
      <c r="BV167" s="69"/>
      <c r="BW167" s="69"/>
      <c r="BX167" s="69"/>
      <c r="BY167" s="69"/>
      <c r="BZ167" s="69"/>
      <c r="CA167" s="69"/>
      <c r="CB167" s="69"/>
      <c r="CC167" s="69"/>
      <c r="CD167" s="69"/>
      <c r="CE167" s="69"/>
      <c r="CF167" s="69"/>
      <c r="CG167" s="69"/>
      <c r="CH167" s="69"/>
      <c r="CI167" s="69"/>
      <c r="CJ167" s="69"/>
      <c r="CK167" s="69"/>
      <c r="CL167" s="69"/>
      <c r="CM167" s="69"/>
      <c r="CN167" s="69"/>
      <c r="CO167" s="69"/>
      <c r="CP167" s="69"/>
      <c r="CQ167" s="69"/>
      <c r="CR167" s="69"/>
    </row>
    <row r="168" spans="1:96" ht="12.75" customHeight="1">
      <c r="A168" s="784"/>
      <c r="B168" s="69"/>
      <c r="C168" s="69"/>
      <c r="D168" s="69"/>
      <c r="E168" s="69"/>
      <c r="F168" s="69"/>
      <c r="G168" s="77"/>
      <c r="H168" s="77"/>
      <c r="I168" s="77"/>
      <c r="J168" s="366"/>
      <c r="K168" s="77"/>
      <c r="L168" s="77"/>
      <c r="M168" s="77"/>
      <c r="N168" s="77"/>
      <c r="O168" s="69"/>
      <c r="P168" s="69"/>
      <c r="Q168" s="69"/>
      <c r="R168" s="69"/>
      <c r="S168" s="77"/>
      <c r="T168" s="77"/>
      <c r="U168" s="69"/>
      <c r="V168" s="69"/>
      <c r="W168" s="69"/>
      <c r="X168" s="69"/>
      <c r="Y168" s="69"/>
      <c r="Z168" s="69"/>
      <c r="AA168" s="69"/>
      <c r="AB168" s="69"/>
      <c r="AC168" s="69"/>
      <c r="AD168" s="69"/>
      <c r="AE168" s="69"/>
      <c r="AF168" s="69"/>
      <c r="AG168" s="207"/>
      <c r="AH168" s="207"/>
      <c r="AI168" s="207"/>
      <c r="AJ168" s="207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69"/>
      <c r="BN168" s="69"/>
      <c r="BO168" s="69"/>
      <c r="BP168" s="69"/>
      <c r="BQ168" s="69"/>
      <c r="BR168" s="69"/>
      <c r="BS168" s="69"/>
      <c r="BT168" s="69"/>
      <c r="BU168" s="69"/>
      <c r="BV168" s="69"/>
      <c r="BW168" s="69"/>
      <c r="BX168" s="69"/>
      <c r="BY168" s="69"/>
      <c r="BZ168" s="69"/>
      <c r="CA168" s="69"/>
      <c r="CB168" s="69"/>
      <c r="CC168" s="69"/>
      <c r="CD168" s="69"/>
      <c r="CE168" s="69"/>
      <c r="CF168" s="69"/>
      <c r="CG168" s="69"/>
      <c r="CH168" s="69"/>
      <c r="CI168" s="69"/>
      <c r="CJ168" s="69"/>
      <c r="CK168" s="69"/>
      <c r="CL168" s="69"/>
      <c r="CM168" s="69"/>
      <c r="CN168" s="69"/>
      <c r="CO168" s="69"/>
      <c r="CP168" s="69"/>
      <c r="CQ168" s="69"/>
      <c r="CR168" s="69"/>
    </row>
    <row r="169" spans="1:96" ht="12.75" customHeight="1">
      <c r="A169" s="784"/>
      <c r="B169" s="69"/>
      <c r="C169" s="69"/>
      <c r="D169" s="69"/>
      <c r="E169" s="69"/>
      <c r="F169" s="69"/>
      <c r="G169" s="77"/>
      <c r="H169" s="77"/>
      <c r="I169" s="77"/>
      <c r="J169" s="366"/>
      <c r="K169" s="77"/>
      <c r="L169" s="77"/>
      <c r="M169" s="77"/>
      <c r="N169" s="77"/>
      <c r="O169" s="69"/>
      <c r="P169" s="69"/>
      <c r="Q169" s="69"/>
      <c r="R169" s="69"/>
      <c r="S169" s="77"/>
      <c r="T169" s="77"/>
      <c r="U169" s="69"/>
      <c r="V169" s="69"/>
      <c r="W169" s="69"/>
      <c r="X169" s="69"/>
      <c r="Y169" s="69"/>
      <c r="Z169" s="69"/>
      <c r="AA169" s="69"/>
      <c r="AB169" s="69"/>
      <c r="AC169" s="69"/>
      <c r="AD169" s="69"/>
      <c r="AE169" s="69"/>
      <c r="AF169" s="69"/>
      <c r="AG169" s="207"/>
      <c r="AH169" s="207"/>
      <c r="AI169" s="207"/>
      <c r="AJ169" s="207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  <c r="BM169" s="69"/>
      <c r="BN169" s="69"/>
      <c r="BO169" s="69"/>
      <c r="BP169" s="69"/>
      <c r="BQ169" s="69"/>
      <c r="BR169" s="69"/>
      <c r="BS169" s="69"/>
      <c r="BT169" s="69"/>
      <c r="BU169" s="69"/>
      <c r="BV169" s="69"/>
      <c r="BW169" s="69"/>
      <c r="BX169" s="69"/>
      <c r="BY169" s="69"/>
      <c r="BZ169" s="69"/>
      <c r="CA169" s="69"/>
      <c r="CB169" s="69"/>
      <c r="CC169" s="69"/>
      <c r="CD169" s="69"/>
      <c r="CE169" s="69"/>
      <c r="CF169" s="69"/>
      <c r="CG169" s="69"/>
      <c r="CH169" s="69"/>
      <c r="CI169" s="69"/>
      <c r="CJ169" s="69"/>
      <c r="CK169" s="69"/>
      <c r="CL169" s="69"/>
      <c r="CM169" s="69"/>
      <c r="CN169" s="69"/>
      <c r="CO169" s="69"/>
      <c r="CP169" s="69"/>
      <c r="CQ169" s="69"/>
      <c r="CR169" s="69"/>
    </row>
    <row r="170" spans="1:96" ht="12.75" customHeight="1">
      <c r="A170" s="784"/>
      <c r="B170" s="69"/>
      <c r="C170" s="69"/>
      <c r="D170" s="69"/>
      <c r="E170" s="69"/>
      <c r="F170" s="69"/>
      <c r="G170" s="77"/>
      <c r="H170" s="77"/>
      <c r="I170" s="77"/>
      <c r="J170" s="366"/>
      <c r="K170" s="77"/>
      <c r="L170" s="77"/>
      <c r="M170" s="77"/>
      <c r="N170" s="77"/>
      <c r="O170" s="69"/>
      <c r="P170" s="69"/>
      <c r="Q170" s="69"/>
      <c r="R170" s="69"/>
      <c r="S170" s="77"/>
      <c r="T170" s="77"/>
      <c r="U170" s="69"/>
      <c r="V170" s="69"/>
      <c r="W170" s="69"/>
      <c r="X170" s="69"/>
      <c r="Y170" s="69"/>
      <c r="Z170" s="69"/>
      <c r="AA170" s="69"/>
      <c r="AB170" s="69"/>
      <c r="AC170" s="69"/>
      <c r="AD170" s="69"/>
      <c r="AE170" s="69"/>
      <c r="AF170" s="69"/>
      <c r="AG170" s="207"/>
      <c r="AH170" s="207"/>
      <c r="AI170" s="207"/>
      <c r="AJ170" s="207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  <c r="BP170" s="69"/>
      <c r="BQ170" s="69"/>
      <c r="BR170" s="69"/>
      <c r="BS170" s="69"/>
      <c r="BT170" s="69"/>
      <c r="BU170" s="69"/>
      <c r="BV170" s="69"/>
      <c r="BW170" s="69"/>
      <c r="BX170" s="69"/>
      <c r="BY170" s="69"/>
      <c r="BZ170" s="69"/>
      <c r="CA170" s="69"/>
      <c r="CB170" s="69"/>
      <c r="CC170" s="69"/>
      <c r="CD170" s="69"/>
      <c r="CE170" s="69"/>
      <c r="CF170" s="69"/>
      <c r="CG170" s="69"/>
      <c r="CH170" s="69"/>
      <c r="CI170" s="69"/>
      <c r="CJ170" s="69"/>
      <c r="CK170" s="69"/>
      <c r="CL170" s="69"/>
      <c r="CM170" s="69"/>
      <c r="CN170" s="69"/>
      <c r="CO170" s="69"/>
      <c r="CP170" s="69"/>
      <c r="CQ170" s="69"/>
      <c r="CR170" s="69"/>
    </row>
    <row r="171" spans="1:96" ht="12.75" customHeight="1">
      <c r="A171" s="784"/>
      <c r="B171" s="69"/>
      <c r="C171" s="69"/>
      <c r="D171" s="69"/>
      <c r="E171" s="69"/>
      <c r="F171" s="69"/>
      <c r="G171" s="77"/>
      <c r="H171" s="77"/>
      <c r="I171" s="77"/>
      <c r="J171" s="366"/>
      <c r="K171" s="77"/>
      <c r="L171" s="77"/>
      <c r="M171" s="77"/>
      <c r="N171" s="77"/>
      <c r="O171" s="69"/>
      <c r="P171" s="69"/>
      <c r="Q171" s="69"/>
      <c r="R171" s="69"/>
      <c r="S171" s="77"/>
      <c r="T171" s="77"/>
      <c r="U171" s="69"/>
      <c r="V171" s="69"/>
      <c r="W171" s="69"/>
      <c r="X171" s="69"/>
      <c r="Y171" s="69"/>
      <c r="Z171" s="69"/>
      <c r="AA171" s="69"/>
      <c r="AB171" s="69"/>
      <c r="AC171" s="69"/>
      <c r="AD171" s="69"/>
      <c r="AE171" s="69"/>
      <c r="AF171" s="69"/>
      <c r="AG171" s="207"/>
      <c r="AH171" s="207"/>
      <c r="AI171" s="207"/>
      <c r="AJ171" s="207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  <c r="BP171" s="69"/>
      <c r="BQ171" s="69"/>
      <c r="BR171" s="69"/>
      <c r="BS171" s="69"/>
      <c r="BT171" s="69"/>
      <c r="BU171" s="69"/>
      <c r="BV171" s="69"/>
      <c r="BW171" s="69"/>
      <c r="BX171" s="69"/>
      <c r="BY171" s="69"/>
      <c r="BZ171" s="69"/>
      <c r="CA171" s="69"/>
      <c r="CB171" s="69"/>
      <c r="CC171" s="69"/>
      <c r="CD171" s="69"/>
      <c r="CE171" s="69"/>
      <c r="CF171" s="69"/>
      <c r="CG171" s="69"/>
      <c r="CH171" s="69"/>
      <c r="CI171" s="69"/>
      <c r="CJ171" s="69"/>
      <c r="CK171" s="69"/>
      <c r="CL171" s="69"/>
      <c r="CM171" s="69"/>
      <c r="CN171" s="69"/>
      <c r="CO171" s="69"/>
      <c r="CP171" s="69"/>
      <c r="CQ171" s="69"/>
      <c r="CR171" s="69"/>
    </row>
    <row r="172" spans="1:96" ht="12.75" customHeight="1">
      <c r="A172" s="784"/>
      <c r="B172" s="69"/>
      <c r="C172" s="69"/>
      <c r="D172" s="69"/>
      <c r="E172" s="69"/>
      <c r="F172" s="69"/>
      <c r="G172" s="77"/>
      <c r="H172" s="77"/>
      <c r="I172" s="77"/>
      <c r="J172" s="366"/>
      <c r="K172" s="77"/>
      <c r="L172" s="77"/>
      <c r="M172" s="77"/>
      <c r="N172" s="77"/>
      <c r="O172" s="69"/>
      <c r="P172" s="69"/>
      <c r="Q172" s="69"/>
      <c r="R172" s="69"/>
      <c r="S172" s="77"/>
      <c r="T172" s="77"/>
      <c r="U172" s="69"/>
      <c r="V172" s="69"/>
      <c r="W172" s="69"/>
      <c r="X172" s="69"/>
      <c r="Y172" s="69"/>
      <c r="Z172" s="69"/>
      <c r="AA172" s="69"/>
      <c r="AB172" s="69"/>
      <c r="AC172" s="69"/>
      <c r="AD172" s="69"/>
      <c r="AE172" s="69"/>
      <c r="AF172" s="69"/>
      <c r="AG172" s="207"/>
      <c r="AH172" s="207"/>
      <c r="AI172" s="207"/>
      <c r="AJ172" s="207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  <c r="BM172" s="69"/>
      <c r="BN172" s="69"/>
      <c r="BO172" s="69"/>
      <c r="BP172" s="69"/>
      <c r="BQ172" s="69"/>
      <c r="BR172" s="69"/>
      <c r="BS172" s="69"/>
      <c r="BT172" s="69"/>
      <c r="BU172" s="69"/>
      <c r="BV172" s="69"/>
      <c r="BW172" s="69"/>
      <c r="BX172" s="69"/>
      <c r="BY172" s="69"/>
      <c r="BZ172" s="69"/>
      <c r="CA172" s="69"/>
      <c r="CB172" s="69"/>
      <c r="CC172" s="69"/>
      <c r="CD172" s="69"/>
      <c r="CE172" s="69"/>
      <c r="CF172" s="69"/>
      <c r="CG172" s="69"/>
      <c r="CH172" s="69"/>
      <c r="CI172" s="69"/>
      <c r="CJ172" s="69"/>
      <c r="CK172" s="69"/>
      <c r="CL172" s="69"/>
      <c r="CM172" s="69"/>
      <c r="CN172" s="69"/>
      <c r="CO172" s="69"/>
      <c r="CP172" s="69"/>
      <c r="CQ172" s="69"/>
      <c r="CR172" s="69"/>
    </row>
    <row r="173" spans="1:96" ht="12.75" customHeight="1">
      <c r="A173" s="784"/>
      <c r="B173" s="69"/>
      <c r="C173" s="69"/>
      <c r="D173" s="69"/>
      <c r="E173" s="69"/>
      <c r="F173" s="69"/>
      <c r="G173" s="77"/>
      <c r="H173" s="77"/>
      <c r="I173" s="77"/>
      <c r="J173" s="366"/>
      <c r="K173" s="77"/>
      <c r="L173" s="77"/>
      <c r="M173" s="77"/>
      <c r="N173" s="77"/>
      <c r="O173" s="69"/>
      <c r="P173" s="69"/>
      <c r="Q173" s="69"/>
      <c r="R173" s="69"/>
      <c r="S173" s="77"/>
      <c r="T173" s="77"/>
      <c r="U173" s="69"/>
      <c r="V173" s="69"/>
      <c r="W173" s="69"/>
      <c r="X173" s="69"/>
      <c r="Y173" s="69"/>
      <c r="Z173" s="69"/>
      <c r="AA173" s="69"/>
      <c r="AB173" s="69"/>
      <c r="AC173" s="69"/>
      <c r="AD173" s="69"/>
      <c r="AE173" s="69"/>
      <c r="AF173" s="69"/>
      <c r="AG173" s="207"/>
      <c r="AH173" s="207"/>
      <c r="AI173" s="207"/>
      <c r="AJ173" s="207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  <c r="BM173" s="69"/>
      <c r="BN173" s="69"/>
      <c r="BO173" s="69"/>
      <c r="BP173" s="69"/>
      <c r="BQ173" s="69"/>
      <c r="BR173" s="69"/>
      <c r="BS173" s="69"/>
      <c r="BT173" s="69"/>
      <c r="BU173" s="69"/>
      <c r="BV173" s="69"/>
      <c r="BW173" s="69"/>
      <c r="BX173" s="69"/>
      <c r="BY173" s="69"/>
      <c r="BZ173" s="69"/>
      <c r="CA173" s="69"/>
      <c r="CB173" s="69"/>
      <c r="CC173" s="69"/>
      <c r="CD173" s="69"/>
      <c r="CE173" s="69"/>
      <c r="CF173" s="69"/>
      <c r="CG173" s="69"/>
      <c r="CH173" s="69"/>
      <c r="CI173" s="69"/>
      <c r="CJ173" s="69"/>
      <c r="CK173" s="69"/>
      <c r="CL173" s="69"/>
      <c r="CM173" s="69"/>
      <c r="CN173" s="69"/>
      <c r="CO173" s="69"/>
      <c r="CP173" s="69"/>
      <c r="CQ173" s="69"/>
      <c r="CR173" s="69"/>
    </row>
    <row r="174" spans="1:96" ht="12.75" customHeight="1">
      <c r="A174" s="784"/>
      <c r="B174" s="69"/>
      <c r="C174" s="69"/>
      <c r="D174" s="69"/>
      <c r="E174" s="69"/>
      <c r="F174" s="69"/>
      <c r="G174" s="77"/>
      <c r="H174" s="77"/>
      <c r="I174" s="77"/>
      <c r="J174" s="366"/>
      <c r="K174" s="77"/>
      <c r="L174" s="77"/>
      <c r="M174" s="77"/>
      <c r="N174" s="77"/>
      <c r="O174" s="69"/>
      <c r="P174" s="69"/>
      <c r="Q174" s="69"/>
      <c r="R174" s="69"/>
      <c r="S174" s="77"/>
      <c r="T174" s="77"/>
      <c r="U174" s="69"/>
      <c r="V174" s="69"/>
      <c r="W174" s="69"/>
      <c r="X174" s="69"/>
      <c r="Y174" s="69"/>
      <c r="Z174" s="69"/>
      <c r="AA174" s="69"/>
      <c r="AB174" s="69"/>
      <c r="AC174" s="69"/>
      <c r="AD174" s="69"/>
      <c r="AE174" s="69"/>
      <c r="AF174" s="69"/>
      <c r="AG174" s="207"/>
      <c r="AH174" s="207"/>
      <c r="AI174" s="207"/>
      <c r="AJ174" s="207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  <c r="BM174" s="69"/>
      <c r="BN174" s="69"/>
      <c r="BO174" s="69"/>
      <c r="BP174" s="69"/>
      <c r="BQ174" s="69"/>
      <c r="BR174" s="69"/>
      <c r="BS174" s="69"/>
      <c r="BT174" s="69"/>
      <c r="BU174" s="69"/>
      <c r="BV174" s="69"/>
      <c r="BW174" s="69"/>
      <c r="BX174" s="69"/>
      <c r="BY174" s="69"/>
      <c r="BZ174" s="69"/>
      <c r="CA174" s="69"/>
      <c r="CB174" s="69"/>
      <c r="CC174" s="69"/>
      <c r="CD174" s="69"/>
      <c r="CE174" s="69"/>
      <c r="CF174" s="69"/>
      <c r="CG174" s="69"/>
      <c r="CH174" s="69"/>
      <c r="CI174" s="69"/>
      <c r="CJ174" s="69"/>
      <c r="CK174" s="69"/>
      <c r="CL174" s="69"/>
      <c r="CM174" s="69"/>
      <c r="CN174" s="69"/>
      <c r="CO174" s="69"/>
      <c r="CP174" s="69"/>
      <c r="CQ174" s="69"/>
      <c r="CR174" s="69"/>
    </row>
    <row r="175" spans="1:96" ht="12.75" customHeight="1">
      <c r="A175" s="784"/>
      <c r="B175" s="69"/>
      <c r="C175" s="69"/>
      <c r="D175" s="69"/>
      <c r="E175" s="69"/>
      <c r="F175" s="69"/>
      <c r="G175" s="77"/>
      <c r="H175" s="77"/>
      <c r="I175" s="77"/>
      <c r="J175" s="366"/>
      <c r="K175" s="77"/>
      <c r="L175" s="77"/>
      <c r="M175" s="77"/>
      <c r="N175" s="77"/>
      <c r="O175" s="69"/>
      <c r="P175" s="69"/>
      <c r="Q175" s="69"/>
      <c r="R175" s="69"/>
      <c r="S175" s="77"/>
      <c r="T175" s="77"/>
      <c r="U175" s="69"/>
      <c r="V175" s="69"/>
      <c r="W175" s="69"/>
      <c r="X175" s="69"/>
      <c r="Y175" s="69"/>
      <c r="Z175" s="69"/>
      <c r="AA175" s="69"/>
      <c r="AB175" s="69"/>
      <c r="AC175" s="69"/>
      <c r="AD175" s="69"/>
      <c r="AE175" s="69"/>
      <c r="AF175" s="69"/>
      <c r="AG175" s="207"/>
      <c r="AH175" s="207"/>
      <c r="AI175" s="207"/>
      <c r="AJ175" s="207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  <c r="BM175" s="69"/>
      <c r="BN175" s="69"/>
      <c r="BO175" s="69"/>
      <c r="BP175" s="69"/>
      <c r="BQ175" s="69"/>
      <c r="BR175" s="69"/>
      <c r="BS175" s="69"/>
      <c r="BT175" s="69"/>
      <c r="BU175" s="69"/>
      <c r="BV175" s="69"/>
      <c r="BW175" s="69"/>
      <c r="BX175" s="69"/>
      <c r="BY175" s="69"/>
      <c r="BZ175" s="69"/>
      <c r="CA175" s="69"/>
      <c r="CB175" s="69"/>
      <c r="CC175" s="69"/>
      <c r="CD175" s="69"/>
      <c r="CE175" s="69"/>
      <c r="CF175" s="69"/>
      <c r="CG175" s="69"/>
      <c r="CH175" s="69"/>
      <c r="CI175" s="69"/>
      <c r="CJ175" s="69"/>
      <c r="CK175" s="69"/>
      <c r="CL175" s="69"/>
      <c r="CM175" s="69"/>
      <c r="CN175" s="69"/>
      <c r="CO175" s="69"/>
      <c r="CP175" s="69"/>
      <c r="CQ175" s="69"/>
      <c r="CR175" s="69"/>
    </row>
    <row r="176" spans="1:96" ht="12.75" customHeight="1">
      <c r="A176" s="784"/>
      <c r="B176" s="69"/>
      <c r="C176" s="69"/>
      <c r="D176" s="69"/>
      <c r="E176" s="69"/>
      <c r="F176" s="69"/>
      <c r="G176" s="77"/>
      <c r="H176" s="77"/>
      <c r="I176" s="77"/>
      <c r="J176" s="366"/>
      <c r="K176" s="77"/>
      <c r="L176" s="77"/>
      <c r="M176" s="77"/>
      <c r="N176" s="77"/>
      <c r="O176" s="69"/>
      <c r="P176" s="69"/>
      <c r="Q176" s="69"/>
      <c r="R176" s="69"/>
      <c r="S176" s="77"/>
      <c r="T176" s="77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9"/>
      <c r="AF176" s="69"/>
      <c r="AG176" s="207"/>
      <c r="AH176" s="207"/>
      <c r="AI176" s="207"/>
      <c r="AJ176" s="207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  <c r="BM176" s="69"/>
      <c r="BN176" s="69"/>
      <c r="BO176" s="69"/>
      <c r="BP176" s="69"/>
      <c r="BQ176" s="69"/>
      <c r="BR176" s="69"/>
      <c r="BS176" s="69"/>
      <c r="BT176" s="69"/>
      <c r="BU176" s="69"/>
      <c r="BV176" s="69"/>
      <c r="BW176" s="69"/>
      <c r="BX176" s="69"/>
      <c r="BY176" s="69"/>
      <c r="BZ176" s="69"/>
      <c r="CA176" s="69"/>
      <c r="CB176" s="69"/>
      <c r="CC176" s="69"/>
      <c r="CD176" s="69"/>
      <c r="CE176" s="69"/>
      <c r="CF176" s="69"/>
      <c r="CG176" s="69"/>
      <c r="CH176" s="69"/>
      <c r="CI176" s="69"/>
      <c r="CJ176" s="69"/>
      <c r="CK176" s="69"/>
      <c r="CL176" s="69"/>
      <c r="CM176" s="69"/>
      <c r="CN176" s="69"/>
      <c r="CO176" s="69"/>
      <c r="CP176" s="69"/>
      <c r="CQ176" s="69"/>
      <c r="CR176" s="69"/>
    </row>
    <row r="177" spans="1:96" ht="12.75" customHeight="1">
      <c r="A177" s="784"/>
      <c r="B177" s="69"/>
      <c r="C177" s="69"/>
      <c r="D177" s="69"/>
      <c r="E177" s="69"/>
      <c r="F177" s="69"/>
      <c r="G177" s="77"/>
      <c r="H177" s="77"/>
      <c r="I177" s="77"/>
      <c r="J177" s="366"/>
      <c r="K177" s="77"/>
      <c r="L177" s="77"/>
      <c r="M177" s="77"/>
      <c r="N177" s="77"/>
      <c r="O177" s="69"/>
      <c r="P177" s="69"/>
      <c r="Q177" s="69"/>
      <c r="R177" s="69"/>
      <c r="S177" s="77"/>
      <c r="T177" s="77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207"/>
      <c r="AH177" s="207"/>
      <c r="AI177" s="207"/>
      <c r="AJ177" s="207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69"/>
      <c r="BN177" s="69"/>
      <c r="BO177" s="69"/>
      <c r="BP177" s="69"/>
      <c r="BQ177" s="69"/>
      <c r="BR177" s="69"/>
      <c r="BS177" s="69"/>
      <c r="BT177" s="69"/>
      <c r="BU177" s="69"/>
      <c r="BV177" s="69"/>
      <c r="BW177" s="69"/>
      <c r="BX177" s="69"/>
      <c r="BY177" s="69"/>
      <c r="BZ177" s="69"/>
      <c r="CA177" s="69"/>
      <c r="CB177" s="69"/>
      <c r="CC177" s="69"/>
      <c r="CD177" s="69"/>
      <c r="CE177" s="69"/>
      <c r="CF177" s="69"/>
      <c r="CG177" s="69"/>
      <c r="CH177" s="69"/>
      <c r="CI177" s="69"/>
      <c r="CJ177" s="69"/>
      <c r="CK177" s="69"/>
      <c r="CL177" s="69"/>
      <c r="CM177" s="69"/>
      <c r="CN177" s="69"/>
      <c r="CO177" s="69"/>
      <c r="CP177" s="69"/>
      <c r="CQ177" s="69"/>
      <c r="CR177" s="69"/>
    </row>
    <row r="178" spans="1:96" ht="12.75" customHeight="1">
      <c r="A178" s="784"/>
      <c r="B178" s="69"/>
      <c r="C178" s="69"/>
      <c r="D178" s="69"/>
      <c r="E178" s="69"/>
      <c r="F178" s="69"/>
      <c r="G178" s="77"/>
      <c r="H178" s="77"/>
      <c r="I178" s="77"/>
      <c r="J178" s="366"/>
      <c r="K178" s="77"/>
      <c r="L178" s="77"/>
      <c r="M178" s="77"/>
      <c r="N178" s="77"/>
      <c r="O178" s="69"/>
      <c r="P178" s="69"/>
      <c r="Q178" s="69"/>
      <c r="R178" s="69"/>
      <c r="S178" s="77"/>
      <c r="T178" s="77"/>
      <c r="U178" s="69"/>
      <c r="V178" s="69"/>
      <c r="W178" s="69"/>
      <c r="X178" s="69"/>
      <c r="Y178" s="69"/>
      <c r="Z178" s="69"/>
      <c r="AA178" s="69"/>
      <c r="AB178" s="69"/>
      <c r="AC178" s="69"/>
      <c r="AD178" s="69"/>
      <c r="AE178" s="69"/>
      <c r="AF178" s="69"/>
      <c r="AG178" s="207"/>
      <c r="AH178" s="207"/>
      <c r="AI178" s="207"/>
      <c r="AJ178" s="207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  <c r="BP178" s="69"/>
      <c r="BQ178" s="69"/>
      <c r="BR178" s="69"/>
      <c r="BS178" s="69"/>
      <c r="BT178" s="69"/>
      <c r="BU178" s="69"/>
      <c r="BV178" s="69"/>
      <c r="BW178" s="69"/>
      <c r="BX178" s="69"/>
      <c r="BY178" s="69"/>
      <c r="BZ178" s="69"/>
      <c r="CA178" s="69"/>
      <c r="CB178" s="69"/>
      <c r="CC178" s="69"/>
      <c r="CD178" s="69"/>
      <c r="CE178" s="69"/>
      <c r="CF178" s="69"/>
      <c r="CG178" s="69"/>
      <c r="CH178" s="69"/>
      <c r="CI178" s="69"/>
      <c r="CJ178" s="69"/>
      <c r="CK178" s="69"/>
      <c r="CL178" s="69"/>
      <c r="CM178" s="69"/>
      <c r="CN178" s="69"/>
      <c r="CO178" s="69"/>
      <c r="CP178" s="69"/>
      <c r="CQ178" s="69"/>
      <c r="CR178" s="69"/>
    </row>
    <row r="179" spans="1:96" ht="12.75" customHeight="1">
      <c r="A179" s="784"/>
      <c r="B179" s="69"/>
      <c r="C179" s="69"/>
      <c r="D179" s="69"/>
      <c r="E179" s="69"/>
      <c r="F179" s="69"/>
      <c r="G179" s="77"/>
      <c r="H179" s="77"/>
      <c r="I179" s="77"/>
      <c r="J179" s="366"/>
      <c r="K179" s="77"/>
      <c r="L179" s="77"/>
      <c r="M179" s="77"/>
      <c r="N179" s="77"/>
      <c r="O179" s="69"/>
      <c r="P179" s="69"/>
      <c r="Q179" s="69"/>
      <c r="R179" s="69"/>
      <c r="S179" s="77"/>
      <c r="T179" s="77"/>
      <c r="U179" s="69"/>
      <c r="V179" s="69"/>
      <c r="W179" s="69"/>
      <c r="X179" s="69"/>
      <c r="Y179" s="69"/>
      <c r="Z179" s="69"/>
      <c r="AA179" s="69"/>
      <c r="AB179" s="69"/>
      <c r="AC179" s="69"/>
      <c r="AD179" s="69"/>
      <c r="AE179" s="69"/>
      <c r="AF179" s="69"/>
      <c r="AG179" s="207"/>
      <c r="AH179" s="207"/>
      <c r="AI179" s="207"/>
      <c r="AJ179" s="207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  <c r="BP179" s="69"/>
      <c r="BQ179" s="69"/>
      <c r="BR179" s="69"/>
      <c r="BS179" s="69"/>
      <c r="BT179" s="69"/>
      <c r="BU179" s="69"/>
      <c r="BV179" s="69"/>
      <c r="BW179" s="69"/>
      <c r="BX179" s="69"/>
      <c r="BY179" s="69"/>
      <c r="BZ179" s="69"/>
      <c r="CA179" s="69"/>
      <c r="CB179" s="69"/>
      <c r="CC179" s="69"/>
      <c r="CD179" s="69"/>
      <c r="CE179" s="69"/>
      <c r="CF179" s="69"/>
      <c r="CG179" s="69"/>
      <c r="CH179" s="69"/>
      <c r="CI179" s="69"/>
      <c r="CJ179" s="69"/>
      <c r="CK179" s="69"/>
      <c r="CL179" s="69"/>
      <c r="CM179" s="69"/>
      <c r="CN179" s="69"/>
      <c r="CO179" s="69"/>
      <c r="CP179" s="69"/>
      <c r="CQ179" s="69"/>
      <c r="CR179" s="69"/>
    </row>
    <row r="180" spans="1:96" ht="12.75" customHeight="1">
      <c r="A180" s="784"/>
      <c r="B180" s="69"/>
      <c r="C180" s="69"/>
      <c r="D180" s="69"/>
      <c r="E180" s="69"/>
      <c r="F180" s="69"/>
      <c r="G180" s="77"/>
      <c r="H180" s="77"/>
      <c r="I180" s="77"/>
      <c r="J180" s="366"/>
      <c r="K180" s="77"/>
      <c r="L180" s="77"/>
      <c r="M180" s="77"/>
      <c r="N180" s="77"/>
      <c r="O180" s="69"/>
      <c r="P180" s="69"/>
      <c r="Q180" s="69"/>
      <c r="R180" s="69"/>
      <c r="S180" s="77"/>
      <c r="T180" s="77"/>
      <c r="U180" s="69"/>
      <c r="V180" s="69"/>
      <c r="W180" s="69"/>
      <c r="X180" s="69"/>
      <c r="Y180" s="69"/>
      <c r="Z180" s="69"/>
      <c r="AA180" s="69"/>
      <c r="AB180" s="69"/>
      <c r="AC180" s="69"/>
      <c r="AD180" s="69"/>
      <c r="AE180" s="69"/>
      <c r="AF180" s="69"/>
      <c r="AG180" s="207"/>
      <c r="AH180" s="207"/>
      <c r="AI180" s="207"/>
      <c r="AJ180" s="207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  <c r="BM180" s="69"/>
      <c r="BN180" s="69"/>
      <c r="BO180" s="69"/>
      <c r="BP180" s="69"/>
      <c r="BQ180" s="69"/>
      <c r="BR180" s="69"/>
      <c r="BS180" s="69"/>
      <c r="BT180" s="69"/>
      <c r="BU180" s="69"/>
      <c r="BV180" s="69"/>
      <c r="BW180" s="69"/>
      <c r="BX180" s="69"/>
      <c r="BY180" s="69"/>
      <c r="BZ180" s="69"/>
      <c r="CA180" s="69"/>
      <c r="CB180" s="69"/>
      <c r="CC180" s="69"/>
      <c r="CD180" s="69"/>
      <c r="CE180" s="69"/>
      <c r="CF180" s="69"/>
      <c r="CG180" s="69"/>
      <c r="CH180" s="69"/>
      <c r="CI180" s="69"/>
      <c r="CJ180" s="69"/>
      <c r="CK180" s="69"/>
      <c r="CL180" s="69"/>
      <c r="CM180" s="69"/>
      <c r="CN180" s="69"/>
      <c r="CO180" s="69"/>
      <c r="CP180" s="69"/>
      <c r="CQ180" s="69"/>
      <c r="CR180" s="69"/>
    </row>
    <row r="181" spans="1:96" ht="12.75" customHeight="1">
      <c r="A181" s="784"/>
      <c r="B181" s="69"/>
      <c r="C181" s="69"/>
      <c r="D181" s="69"/>
      <c r="E181" s="69"/>
      <c r="F181" s="69"/>
      <c r="G181" s="77"/>
      <c r="H181" s="77"/>
      <c r="I181" s="77"/>
      <c r="J181" s="366"/>
      <c r="K181" s="77"/>
      <c r="L181" s="77"/>
      <c r="M181" s="77"/>
      <c r="N181" s="77"/>
      <c r="O181" s="69"/>
      <c r="P181" s="69"/>
      <c r="Q181" s="69"/>
      <c r="R181" s="69"/>
      <c r="S181" s="77"/>
      <c r="T181" s="77"/>
      <c r="U181" s="69"/>
      <c r="V181" s="69"/>
      <c r="W181" s="69"/>
      <c r="X181" s="69"/>
      <c r="Y181" s="69"/>
      <c r="Z181" s="69"/>
      <c r="AA181" s="69"/>
      <c r="AB181" s="69"/>
      <c r="AC181" s="69"/>
      <c r="AD181" s="69"/>
      <c r="AE181" s="69"/>
      <c r="AF181" s="69"/>
      <c r="AG181" s="207"/>
      <c r="AH181" s="207"/>
      <c r="AI181" s="207"/>
      <c r="AJ181" s="207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69"/>
      <c r="BN181" s="69"/>
      <c r="BO181" s="69"/>
      <c r="BP181" s="69"/>
      <c r="BQ181" s="69"/>
      <c r="BR181" s="69"/>
      <c r="BS181" s="69"/>
      <c r="BT181" s="69"/>
      <c r="BU181" s="69"/>
      <c r="BV181" s="69"/>
      <c r="BW181" s="69"/>
      <c r="BX181" s="69"/>
      <c r="BY181" s="69"/>
      <c r="BZ181" s="69"/>
      <c r="CA181" s="69"/>
      <c r="CB181" s="69"/>
      <c r="CC181" s="69"/>
      <c r="CD181" s="69"/>
      <c r="CE181" s="69"/>
      <c r="CF181" s="69"/>
      <c r="CG181" s="69"/>
      <c r="CH181" s="69"/>
      <c r="CI181" s="69"/>
      <c r="CJ181" s="69"/>
      <c r="CK181" s="69"/>
      <c r="CL181" s="69"/>
      <c r="CM181" s="69"/>
      <c r="CN181" s="69"/>
      <c r="CO181" s="69"/>
      <c r="CP181" s="69"/>
      <c r="CQ181" s="69"/>
      <c r="CR181" s="69"/>
    </row>
    <row r="182" spans="1:96" ht="12.75" customHeight="1">
      <c r="A182" s="784"/>
      <c r="B182" s="69"/>
      <c r="C182" s="69"/>
      <c r="D182" s="69"/>
      <c r="E182" s="69"/>
      <c r="F182" s="69"/>
      <c r="G182" s="77"/>
      <c r="H182" s="77"/>
      <c r="I182" s="77"/>
      <c r="J182" s="366"/>
      <c r="K182" s="77"/>
      <c r="L182" s="77"/>
      <c r="M182" s="77"/>
      <c r="N182" s="77"/>
      <c r="O182" s="69"/>
      <c r="P182" s="69"/>
      <c r="Q182" s="69"/>
      <c r="R182" s="69"/>
      <c r="S182" s="77"/>
      <c r="T182" s="77"/>
      <c r="U182" s="69"/>
      <c r="V182" s="69"/>
      <c r="W182" s="69"/>
      <c r="X182" s="69"/>
      <c r="Y182" s="69"/>
      <c r="Z182" s="69"/>
      <c r="AA182" s="69"/>
      <c r="AB182" s="69"/>
      <c r="AC182" s="69"/>
      <c r="AD182" s="69"/>
      <c r="AE182" s="69"/>
      <c r="AF182" s="69"/>
      <c r="AG182" s="207"/>
      <c r="AH182" s="207"/>
      <c r="AI182" s="207"/>
      <c r="AJ182" s="207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  <c r="BP182" s="69"/>
      <c r="BQ182" s="69"/>
      <c r="BR182" s="69"/>
      <c r="BS182" s="69"/>
      <c r="BT182" s="69"/>
      <c r="BU182" s="69"/>
      <c r="BV182" s="69"/>
      <c r="BW182" s="69"/>
      <c r="BX182" s="69"/>
      <c r="BY182" s="69"/>
      <c r="BZ182" s="69"/>
      <c r="CA182" s="69"/>
      <c r="CB182" s="69"/>
      <c r="CC182" s="69"/>
      <c r="CD182" s="69"/>
      <c r="CE182" s="69"/>
      <c r="CF182" s="69"/>
      <c r="CG182" s="69"/>
      <c r="CH182" s="69"/>
      <c r="CI182" s="69"/>
      <c r="CJ182" s="69"/>
      <c r="CK182" s="69"/>
      <c r="CL182" s="69"/>
      <c r="CM182" s="69"/>
      <c r="CN182" s="69"/>
      <c r="CO182" s="69"/>
      <c r="CP182" s="69"/>
      <c r="CQ182" s="69"/>
      <c r="CR182" s="69"/>
    </row>
    <row r="183" spans="1:96" ht="12.75" customHeight="1">
      <c r="A183" s="784"/>
      <c r="B183" s="69"/>
      <c r="C183" s="69"/>
      <c r="D183" s="69"/>
      <c r="E183" s="69"/>
      <c r="F183" s="69"/>
      <c r="G183" s="77"/>
      <c r="H183" s="77"/>
      <c r="I183" s="77"/>
      <c r="J183" s="366"/>
      <c r="K183" s="77"/>
      <c r="L183" s="77"/>
      <c r="M183" s="77"/>
      <c r="N183" s="77"/>
      <c r="O183" s="69"/>
      <c r="P183" s="69"/>
      <c r="Q183" s="69"/>
      <c r="R183" s="69"/>
      <c r="S183" s="77"/>
      <c r="T183" s="77"/>
      <c r="U183" s="69"/>
      <c r="V183" s="69"/>
      <c r="W183" s="69"/>
      <c r="X183" s="69"/>
      <c r="Y183" s="69"/>
      <c r="Z183" s="69"/>
      <c r="AA183" s="69"/>
      <c r="AB183" s="69"/>
      <c r="AC183" s="69"/>
      <c r="AD183" s="69"/>
      <c r="AE183" s="69"/>
      <c r="AF183" s="69"/>
      <c r="AG183" s="207"/>
      <c r="AH183" s="207"/>
      <c r="AI183" s="207"/>
      <c r="AJ183" s="207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  <c r="BP183" s="69"/>
      <c r="BQ183" s="69"/>
      <c r="BR183" s="69"/>
      <c r="BS183" s="69"/>
      <c r="BT183" s="69"/>
      <c r="BU183" s="69"/>
      <c r="BV183" s="69"/>
      <c r="BW183" s="69"/>
      <c r="BX183" s="69"/>
      <c r="BY183" s="69"/>
      <c r="BZ183" s="69"/>
      <c r="CA183" s="69"/>
      <c r="CB183" s="69"/>
      <c r="CC183" s="69"/>
      <c r="CD183" s="69"/>
      <c r="CE183" s="69"/>
      <c r="CF183" s="69"/>
      <c r="CG183" s="69"/>
      <c r="CH183" s="69"/>
      <c r="CI183" s="69"/>
      <c r="CJ183" s="69"/>
      <c r="CK183" s="69"/>
      <c r="CL183" s="69"/>
      <c r="CM183" s="69"/>
      <c r="CN183" s="69"/>
      <c r="CO183" s="69"/>
      <c r="CP183" s="69"/>
      <c r="CQ183" s="69"/>
      <c r="CR183" s="69"/>
    </row>
    <row r="184" spans="1:96" ht="12.75" customHeight="1">
      <c r="A184" s="784"/>
      <c r="B184" s="69"/>
      <c r="C184" s="69"/>
      <c r="D184" s="69"/>
      <c r="E184" s="69"/>
      <c r="F184" s="69"/>
      <c r="G184" s="77"/>
      <c r="H184" s="77"/>
      <c r="I184" s="77"/>
      <c r="J184" s="366"/>
      <c r="K184" s="77"/>
      <c r="L184" s="77"/>
      <c r="M184" s="77"/>
      <c r="N184" s="77"/>
      <c r="O184" s="69"/>
      <c r="P184" s="69"/>
      <c r="Q184" s="69"/>
      <c r="R184" s="69"/>
      <c r="S184" s="77"/>
      <c r="T184" s="77"/>
      <c r="U184" s="69"/>
      <c r="V184" s="69"/>
      <c r="W184" s="69"/>
      <c r="X184" s="69"/>
      <c r="Y184" s="69"/>
      <c r="Z184" s="69"/>
      <c r="AA184" s="69"/>
      <c r="AB184" s="69"/>
      <c r="AC184" s="69"/>
      <c r="AD184" s="69"/>
      <c r="AE184" s="69"/>
      <c r="AF184" s="69"/>
      <c r="AG184" s="207"/>
      <c r="AH184" s="207"/>
      <c r="AI184" s="207"/>
      <c r="AJ184" s="207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69"/>
      <c r="BN184" s="69"/>
      <c r="BO184" s="69"/>
      <c r="BP184" s="69"/>
      <c r="BQ184" s="69"/>
      <c r="BR184" s="69"/>
      <c r="BS184" s="69"/>
      <c r="BT184" s="69"/>
      <c r="BU184" s="69"/>
      <c r="BV184" s="69"/>
      <c r="BW184" s="69"/>
      <c r="BX184" s="69"/>
      <c r="BY184" s="69"/>
      <c r="BZ184" s="69"/>
      <c r="CA184" s="69"/>
      <c r="CB184" s="69"/>
      <c r="CC184" s="69"/>
      <c r="CD184" s="69"/>
      <c r="CE184" s="69"/>
      <c r="CF184" s="69"/>
      <c r="CG184" s="69"/>
      <c r="CH184" s="69"/>
      <c r="CI184" s="69"/>
      <c r="CJ184" s="69"/>
      <c r="CK184" s="69"/>
      <c r="CL184" s="69"/>
      <c r="CM184" s="69"/>
      <c r="CN184" s="69"/>
      <c r="CO184" s="69"/>
      <c r="CP184" s="69"/>
      <c r="CQ184" s="69"/>
      <c r="CR184" s="69"/>
    </row>
    <row r="185" spans="1:96" ht="12.75" customHeight="1">
      <c r="A185" s="784"/>
      <c r="B185" s="69"/>
      <c r="C185" s="69"/>
      <c r="D185" s="69"/>
      <c r="E185" s="69"/>
      <c r="F185" s="69"/>
      <c r="G185" s="77"/>
      <c r="H185" s="77"/>
      <c r="I185" s="77"/>
      <c r="J185" s="366"/>
      <c r="K185" s="77"/>
      <c r="L185" s="77"/>
      <c r="M185" s="77"/>
      <c r="N185" s="77"/>
      <c r="O185" s="69"/>
      <c r="P185" s="69"/>
      <c r="Q185" s="69"/>
      <c r="R185" s="69"/>
      <c r="S185" s="77"/>
      <c r="T185" s="77"/>
      <c r="U185" s="69"/>
      <c r="V185" s="69"/>
      <c r="W185" s="69"/>
      <c r="X185" s="69"/>
      <c r="Y185" s="69"/>
      <c r="Z185" s="69"/>
      <c r="AA185" s="69"/>
      <c r="AB185" s="69"/>
      <c r="AC185" s="69"/>
      <c r="AD185" s="69"/>
      <c r="AE185" s="69"/>
      <c r="AF185" s="69"/>
      <c r="AG185" s="207"/>
      <c r="AH185" s="207"/>
      <c r="AI185" s="207"/>
      <c r="AJ185" s="207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  <c r="BP185" s="69"/>
      <c r="BQ185" s="69"/>
      <c r="BR185" s="69"/>
      <c r="BS185" s="69"/>
      <c r="BT185" s="69"/>
      <c r="BU185" s="69"/>
      <c r="BV185" s="69"/>
      <c r="BW185" s="69"/>
      <c r="BX185" s="69"/>
      <c r="BY185" s="69"/>
      <c r="BZ185" s="69"/>
      <c r="CA185" s="69"/>
      <c r="CB185" s="69"/>
      <c r="CC185" s="69"/>
      <c r="CD185" s="69"/>
      <c r="CE185" s="69"/>
      <c r="CF185" s="69"/>
      <c r="CG185" s="69"/>
      <c r="CH185" s="69"/>
      <c r="CI185" s="69"/>
      <c r="CJ185" s="69"/>
      <c r="CK185" s="69"/>
      <c r="CL185" s="69"/>
      <c r="CM185" s="69"/>
      <c r="CN185" s="69"/>
      <c r="CO185" s="69"/>
      <c r="CP185" s="69"/>
      <c r="CQ185" s="69"/>
      <c r="CR185" s="69"/>
    </row>
    <row r="186" spans="1:96" ht="12.75" customHeight="1">
      <c r="A186" s="784"/>
      <c r="B186" s="69"/>
      <c r="C186" s="69"/>
      <c r="D186" s="69"/>
      <c r="E186" s="69"/>
      <c r="F186" s="69"/>
      <c r="G186" s="77"/>
      <c r="H186" s="77"/>
      <c r="I186" s="77"/>
      <c r="J186" s="366"/>
      <c r="K186" s="77"/>
      <c r="L186" s="77"/>
      <c r="M186" s="77"/>
      <c r="N186" s="77"/>
      <c r="O186" s="69"/>
      <c r="P186" s="69"/>
      <c r="Q186" s="69"/>
      <c r="R186" s="69"/>
      <c r="S186" s="77"/>
      <c r="T186" s="77"/>
      <c r="U186" s="69"/>
      <c r="V186" s="69"/>
      <c r="W186" s="69"/>
      <c r="X186" s="69"/>
      <c r="Y186" s="69"/>
      <c r="Z186" s="69"/>
      <c r="AA186" s="69"/>
      <c r="AB186" s="69"/>
      <c r="AC186" s="69"/>
      <c r="AD186" s="69"/>
      <c r="AE186" s="69"/>
      <c r="AF186" s="69"/>
      <c r="AG186" s="207"/>
      <c r="AH186" s="207"/>
      <c r="AI186" s="207"/>
      <c r="AJ186" s="207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  <c r="BM186" s="69"/>
      <c r="BN186" s="69"/>
      <c r="BO186" s="69"/>
      <c r="BP186" s="69"/>
      <c r="BQ186" s="69"/>
      <c r="BR186" s="69"/>
      <c r="BS186" s="69"/>
      <c r="BT186" s="69"/>
      <c r="BU186" s="69"/>
      <c r="BV186" s="69"/>
      <c r="BW186" s="69"/>
      <c r="BX186" s="69"/>
      <c r="BY186" s="69"/>
      <c r="BZ186" s="69"/>
      <c r="CA186" s="69"/>
      <c r="CB186" s="69"/>
      <c r="CC186" s="69"/>
      <c r="CD186" s="69"/>
      <c r="CE186" s="69"/>
      <c r="CF186" s="69"/>
      <c r="CG186" s="69"/>
      <c r="CH186" s="69"/>
      <c r="CI186" s="69"/>
      <c r="CJ186" s="69"/>
      <c r="CK186" s="69"/>
      <c r="CL186" s="69"/>
      <c r="CM186" s="69"/>
      <c r="CN186" s="69"/>
      <c r="CO186" s="69"/>
      <c r="CP186" s="69"/>
      <c r="CQ186" s="69"/>
      <c r="CR186" s="69"/>
    </row>
    <row r="187" spans="1:96" ht="12.75" customHeight="1">
      <c r="A187" s="784"/>
      <c r="B187" s="69"/>
      <c r="C187" s="69"/>
      <c r="D187" s="69"/>
      <c r="E187" s="69"/>
      <c r="F187" s="69"/>
      <c r="G187" s="77"/>
      <c r="H187" s="77"/>
      <c r="I187" s="77"/>
      <c r="J187" s="366"/>
      <c r="K187" s="77"/>
      <c r="L187" s="77"/>
      <c r="M187" s="77"/>
      <c r="N187" s="77"/>
      <c r="O187" s="69"/>
      <c r="P187" s="69"/>
      <c r="Q187" s="69"/>
      <c r="R187" s="69"/>
      <c r="S187" s="77"/>
      <c r="T187" s="77"/>
      <c r="U187" s="69"/>
      <c r="V187" s="69"/>
      <c r="W187" s="69"/>
      <c r="X187" s="69"/>
      <c r="Y187" s="69"/>
      <c r="Z187" s="69"/>
      <c r="AA187" s="69"/>
      <c r="AB187" s="69"/>
      <c r="AC187" s="69"/>
      <c r="AD187" s="69"/>
      <c r="AE187" s="69"/>
      <c r="AF187" s="69"/>
      <c r="AG187" s="207"/>
      <c r="AH187" s="207"/>
      <c r="AI187" s="207"/>
      <c r="AJ187" s="207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  <c r="BP187" s="69"/>
      <c r="BQ187" s="69"/>
      <c r="BR187" s="69"/>
      <c r="BS187" s="69"/>
      <c r="BT187" s="69"/>
      <c r="BU187" s="69"/>
      <c r="BV187" s="69"/>
      <c r="BW187" s="69"/>
      <c r="BX187" s="69"/>
      <c r="BY187" s="69"/>
      <c r="BZ187" s="69"/>
      <c r="CA187" s="69"/>
      <c r="CB187" s="69"/>
      <c r="CC187" s="69"/>
      <c r="CD187" s="69"/>
      <c r="CE187" s="69"/>
      <c r="CF187" s="69"/>
      <c r="CG187" s="69"/>
      <c r="CH187" s="69"/>
      <c r="CI187" s="69"/>
      <c r="CJ187" s="69"/>
      <c r="CK187" s="69"/>
      <c r="CL187" s="69"/>
      <c r="CM187" s="69"/>
      <c r="CN187" s="69"/>
      <c r="CO187" s="69"/>
      <c r="CP187" s="69"/>
      <c r="CQ187" s="69"/>
      <c r="CR187" s="69"/>
    </row>
    <row r="188" spans="1:96" ht="12.75" customHeight="1">
      <c r="A188" s="784"/>
      <c r="B188" s="69"/>
      <c r="C188" s="69"/>
      <c r="D188" s="69"/>
      <c r="E188" s="69"/>
      <c r="F188" s="69"/>
      <c r="G188" s="77"/>
      <c r="H188" s="77"/>
      <c r="I188" s="77"/>
      <c r="J188" s="366"/>
      <c r="K188" s="77"/>
      <c r="L188" s="77"/>
      <c r="M188" s="77"/>
      <c r="N188" s="77"/>
      <c r="O188" s="69"/>
      <c r="P188" s="69"/>
      <c r="Q188" s="69"/>
      <c r="R188" s="69"/>
      <c r="S188" s="77"/>
      <c r="T188" s="77"/>
      <c r="U188" s="69"/>
      <c r="V188" s="69"/>
      <c r="W188" s="69"/>
      <c r="X188" s="69"/>
      <c r="Y188" s="69"/>
      <c r="Z188" s="69"/>
      <c r="AA188" s="69"/>
      <c r="AB188" s="69"/>
      <c r="AC188" s="69"/>
      <c r="AD188" s="69"/>
      <c r="AE188" s="69"/>
      <c r="AF188" s="69"/>
      <c r="AG188" s="207"/>
      <c r="AH188" s="207"/>
      <c r="AI188" s="207"/>
      <c r="AJ188" s="207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69"/>
      <c r="BN188" s="69"/>
      <c r="BO188" s="69"/>
      <c r="BP188" s="69"/>
      <c r="BQ188" s="69"/>
      <c r="BR188" s="69"/>
      <c r="BS188" s="69"/>
      <c r="BT188" s="69"/>
      <c r="BU188" s="69"/>
      <c r="BV188" s="69"/>
      <c r="BW188" s="69"/>
      <c r="BX188" s="69"/>
      <c r="BY188" s="69"/>
      <c r="BZ188" s="69"/>
      <c r="CA188" s="69"/>
      <c r="CB188" s="69"/>
      <c r="CC188" s="69"/>
      <c r="CD188" s="69"/>
      <c r="CE188" s="69"/>
      <c r="CF188" s="69"/>
      <c r="CG188" s="69"/>
      <c r="CH188" s="69"/>
      <c r="CI188" s="69"/>
      <c r="CJ188" s="69"/>
      <c r="CK188" s="69"/>
      <c r="CL188" s="69"/>
      <c r="CM188" s="69"/>
      <c r="CN188" s="69"/>
      <c r="CO188" s="69"/>
      <c r="CP188" s="69"/>
      <c r="CQ188" s="69"/>
      <c r="CR188" s="69"/>
    </row>
    <row r="189" spans="1:96" ht="12.75" customHeight="1">
      <c r="A189" s="784"/>
      <c r="B189" s="69"/>
      <c r="C189" s="69"/>
      <c r="D189" s="69"/>
      <c r="E189" s="69"/>
      <c r="F189" s="69"/>
      <c r="G189" s="77"/>
      <c r="H189" s="77"/>
      <c r="I189" s="77"/>
      <c r="J189" s="366"/>
      <c r="K189" s="77"/>
      <c r="L189" s="77"/>
      <c r="M189" s="77"/>
      <c r="N189" s="77"/>
      <c r="O189" s="69"/>
      <c r="P189" s="69"/>
      <c r="Q189" s="69"/>
      <c r="R189" s="69"/>
      <c r="S189" s="77"/>
      <c r="T189" s="77"/>
      <c r="U189" s="69"/>
      <c r="V189" s="69"/>
      <c r="W189" s="69"/>
      <c r="X189" s="69"/>
      <c r="Y189" s="69"/>
      <c r="Z189" s="69"/>
      <c r="AA189" s="69"/>
      <c r="AB189" s="69"/>
      <c r="AC189" s="69"/>
      <c r="AD189" s="69"/>
      <c r="AE189" s="69"/>
      <c r="AF189" s="69"/>
      <c r="AG189" s="207"/>
      <c r="AH189" s="207"/>
      <c r="AI189" s="207"/>
      <c r="AJ189" s="207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  <c r="BP189" s="69"/>
      <c r="BQ189" s="69"/>
      <c r="BR189" s="69"/>
      <c r="BS189" s="69"/>
      <c r="BT189" s="69"/>
      <c r="BU189" s="69"/>
      <c r="BV189" s="69"/>
      <c r="BW189" s="69"/>
      <c r="BX189" s="69"/>
      <c r="BY189" s="69"/>
      <c r="BZ189" s="69"/>
      <c r="CA189" s="69"/>
      <c r="CB189" s="69"/>
      <c r="CC189" s="69"/>
      <c r="CD189" s="69"/>
      <c r="CE189" s="69"/>
      <c r="CF189" s="69"/>
      <c r="CG189" s="69"/>
      <c r="CH189" s="69"/>
      <c r="CI189" s="69"/>
      <c r="CJ189" s="69"/>
      <c r="CK189" s="69"/>
      <c r="CL189" s="69"/>
      <c r="CM189" s="69"/>
      <c r="CN189" s="69"/>
      <c r="CO189" s="69"/>
      <c r="CP189" s="69"/>
      <c r="CQ189" s="69"/>
      <c r="CR189" s="69"/>
    </row>
    <row r="190" spans="1:96" ht="12.75" customHeight="1">
      <c r="A190" s="784"/>
      <c r="B190" s="69"/>
      <c r="C190" s="69"/>
      <c r="D190" s="69"/>
      <c r="E190" s="69"/>
      <c r="F190" s="69"/>
      <c r="G190" s="77"/>
      <c r="H190" s="77"/>
      <c r="I190" s="77"/>
      <c r="J190" s="366"/>
      <c r="K190" s="77"/>
      <c r="L190" s="77"/>
      <c r="M190" s="77"/>
      <c r="N190" s="77"/>
      <c r="O190" s="69"/>
      <c r="P190" s="69"/>
      <c r="Q190" s="69"/>
      <c r="R190" s="69"/>
      <c r="S190" s="77"/>
      <c r="T190" s="77"/>
      <c r="U190" s="69"/>
      <c r="V190" s="69"/>
      <c r="W190" s="69"/>
      <c r="X190" s="69"/>
      <c r="Y190" s="69"/>
      <c r="Z190" s="69"/>
      <c r="AA190" s="69"/>
      <c r="AB190" s="69"/>
      <c r="AC190" s="69"/>
      <c r="AD190" s="69"/>
      <c r="AE190" s="69"/>
      <c r="AF190" s="69"/>
      <c r="AG190" s="207"/>
      <c r="AH190" s="207"/>
      <c r="AI190" s="207"/>
      <c r="AJ190" s="207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  <c r="BP190" s="69"/>
      <c r="BQ190" s="69"/>
      <c r="BR190" s="69"/>
      <c r="BS190" s="69"/>
      <c r="BT190" s="69"/>
      <c r="BU190" s="69"/>
      <c r="BV190" s="69"/>
      <c r="BW190" s="69"/>
      <c r="BX190" s="69"/>
      <c r="BY190" s="69"/>
      <c r="BZ190" s="69"/>
      <c r="CA190" s="69"/>
      <c r="CB190" s="69"/>
      <c r="CC190" s="69"/>
      <c r="CD190" s="69"/>
      <c r="CE190" s="69"/>
      <c r="CF190" s="69"/>
      <c r="CG190" s="69"/>
      <c r="CH190" s="69"/>
      <c r="CI190" s="69"/>
      <c r="CJ190" s="69"/>
      <c r="CK190" s="69"/>
      <c r="CL190" s="69"/>
      <c r="CM190" s="69"/>
      <c r="CN190" s="69"/>
      <c r="CO190" s="69"/>
      <c r="CP190" s="69"/>
      <c r="CQ190" s="69"/>
      <c r="CR190" s="69"/>
    </row>
    <row r="191" spans="1:96" ht="12.75" customHeight="1">
      <c r="A191" s="784"/>
      <c r="B191" s="69"/>
      <c r="C191" s="69"/>
      <c r="D191" s="69"/>
      <c r="E191" s="69"/>
      <c r="F191" s="69"/>
      <c r="G191" s="77"/>
      <c r="H191" s="77"/>
      <c r="I191" s="77"/>
      <c r="J191" s="366"/>
      <c r="K191" s="77"/>
      <c r="L191" s="77"/>
      <c r="M191" s="77"/>
      <c r="N191" s="77"/>
      <c r="O191" s="69"/>
      <c r="P191" s="69"/>
      <c r="Q191" s="69"/>
      <c r="R191" s="69"/>
      <c r="S191" s="77"/>
      <c r="T191" s="77"/>
      <c r="U191" s="69"/>
      <c r="V191" s="69"/>
      <c r="W191" s="69"/>
      <c r="X191" s="69"/>
      <c r="Y191" s="69"/>
      <c r="Z191" s="69"/>
      <c r="AA191" s="69"/>
      <c r="AB191" s="69"/>
      <c r="AC191" s="69"/>
      <c r="AD191" s="69"/>
      <c r="AE191" s="69"/>
      <c r="AF191" s="69"/>
      <c r="AG191" s="207"/>
      <c r="AH191" s="207"/>
      <c r="AI191" s="207"/>
      <c r="AJ191" s="207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  <c r="BM191" s="69"/>
      <c r="BN191" s="69"/>
      <c r="BO191" s="69"/>
      <c r="BP191" s="69"/>
      <c r="BQ191" s="69"/>
      <c r="BR191" s="69"/>
      <c r="BS191" s="69"/>
      <c r="BT191" s="69"/>
      <c r="BU191" s="69"/>
      <c r="BV191" s="69"/>
      <c r="BW191" s="69"/>
      <c r="BX191" s="69"/>
      <c r="BY191" s="69"/>
      <c r="BZ191" s="69"/>
      <c r="CA191" s="69"/>
      <c r="CB191" s="69"/>
      <c r="CC191" s="69"/>
      <c r="CD191" s="69"/>
      <c r="CE191" s="69"/>
      <c r="CF191" s="69"/>
      <c r="CG191" s="69"/>
      <c r="CH191" s="69"/>
      <c r="CI191" s="69"/>
      <c r="CJ191" s="69"/>
      <c r="CK191" s="69"/>
      <c r="CL191" s="69"/>
      <c r="CM191" s="69"/>
      <c r="CN191" s="69"/>
      <c r="CO191" s="69"/>
      <c r="CP191" s="69"/>
      <c r="CQ191" s="69"/>
      <c r="CR191" s="69"/>
    </row>
    <row r="192" spans="1:96" ht="12.75" customHeight="1">
      <c r="A192" s="784"/>
      <c r="B192" s="69"/>
      <c r="C192" s="69"/>
      <c r="D192" s="69"/>
      <c r="E192" s="69"/>
      <c r="F192" s="69"/>
      <c r="G192" s="77"/>
      <c r="H192" s="77"/>
      <c r="I192" s="77"/>
      <c r="J192" s="366"/>
      <c r="K192" s="77"/>
      <c r="L192" s="77"/>
      <c r="M192" s="77"/>
      <c r="N192" s="77"/>
      <c r="O192" s="69"/>
      <c r="P192" s="69"/>
      <c r="Q192" s="69"/>
      <c r="R192" s="69"/>
      <c r="S192" s="77"/>
      <c r="T192" s="77"/>
      <c r="U192" s="69"/>
      <c r="V192" s="69"/>
      <c r="W192" s="69"/>
      <c r="X192" s="69"/>
      <c r="Y192" s="69"/>
      <c r="Z192" s="69"/>
      <c r="AA192" s="69"/>
      <c r="AB192" s="69"/>
      <c r="AC192" s="69"/>
      <c r="AD192" s="69"/>
      <c r="AE192" s="69"/>
      <c r="AF192" s="69"/>
      <c r="AG192" s="207"/>
      <c r="AH192" s="207"/>
      <c r="AI192" s="207"/>
      <c r="AJ192" s="207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  <c r="BM192" s="69"/>
      <c r="BN192" s="69"/>
      <c r="BO192" s="69"/>
      <c r="BP192" s="69"/>
      <c r="BQ192" s="69"/>
      <c r="BR192" s="69"/>
      <c r="BS192" s="69"/>
      <c r="BT192" s="69"/>
      <c r="BU192" s="69"/>
      <c r="BV192" s="69"/>
      <c r="BW192" s="69"/>
      <c r="BX192" s="69"/>
      <c r="BY192" s="69"/>
      <c r="BZ192" s="69"/>
      <c r="CA192" s="69"/>
      <c r="CB192" s="69"/>
      <c r="CC192" s="69"/>
      <c r="CD192" s="69"/>
      <c r="CE192" s="69"/>
      <c r="CF192" s="69"/>
      <c r="CG192" s="69"/>
      <c r="CH192" s="69"/>
      <c r="CI192" s="69"/>
      <c r="CJ192" s="69"/>
      <c r="CK192" s="69"/>
      <c r="CL192" s="69"/>
      <c r="CM192" s="69"/>
      <c r="CN192" s="69"/>
      <c r="CO192" s="69"/>
      <c r="CP192" s="69"/>
      <c r="CQ192" s="69"/>
      <c r="CR192" s="69"/>
    </row>
    <row r="193" spans="1:96" ht="12.75" customHeight="1">
      <c r="A193" s="784"/>
      <c r="B193" s="69"/>
      <c r="C193" s="69"/>
      <c r="D193" s="69"/>
      <c r="E193" s="69"/>
      <c r="F193" s="69"/>
      <c r="G193" s="77"/>
      <c r="H193" s="77"/>
      <c r="I193" s="77"/>
      <c r="J193" s="366"/>
      <c r="K193" s="77"/>
      <c r="L193" s="77"/>
      <c r="M193" s="77"/>
      <c r="N193" s="77"/>
      <c r="O193" s="69"/>
      <c r="P193" s="69"/>
      <c r="Q193" s="69"/>
      <c r="R193" s="69"/>
      <c r="S193" s="77"/>
      <c r="T193" s="77"/>
      <c r="U193" s="69"/>
      <c r="V193" s="69"/>
      <c r="W193" s="69"/>
      <c r="X193" s="69"/>
      <c r="Y193" s="69"/>
      <c r="Z193" s="69"/>
      <c r="AA193" s="69"/>
      <c r="AB193" s="69"/>
      <c r="AC193" s="69"/>
      <c r="AD193" s="69"/>
      <c r="AE193" s="69"/>
      <c r="AF193" s="69"/>
      <c r="AG193" s="207"/>
      <c r="AH193" s="207"/>
      <c r="AI193" s="207"/>
      <c r="AJ193" s="207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69"/>
      <c r="BN193" s="69"/>
      <c r="BO193" s="69"/>
      <c r="BP193" s="69"/>
      <c r="BQ193" s="69"/>
      <c r="BR193" s="69"/>
      <c r="BS193" s="69"/>
      <c r="BT193" s="69"/>
      <c r="BU193" s="69"/>
      <c r="BV193" s="69"/>
      <c r="BW193" s="69"/>
      <c r="BX193" s="69"/>
      <c r="BY193" s="69"/>
      <c r="BZ193" s="69"/>
      <c r="CA193" s="69"/>
      <c r="CB193" s="69"/>
      <c r="CC193" s="69"/>
      <c r="CD193" s="69"/>
      <c r="CE193" s="69"/>
      <c r="CF193" s="69"/>
      <c r="CG193" s="69"/>
      <c r="CH193" s="69"/>
      <c r="CI193" s="69"/>
      <c r="CJ193" s="69"/>
      <c r="CK193" s="69"/>
      <c r="CL193" s="69"/>
      <c r="CM193" s="69"/>
      <c r="CN193" s="69"/>
      <c r="CO193" s="69"/>
      <c r="CP193" s="69"/>
      <c r="CQ193" s="69"/>
      <c r="CR193" s="69"/>
    </row>
    <row r="194" spans="1:96" ht="12.75" customHeight="1">
      <c r="A194" s="784"/>
      <c r="B194" s="69"/>
      <c r="C194" s="69"/>
      <c r="D194" s="69"/>
      <c r="E194" s="69"/>
      <c r="F194" s="69"/>
      <c r="G194" s="77"/>
      <c r="H194" s="77"/>
      <c r="I194" s="77"/>
      <c r="J194" s="366"/>
      <c r="K194" s="77"/>
      <c r="L194" s="77"/>
      <c r="M194" s="77"/>
      <c r="N194" s="77"/>
      <c r="O194" s="69"/>
      <c r="P194" s="69"/>
      <c r="Q194" s="69"/>
      <c r="R194" s="69"/>
      <c r="S194" s="77"/>
      <c r="T194" s="77"/>
      <c r="U194" s="69"/>
      <c r="V194" s="69"/>
      <c r="W194" s="69"/>
      <c r="X194" s="69"/>
      <c r="Y194" s="69"/>
      <c r="Z194" s="69"/>
      <c r="AA194" s="69"/>
      <c r="AB194" s="69"/>
      <c r="AC194" s="69"/>
      <c r="AD194" s="69"/>
      <c r="AE194" s="69"/>
      <c r="AF194" s="69"/>
      <c r="AG194" s="207"/>
      <c r="AH194" s="207"/>
      <c r="AI194" s="207"/>
      <c r="AJ194" s="207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  <c r="BM194" s="69"/>
      <c r="BN194" s="69"/>
      <c r="BO194" s="69"/>
      <c r="BP194" s="69"/>
      <c r="BQ194" s="69"/>
      <c r="BR194" s="69"/>
      <c r="BS194" s="69"/>
      <c r="BT194" s="69"/>
      <c r="BU194" s="69"/>
      <c r="BV194" s="69"/>
      <c r="BW194" s="69"/>
      <c r="BX194" s="69"/>
      <c r="BY194" s="69"/>
      <c r="BZ194" s="69"/>
      <c r="CA194" s="69"/>
      <c r="CB194" s="69"/>
      <c r="CC194" s="69"/>
      <c r="CD194" s="69"/>
      <c r="CE194" s="69"/>
      <c r="CF194" s="69"/>
      <c r="CG194" s="69"/>
      <c r="CH194" s="69"/>
      <c r="CI194" s="69"/>
      <c r="CJ194" s="69"/>
      <c r="CK194" s="69"/>
      <c r="CL194" s="69"/>
      <c r="CM194" s="69"/>
      <c r="CN194" s="69"/>
      <c r="CO194" s="69"/>
      <c r="CP194" s="69"/>
      <c r="CQ194" s="69"/>
      <c r="CR194" s="69"/>
    </row>
    <row r="195" spans="1:96" ht="12.75" customHeight="1">
      <c r="A195" s="784"/>
      <c r="B195" s="69"/>
      <c r="C195" s="69"/>
      <c r="D195" s="69"/>
      <c r="E195" s="69"/>
      <c r="F195" s="69"/>
      <c r="G195" s="77"/>
      <c r="H195" s="77"/>
      <c r="I195" s="77"/>
      <c r="J195" s="366"/>
      <c r="K195" s="77"/>
      <c r="L195" s="77"/>
      <c r="M195" s="77"/>
      <c r="N195" s="77"/>
      <c r="O195" s="69"/>
      <c r="P195" s="69"/>
      <c r="Q195" s="69"/>
      <c r="R195" s="69"/>
      <c r="S195" s="77"/>
      <c r="T195" s="77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207"/>
      <c r="AH195" s="207"/>
      <c r="AI195" s="207"/>
      <c r="AJ195" s="207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  <c r="BM195" s="69"/>
      <c r="BN195" s="69"/>
      <c r="BO195" s="69"/>
      <c r="BP195" s="69"/>
      <c r="BQ195" s="69"/>
      <c r="BR195" s="69"/>
      <c r="BS195" s="69"/>
      <c r="BT195" s="69"/>
      <c r="BU195" s="69"/>
      <c r="BV195" s="69"/>
      <c r="BW195" s="69"/>
      <c r="BX195" s="69"/>
      <c r="BY195" s="69"/>
      <c r="BZ195" s="69"/>
      <c r="CA195" s="69"/>
      <c r="CB195" s="69"/>
      <c r="CC195" s="69"/>
      <c r="CD195" s="69"/>
      <c r="CE195" s="69"/>
      <c r="CF195" s="69"/>
      <c r="CG195" s="69"/>
      <c r="CH195" s="69"/>
      <c r="CI195" s="69"/>
      <c r="CJ195" s="69"/>
      <c r="CK195" s="69"/>
      <c r="CL195" s="69"/>
      <c r="CM195" s="69"/>
      <c r="CN195" s="69"/>
      <c r="CO195" s="69"/>
      <c r="CP195" s="69"/>
      <c r="CQ195" s="69"/>
      <c r="CR195" s="69"/>
    </row>
    <row r="196" spans="1:96" ht="12.75" customHeight="1">
      <c r="A196" s="784"/>
      <c r="B196" s="69"/>
      <c r="C196" s="69"/>
      <c r="D196" s="69"/>
      <c r="E196" s="69"/>
      <c r="F196" s="69"/>
      <c r="G196" s="77"/>
      <c r="H196" s="77"/>
      <c r="I196" s="77"/>
      <c r="J196" s="366"/>
      <c r="K196" s="77"/>
      <c r="L196" s="77"/>
      <c r="M196" s="77"/>
      <c r="N196" s="77"/>
      <c r="O196" s="69"/>
      <c r="P196" s="69"/>
      <c r="Q196" s="69"/>
      <c r="R196" s="69"/>
      <c r="S196" s="77"/>
      <c r="T196" s="77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207"/>
      <c r="AH196" s="207"/>
      <c r="AI196" s="207"/>
      <c r="AJ196" s="207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  <c r="BM196" s="69"/>
      <c r="BN196" s="69"/>
      <c r="BO196" s="69"/>
      <c r="BP196" s="69"/>
      <c r="BQ196" s="69"/>
      <c r="BR196" s="69"/>
      <c r="BS196" s="69"/>
      <c r="BT196" s="69"/>
      <c r="BU196" s="69"/>
      <c r="BV196" s="69"/>
      <c r="BW196" s="69"/>
      <c r="BX196" s="69"/>
      <c r="BY196" s="69"/>
      <c r="BZ196" s="69"/>
      <c r="CA196" s="69"/>
      <c r="CB196" s="69"/>
      <c r="CC196" s="69"/>
      <c r="CD196" s="69"/>
      <c r="CE196" s="69"/>
      <c r="CF196" s="69"/>
      <c r="CG196" s="69"/>
      <c r="CH196" s="69"/>
      <c r="CI196" s="69"/>
      <c r="CJ196" s="69"/>
      <c r="CK196" s="69"/>
      <c r="CL196" s="69"/>
      <c r="CM196" s="69"/>
      <c r="CN196" s="69"/>
      <c r="CO196" s="69"/>
      <c r="CP196" s="69"/>
      <c r="CQ196" s="69"/>
      <c r="CR196" s="69"/>
    </row>
    <row r="197" spans="1:96" ht="12.75" customHeight="1">
      <c r="A197" s="784"/>
      <c r="B197" s="69"/>
      <c r="C197" s="69"/>
      <c r="D197" s="69"/>
      <c r="E197" s="69"/>
      <c r="F197" s="69"/>
      <c r="G197" s="77"/>
      <c r="H197" s="77"/>
      <c r="I197" s="77"/>
      <c r="J197" s="366"/>
      <c r="K197" s="77"/>
      <c r="L197" s="77"/>
      <c r="M197" s="77"/>
      <c r="N197" s="77"/>
      <c r="O197" s="69"/>
      <c r="P197" s="69"/>
      <c r="Q197" s="69"/>
      <c r="R197" s="69"/>
      <c r="S197" s="77"/>
      <c r="T197" s="77"/>
      <c r="U197" s="69"/>
      <c r="V197" s="69"/>
      <c r="W197" s="69"/>
      <c r="X197" s="69"/>
      <c r="Y197" s="69"/>
      <c r="Z197" s="69"/>
      <c r="AA197" s="69"/>
      <c r="AB197" s="69"/>
      <c r="AC197" s="69"/>
      <c r="AD197" s="69"/>
      <c r="AE197" s="69"/>
      <c r="AF197" s="69"/>
      <c r="AG197" s="207"/>
      <c r="AH197" s="207"/>
      <c r="AI197" s="207"/>
      <c r="AJ197" s="207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  <c r="BM197" s="69"/>
      <c r="BN197" s="69"/>
      <c r="BO197" s="69"/>
      <c r="BP197" s="69"/>
      <c r="BQ197" s="69"/>
      <c r="BR197" s="69"/>
      <c r="BS197" s="69"/>
      <c r="BT197" s="69"/>
      <c r="BU197" s="69"/>
      <c r="BV197" s="69"/>
      <c r="BW197" s="69"/>
      <c r="BX197" s="69"/>
      <c r="BY197" s="69"/>
      <c r="BZ197" s="69"/>
      <c r="CA197" s="69"/>
      <c r="CB197" s="69"/>
      <c r="CC197" s="69"/>
      <c r="CD197" s="69"/>
      <c r="CE197" s="69"/>
      <c r="CF197" s="69"/>
      <c r="CG197" s="69"/>
      <c r="CH197" s="69"/>
      <c r="CI197" s="69"/>
      <c r="CJ197" s="69"/>
      <c r="CK197" s="69"/>
      <c r="CL197" s="69"/>
      <c r="CM197" s="69"/>
      <c r="CN197" s="69"/>
      <c r="CO197" s="69"/>
      <c r="CP197" s="69"/>
      <c r="CQ197" s="69"/>
      <c r="CR197" s="69"/>
    </row>
    <row r="198" spans="1:96" ht="12.75" customHeight="1">
      <c r="A198" s="784"/>
      <c r="B198" s="69"/>
      <c r="C198" s="69"/>
      <c r="D198" s="69"/>
      <c r="E198" s="69"/>
      <c r="F198" s="69"/>
      <c r="G198" s="77"/>
      <c r="H198" s="77"/>
      <c r="I198" s="77"/>
      <c r="J198" s="366"/>
      <c r="K198" s="77"/>
      <c r="L198" s="77"/>
      <c r="M198" s="77"/>
      <c r="N198" s="77"/>
      <c r="O198" s="69"/>
      <c r="P198" s="69"/>
      <c r="Q198" s="69"/>
      <c r="R198" s="69"/>
      <c r="S198" s="77"/>
      <c r="T198" s="77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207"/>
      <c r="AH198" s="207"/>
      <c r="AI198" s="207"/>
      <c r="AJ198" s="207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  <c r="BM198" s="69"/>
      <c r="BN198" s="69"/>
      <c r="BO198" s="69"/>
      <c r="BP198" s="69"/>
      <c r="BQ198" s="69"/>
      <c r="BR198" s="69"/>
      <c r="BS198" s="69"/>
      <c r="BT198" s="69"/>
      <c r="BU198" s="69"/>
      <c r="BV198" s="69"/>
      <c r="BW198" s="69"/>
      <c r="BX198" s="69"/>
      <c r="BY198" s="69"/>
      <c r="BZ198" s="69"/>
      <c r="CA198" s="69"/>
      <c r="CB198" s="69"/>
      <c r="CC198" s="69"/>
      <c r="CD198" s="69"/>
      <c r="CE198" s="69"/>
      <c r="CF198" s="69"/>
      <c r="CG198" s="69"/>
      <c r="CH198" s="69"/>
      <c r="CI198" s="69"/>
      <c r="CJ198" s="69"/>
      <c r="CK198" s="69"/>
      <c r="CL198" s="69"/>
      <c r="CM198" s="69"/>
      <c r="CN198" s="69"/>
      <c r="CO198" s="69"/>
      <c r="CP198" s="69"/>
      <c r="CQ198" s="69"/>
      <c r="CR198" s="69"/>
    </row>
    <row r="199" spans="1:96" ht="12.75" customHeight="1">
      <c r="A199" s="784"/>
      <c r="B199" s="69"/>
      <c r="C199" s="69"/>
      <c r="D199" s="69"/>
      <c r="E199" s="69"/>
      <c r="F199" s="69"/>
      <c r="G199" s="77"/>
      <c r="H199" s="77"/>
      <c r="I199" s="77"/>
      <c r="J199" s="366"/>
      <c r="K199" s="77"/>
      <c r="L199" s="77"/>
      <c r="M199" s="77"/>
      <c r="N199" s="77"/>
      <c r="O199" s="69"/>
      <c r="P199" s="69"/>
      <c r="Q199" s="69"/>
      <c r="R199" s="69"/>
      <c r="S199" s="77"/>
      <c r="T199" s="77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207"/>
      <c r="AH199" s="207"/>
      <c r="AI199" s="207"/>
      <c r="AJ199" s="207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  <c r="BP199" s="69"/>
      <c r="BQ199" s="69"/>
      <c r="BR199" s="69"/>
      <c r="BS199" s="69"/>
      <c r="BT199" s="69"/>
      <c r="BU199" s="69"/>
      <c r="BV199" s="69"/>
      <c r="BW199" s="69"/>
      <c r="BX199" s="69"/>
      <c r="BY199" s="69"/>
      <c r="BZ199" s="69"/>
      <c r="CA199" s="69"/>
      <c r="CB199" s="69"/>
      <c r="CC199" s="69"/>
      <c r="CD199" s="69"/>
      <c r="CE199" s="69"/>
      <c r="CF199" s="69"/>
      <c r="CG199" s="69"/>
      <c r="CH199" s="69"/>
      <c r="CI199" s="69"/>
      <c r="CJ199" s="69"/>
      <c r="CK199" s="69"/>
      <c r="CL199" s="69"/>
      <c r="CM199" s="69"/>
      <c r="CN199" s="69"/>
      <c r="CO199" s="69"/>
      <c r="CP199" s="69"/>
      <c r="CQ199" s="69"/>
      <c r="CR199" s="69"/>
    </row>
    <row r="200" spans="1:96" ht="12.75" customHeight="1">
      <c r="A200" s="784"/>
      <c r="B200" s="69"/>
      <c r="C200" s="69"/>
      <c r="D200" s="69"/>
      <c r="E200" s="69"/>
      <c r="F200" s="69"/>
      <c r="G200" s="77"/>
      <c r="H200" s="77"/>
      <c r="I200" s="77"/>
      <c r="J200" s="366"/>
      <c r="K200" s="77"/>
      <c r="L200" s="77"/>
      <c r="M200" s="77"/>
      <c r="N200" s="77"/>
      <c r="O200" s="69"/>
      <c r="P200" s="69"/>
      <c r="Q200" s="69"/>
      <c r="R200" s="69"/>
      <c r="S200" s="77"/>
      <c r="T200" s="77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207"/>
      <c r="AH200" s="207"/>
      <c r="AI200" s="207"/>
      <c r="AJ200" s="207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  <c r="BP200" s="69"/>
      <c r="BQ200" s="69"/>
      <c r="BR200" s="69"/>
      <c r="BS200" s="69"/>
      <c r="BT200" s="69"/>
      <c r="BU200" s="69"/>
      <c r="BV200" s="69"/>
      <c r="BW200" s="69"/>
      <c r="BX200" s="69"/>
      <c r="BY200" s="69"/>
      <c r="BZ200" s="69"/>
      <c r="CA200" s="69"/>
      <c r="CB200" s="69"/>
      <c r="CC200" s="69"/>
      <c r="CD200" s="69"/>
      <c r="CE200" s="69"/>
      <c r="CF200" s="69"/>
      <c r="CG200" s="69"/>
      <c r="CH200" s="69"/>
      <c r="CI200" s="69"/>
      <c r="CJ200" s="69"/>
      <c r="CK200" s="69"/>
      <c r="CL200" s="69"/>
      <c r="CM200" s="69"/>
      <c r="CN200" s="69"/>
      <c r="CO200" s="69"/>
      <c r="CP200" s="69"/>
      <c r="CQ200" s="69"/>
      <c r="CR200" s="69"/>
    </row>
    <row r="201" spans="1:96" ht="12.75" customHeight="1">
      <c r="A201" s="784"/>
      <c r="B201" s="69"/>
      <c r="C201" s="69"/>
      <c r="D201" s="69"/>
      <c r="E201" s="69"/>
      <c r="F201" s="69"/>
      <c r="G201" s="77"/>
      <c r="H201" s="77"/>
      <c r="I201" s="77"/>
      <c r="J201" s="366"/>
      <c r="K201" s="77"/>
      <c r="L201" s="77"/>
      <c r="M201" s="77"/>
      <c r="N201" s="77"/>
      <c r="O201" s="69"/>
      <c r="P201" s="69"/>
      <c r="Q201" s="69"/>
      <c r="R201" s="69"/>
      <c r="S201" s="77"/>
      <c r="T201" s="77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207"/>
      <c r="AH201" s="207"/>
      <c r="AI201" s="207"/>
      <c r="AJ201" s="207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69"/>
      <c r="BN201" s="69"/>
      <c r="BO201" s="69"/>
      <c r="BP201" s="69"/>
      <c r="BQ201" s="69"/>
      <c r="BR201" s="69"/>
      <c r="BS201" s="69"/>
      <c r="BT201" s="69"/>
      <c r="BU201" s="69"/>
      <c r="BV201" s="69"/>
      <c r="BW201" s="69"/>
      <c r="BX201" s="69"/>
      <c r="BY201" s="69"/>
      <c r="BZ201" s="69"/>
      <c r="CA201" s="69"/>
      <c r="CB201" s="69"/>
      <c r="CC201" s="69"/>
      <c r="CD201" s="69"/>
      <c r="CE201" s="69"/>
      <c r="CF201" s="69"/>
      <c r="CG201" s="69"/>
      <c r="CH201" s="69"/>
      <c r="CI201" s="69"/>
      <c r="CJ201" s="69"/>
      <c r="CK201" s="69"/>
      <c r="CL201" s="69"/>
      <c r="CM201" s="69"/>
      <c r="CN201" s="69"/>
      <c r="CO201" s="69"/>
      <c r="CP201" s="69"/>
      <c r="CQ201" s="69"/>
      <c r="CR201" s="69"/>
    </row>
    <row r="202" spans="1:96" ht="12.75" customHeight="1">
      <c r="A202" s="784"/>
      <c r="B202" s="69"/>
      <c r="C202" s="69"/>
      <c r="D202" s="69"/>
      <c r="E202" s="69"/>
      <c r="F202" s="69"/>
      <c r="G202" s="77"/>
      <c r="H202" s="77"/>
      <c r="I202" s="77"/>
      <c r="J202" s="366"/>
      <c r="K202" s="77"/>
      <c r="L202" s="77"/>
      <c r="M202" s="77"/>
      <c r="N202" s="77"/>
      <c r="O202" s="69"/>
      <c r="P202" s="69"/>
      <c r="Q202" s="69"/>
      <c r="R202" s="69"/>
      <c r="S202" s="77"/>
      <c r="T202" s="77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207"/>
      <c r="AH202" s="207"/>
      <c r="AI202" s="207"/>
      <c r="AJ202" s="207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  <c r="BM202" s="69"/>
      <c r="BN202" s="69"/>
      <c r="BO202" s="69"/>
      <c r="BP202" s="69"/>
      <c r="BQ202" s="69"/>
      <c r="BR202" s="69"/>
      <c r="BS202" s="69"/>
      <c r="BT202" s="69"/>
      <c r="BU202" s="69"/>
      <c r="BV202" s="69"/>
      <c r="BW202" s="69"/>
      <c r="BX202" s="69"/>
      <c r="BY202" s="69"/>
      <c r="BZ202" s="69"/>
      <c r="CA202" s="69"/>
      <c r="CB202" s="69"/>
      <c r="CC202" s="69"/>
      <c r="CD202" s="69"/>
      <c r="CE202" s="69"/>
      <c r="CF202" s="69"/>
      <c r="CG202" s="69"/>
      <c r="CH202" s="69"/>
      <c r="CI202" s="69"/>
      <c r="CJ202" s="69"/>
      <c r="CK202" s="69"/>
      <c r="CL202" s="69"/>
      <c r="CM202" s="69"/>
      <c r="CN202" s="69"/>
      <c r="CO202" s="69"/>
      <c r="CP202" s="69"/>
      <c r="CQ202" s="69"/>
      <c r="CR202" s="69"/>
    </row>
    <row r="203" spans="1:96" ht="12.75" customHeight="1">
      <c r="A203" s="784"/>
      <c r="B203" s="69"/>
      <c r="C203" s="69"/>
      <c r="D203" s="69"/>
      <c r="E203" s="69"/>
      <c r="F203" s="69"/>
      <c r="G203" s="77"/>
      <c r="H203" s="77"/>
      <c r="I203" s="77"/>
      <c r="J203" s="366"/>
      <c r="K203" s="77"/>
      <c r="L203" s="77"/>
      <c r="M203" s="77"/>
      <c r="N203" s="77"/>
      <c r="O203" s="69"/>
      <c r="P203" s="69"/>
      <c r="Q203" s="69"/>
      <c r="R203" s="69"/>
      <c r="S203" s="77"/>
      <c r="T203" s="77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207"/>
      <c r="AH203" s="207"/>
      <c r="AI203" s="207"/>
      <c r="AJ203" s="207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  <c r="BP203" s="69"/>
      <c r="BQ203" s="69"/>
      <c r="BR203" s="69"/>
      <c r="BS203" s="69"/>
      <c r="BT203" s="69"/>
      <c r="BU203" s="69"/>
      <c r="BV203" s="69"/>
      <c r="BW203" s="69"/>
      <c r="BX203" s="69"/>
      <c r="BY203" s="69"/>
      <c r="BZ203" s="69"/>
      <c r="CA203" s="69"/>
      <c r="CB203" s="69"/>
      <c r="CC203" s="69"/>
      <c r="CD203" s="69"/>
      <c r="CE203" s="69"/>
      <c r="CF203" s="69"/>
      <c r="CG203" s="69"/>
      <c r="CH203" s="69"/>
      <c r="CI203" s="69"/>
      <c r="CJ203" s="69"/>
      <c r="CK203" s="69"/>
      <c r="CL203" s="69"/>
      <c r="CM203" s="69"/>
      <c r="CN203" s="69"/>
      <c r="CO203" s="69"/>
      <c r="CP203" s="69"/>
      <c r="CQ203" s="69"/>
      <c r="CR203" s="69"/>
    </row>
    <row r="204" spans="1:96" ht="12.75" customHeight="1">
      <c r="A204" s="784"/>
      <c r="B204" s="69"/>
      <c r="C204" s="69"/>
      <c r="D204" s="69"/>
      <c r="E204" s="69"/>
      <c r="F204" s="69"/>
      <c r="G204" s="77"/>
      <c r="H204" s="77"/>
      <c r="I204" s="77"/>
      <c r="J204" s="366"/>
      <c r="K204" s="77"/>
      <c r="L204" s="77"/>
      <c r="M204" s="77"/>
      <c r="N204" s="77"/>
      <c r="O204" s="69"/>
      <c r="P204" s="69"/>
      <c r="Q204" s="69"/>
      <c r="R204" s="69"/>
      <c r="S204" s="77"/>
      <c r="T204" s="77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207"/>
      <c r="AH204" s="207"/>
      <c r="AI204" s="207"/>
      <c r="AJ204" s="207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  <c r="BP204" s="69"/>
      <c r="BQ204" s="69"/>
      <c r="BR204" s="69"/>
      <c r="BS204" s="69"/>
      <c r="BT204" s="69"/>
      <c r="BU204" s="69"/>
      <c r="BV204" s="69"/>
      <c r="BW204" s="69"/>
      <c r="BX204" s="69"/>
      <c r="BY204" s="69"/>
      <c r="BZ204" s="69"/>
      <c r="CA204" s="69"/>
      <c r="CB204" s="69"/>
      <c r="CC204" s="69"/>
      <c r="CD204" s="69"/>
      <c r="CE204" s="69"/>
      <c r="CF204" s="69"/>
      <c r="CG204" s="69"/>
      <c r="CH204" s="69"/>
      <c r="CI204" s="69"/>
      <c r="CJ204" s="69"/>
      <c r="CK204" s="69"/>
      <c r="CL204" s="69"/>
      <c r="CM204" s="69"/>
      <c r="CN204" s="69"/>
      <c r="CO204" s="69"/>
      <c r="CP204" s="69"/>
      <c r="CQ204" s="69"/>
      <c r="CR204" s="69"/>
    </row>
    <row r="205" spans="1:96" ht="12.75" customHeight="1">
      <c r="A205" s="784"/>
      <c r="B205" s="69"/>
      <c r="C205" s="69"/>
      <c r="D205" s="69"/>
      <c r="E205" s="69"/>
      <c r="F205" s="69"/>
      <c r="G205" s="77"/>
      <c r="H205" s="77"/>
      <c r="I205" s="77"/>
      <c r="J205" s="366"/>
      <c r="K205" s="77"/>
      <c r="L205" s="77"/>
      <c r="M205" s="77"/>
      <c r="N205" s="77"/>
      <c r="O205" s="69"/>
      <c r="P205" s="69"/>
      <c r="Q205" s="69"/>
      <c r="R205" s="69"/>
      <c r="S205" s="77"/>
      <c r="T205" s="77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207"/>
      <c r="AH205" s="207"/>
      <c r="AI205" s="207"/>
      <c r="AJ205" s="207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  <c r="BP205" s="69"/>
      <c r="BQ205" s="69"/>
      <c r="BR205" s="69"/>
      <c r="BS205" s="69"/>
      <c r="BT205" s="69"/>
      <c r="BU205" s="69"/>
      <c r="BV205" s="69"/>
      <c r="BW205" s="69"/>
      <c r="BX205" s="69"/>
      <c r="BY205" s="69"/>
      <c r="BZ205" s="69"/>
      <c r="CA205" s="69"/>
      <c r="CB205" s="69"/>
      <c r="CC205" s="69"/>
      <c r="CD205" s="69"/>
      <c r="CE205" s="69"/>
      <c r="CF205" s="69"/>
      <c r="CG205" s="69"/>
      <c r="CH205" s="69"/>
      <c r="CI205" s="69"/>
      <c r="CJ205" s="69"/>
      <c r="CK205" s="69"/>
      <c r="CL205" s="69"/>
      <c r="CM205" s="69"/>
      <c r="CN205" s="69"/>
      <c r="CO205" s="69"/>
      <c r="CP205" s="69"/>
      <c r="CQ205" s="69"/>
      <c r="CR205" s="69"/>
    </row>
    <row r="206" spans="1:96" ht="12.75" customHeight="1">
      <c r="A206" s="784"/>
      <c r="B206" s="69"/>
      <c r="C206" s="69"/>
      <c r="D206" s="69"/>
      <c r="E206" s="69"/>
      <c r="F206" s="69"/>
      <c r="G206" s="77"/>
      <c r="H206" s="77"/>
      <c r="I206" s="77"/>
      <c r="J206" s="366"/>
      <c r="K206" s="77"/>
      <c r="L206" s="77"/>
      <c r="M206" s="77"/>
      <c r="N206" s="77"/>
      <c r="O206" s="69"/>
      <c r="P206" s="69"/>
      <c r="Q206" s="69"/>
      <c r="R206" s="69"/>
      <c r="S206" s="77"/>
      <c r="T206" s="77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207"/>
      <c r="AH206" s="207"/>
      <c r="AI206" s="207"/>
      <c r="AJ206" s="207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9"/>
      <c r="BQ206" s="69"/>
      <c r="BR206" s="69"/>
      <c r="BS206" s="69"/>
      <c r="BT206" s="69"/>
      <c r="BU206" s="69"/>
      <c r="BV206" s="69"/>
      <c r="BW206" s="69"/>
      <c r="BX206" s="69"/>
      <c r="BY206" s="69"/>
      <c r="BZ206" s="69"/>
      <c r="CA206" s="69"/>
      <c r="CB206" s="69"/>
      <c r="CC206" s="69"/>
      <c r="CD206" s="69"/>
      <c r="CE206" s="69"/>
      <c r="CF206" s="69"/>
      <c r="CG206" s="69"/>
      <c r="CH206" s="69"/>
      <c r="CI206" s="69"/>
      <c r="CJ206" s="69"/>
      <c r="CK206" s="69"/>
      <c r="CL206" s="69"/>
      <c r="CM206" s="69"/>
      <c r="CN206" s="69"/>
      <c r="CO206" s="69"/>
      <c r="CP206" s="69"/>
      <c r="CQ206" s="69"/>
      <c r="CR206" s="69"/>
    </row>
    <row r="207" spans="1:96" ht="12.75" customHeight="1">
      <c r="A207" s="784"/>
      <c r="B207" s="69"/>
      <c r="C207" s="69"/>
      <c r="D207" s="69"/>
      <c r="E207" s="69"/>
      <c r="F207" s="69"/>
      <c r="G207" s="77"/>
      <c r="H207" s="77"/>
      <c r="I207" s="77"/>
      <c r="J207" s="366"/>
      <c r="K207" s="77"/>
      <c r="L207" s="77"/>
      <c r="M207" s="77"/>
      <c r="N207" s="77"/>
      <c r="O207" s="69"/>
      <c r="P207" s="69"/>
      <c r="Q207" s="69"/>
      <c r="R207" s="69"/>
      <c r="S207" s="77"/>
      <c r="T207" s="77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207"/>
      <c r="AH207" s="207"/>
      <c r="AI207" s="207"/>
      <c r="AJ207" s="207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  <c r="BP207" s="69"/>
      <c r="BQ207" s="69"/>
      <c r="BR207" s="69"/>
      <c r="BS207" s="69"/>
      <c r="BT207" s="69"/>
      <c r="BU207" s="69"/>
      <c r="BV207" s="69"/>
      <c r="BW207" s="69"/>
      <c r="BX207" s="69"/>
      <c r="BY207" s="69"/>
      <c r="BZ207" s="69"/>
      <c r="CA207" s="69"/>
      <c r="CB207" s="69"/>
      <c r="CC207" s="69"/>
      <c r="CD207" s="69"/>
      <c r="CE207" s="69"/>
      <c r="CF207" s="69"/>
      <c r="CG207" s="69"/>
      <c r="CH207" s="69"/>
      <c r="CI207" s="69"/>
      <c r="CJ207" s="69"/>
      <c r="CK207" s="69"/>
      <c r="CL207" s="69"/>
      <c r="CM207" s="69"/>
      <c r="CN207" s="69"/>
      <c r="CO207" s="69"/>
      <c r="CP207" s="69"/>
      <c r="CQ207" s="69"/>
      <c r="CR207" s="69"/>
    </row>
    <row r="208" spans="1:96" ht="12.75" customHeight="1">
      <c r="A208" s="784"/>
      <c r="B208" s="69"/>
      <c r="C208" s="69"/>
      <c r="D208" s="69"/>
      <c r="E208" s="69"/>
      <c r="F208" s="69"/>
      <c r="G208" s="77"/>
      <c r="H208" s="77"/>
      <c r="I208" s="77"/>
      <c r="J208" s="366"/>
      <c r="K208" s="77"/>
      <c r="L208" s="77"/>
      <c r="M208" s="77"/>
      <c r="N208" s="77"/>
      <c r="O208" s="69"/>
      <c r="P208" s="69"/>
      <c r="Q208" s="69"/>
      <c r="R208" s="69"/>
      <c r="S208" s="77"/>
      <c r="T208" s="77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207"/>
      <c r="AH208" s="207"/>
      <c r="AI208" s="207"/>
      <c r="AJ208" s="207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  <c r="BP208" s="69"/>
      <c r="BQ208" s="69"/>
      <c r="BR208" s="69"/>
      <c r="BS208" s="69"/>
      <c r="BT208" s="69"/>
      <c r="BU208" s="69"/>
      <c r="BV208" s="69"/>
      <c r="BW208" s="69"/>
      <c r="BX208" s="69"/>
      <c r="BY208" s="69"/>
      <c r="BZ208" s="69"/>
      <c r="CA208" s="69"/>
      <c r="CB208" s="69"/>
      <c r="CC208" s="69"/>
      <c r="CD208" s="69"/>
      <c r="CE208" s="69"/>
      <c r="CF208" s="69"/>
      <c r="CG208" s="69"/>
      <c r="CH208" s="69"/>
      <c r="CI208" s="69"/>
      <c r="CJ208" s="69"/>
      <c r="CK208" s="69"/>
      <c r="CL208" s="69"/>
      <c r="CM208" s="69"/>
      <c r="CN208" s="69"/>
      <c r="CO208" s="69"/>
      <c r="CP208" s="69"/>
      <c r="CQ208" s="69"/>
      <c r="CR208" s="69"/>
    </row>
    <row r="209" spans="1:96" ht="12.75" customHeight="1">
      <c r="A209" s="784"/>
      <c r="B209" s="69"/>
      <c r="C209" s="69"/>
      <c r="D209" s="69"/>
      <c r="E209" s="69"/>
      <c r="F209" s="69"/>
      <c r="G209" s="77"/>
      <c r="H209" s="77"/>
      <c r="I209" s="77"/>
      <c r="J209" s="366"/>
      <c r="K209" s="77"/>
      <c r="L209" s="77"/>
      <c r="M209" s="77"/>
      <c r="N209" s="77"/>
      <c r="O209" s="69"/>
      <c r="P209" s="69"/>
      <c r="Q209" s="69"/>
      <c r="R209" s="69"/>
      <c r="S209" s="77"/>
      <c r="T209" s="77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207"/>
      <c r="AH209" s="207"/>
      <c r="AI209" s="207"/>
      <c r="AJ209" s="207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  <c r="BP209" s="69"/>
      <c r="BQ209" s="69"/>
      <c r="BR209" s="69"/>
      <c r="BS209" s="69"/>
      <c r="BT209" s="69"/>
      <c r="BU209" s="69"/>
      <c r="BV209" s="69"/>
      <c r="BW209" s="69"/>
      <c r="BX209" s="69"/>
      <c r="BY209" s="69"/>
      <c r="BZ209" s="69"/>
      <c r="CA209" s="69"/>
      <c r="CB209" s="69"/>
      <c r="CC209" s="69"/>
      <c r="CD209" s="69"/>
      <c r="CE209" s="69"/>
      <c r="CF209" s="69"/>
      <c r="CG209" s="69"/>
      <c r="CH209" s="69"/>
      <c r="CI209" s="69"/>
      <c r="CJ209" s="69"/>
      <c r="CK209" s="69"/>
      <c r="CL209" s="69"/>
      <c r="CM209" s="69"/>
      <c r="CN209" s="69"/>
      <c r="CO209" s="69"/>
      <c r="CP209" s="69"/>
      <c r="CQ209" s="69"/>
      <c r="CR209" s="69"/>
    </row>
    <row r="210" spans="1:96" ht="12.75" customHeight="1">
      <c r="A210" s="784"/>
      <c r="B210" s="69"/>
      <c r="C210" s="69"/>
      <c r="D210" s="69"/>
      <c r="E210" s="69"/>
      <c r="F210" s="69"/>
      <c r="G210" s="77"/>
      <c r="H210" s="77"/>
      <c r="I210" s="77"/>
      <c r="J210" s="366"/>
      <c r="K210" s="77"/>
      <c r="L210" s="77"/>
      <c r="M210" s="77"/>
      <c r="N210" s="77"/>
      <c r="O210" s="69"/>
      <c r="P210" s="69"/>
      <c r="Q210" s="69"/>
      <c r="R210" s="69"/>
      <c r="S210" s="77"/>
      <c r="T210" s="77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207"/>
      <c r="AH210" s="207"/>
      <c r="AI210" s="207"/>
      <c r="AJ210" s="207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  <c r="BM210" s="69"/>
      <c r="BN210" s="69"/>
      <c r="BO210" s="69"/>
      <c r="BP210" s="69"/>
      <c r="BQ210" s="69"/>
      <c r="BR210" s="69"/>
      <c r="BS210" s="69"/>
      <c r="BT210" s="69"/>
      <c r="BU210" s="69"/>
      <c r="BV210" s="69"/>
      <c r="BW210" s="69"/>
      <c r="BX210" s="69"/>
      <c r="BY210" s="69"/>
      <c r="BZ210" s="69"/>
      <c r="CA210" s="69"/>
      <c r="CB210" s="69"/>
      <c r="CC210" s="69"/>
      <c r="CD210" s="69"/>
      <c r="CE210" s="69"/>
      <c r="CF210" s="69"/>
      <c r="CG210" s="69"/>
      <c r="CH210" s="69"/>
      <c r="CI210" s="69"/>
      <c r="CJ210" s="69"/>
      <c r="CK210" s="69"/>
      <c r="CL210" s="69"/>
      <c r="CM210" s="69"/>
      <c r="CN210" s="69"/>
      <c r="CO210" s="69"/>
      <c r="CP210" s="69"/>
      <c r="CQ210" s="69"/>
      <c r="CR210" s="69"/>
    </row>
    <row r="211" spans="1:96" ht="12.75" customHeight="1">
      <c r="A211" s="784"/>
      <c r="B211" s="69"/>
      <c r="C211" s="69"/>
      <c r="D211" s="69"/>
      <c r="E211" s="69"/>
      <c r="F211" s="69"/>
      <c r="G211" s="77"/>
      <c r="H211" s="77"/>
      <c r="I211" s="77"/>
      <c r="J211" s="366"/>
      <c r="K211" s="77"/>
      <c r="L211" s="77"/>
      <c r="M211" s="77"/>
      <c r="N211" s="77"/>
      <c r="O211" s="69"/>
      <c r="P211" s="69"/>
      <c r="Q211" s="69"/>
      <c r="R211" s="69"/>
      <c r="S211" s="77"/>
      <c r="T211" s="77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207"/>
      <c r="AH211" s="207"/>
      <c r="AI211" s="207"/>
      <c r="AJ211" s="207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  <c r="BP211" s="69"/>
      <c r="BQ211" s="69"/>
      <c r="BR211" s="69"/>
      <c r="BS211" s="69"/>
      <c r="BT211" s="69"/>
      <c r="BU211" s="69"/>
      <c r="BV211" s="69"/>
      <c r="BW211" s="69"/>
      <c r="BX211" s="69"/>
      <c r="BY211" s="69"/>
      <c r="BZ211" s="69"/>
      <c r="CA211" s="69"/>
      <c r="CB211" s="69"/>
      <c r="CC211" s="69"/>
      <c r="CD211" s="69"/>
      <c r="CE211" s="69"/>
      <c r="CF211" s="69"/>
      <c r="CG211" s="69"/>
      <c r="CH211" s="69"/>
      <c r="CI211" s="69"/>
      <c r="CJ211" s="69"/>
      <c r="CK211" s="69"/>
      <c r="CL211" s="69"/>
      <c r="CM211" s="69"/>
      <c r="CN211" s="69"/>
      <c r="CO211" s="69"/>
      <c r="CP211" s="69"/>
      <c r="CQ211" s="69"/>
      <c r="CR211" s="69"/>
    </row>
    <row r="212" spans="1:96" ht="12.75" customHeight="1">
      <c r="A212" s="784"/>
      <c r="B212" s="69"/>
      <c r="C212" s="69"/>
      <c r="D212" s="69"/>
      <c r="E212" s="69"/>
      <c r="F212" s="69"/>
      <c r="G212" s="77"/>
      <c r="H212" s="77"/>
      <c r="I212" s="77"/>
      <c r="J212" s="366"/>
      <c r="K212" s="77"/>
      <c r="L212" s="77"/>
      <c r="M212" s="77"/>
      <c r="N212" s="77"/>
      <c r="O212" s="69"/>
      <c r="P212" s="69"/>
      <c r="Q212" s="69"/>
      <c r="R212" s="69"/>
      <c r="S212" s="77"/>
      <c r="T212" s="77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207"/>
      <c r="AH212" s="207"/>
      <c r="AI212" s="207"/>
      <c r="AJ212" s="207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  <c r="BM212" s="69"/>
      <c r="BN212" s="69"/>
      <c r="BO212" s="69"/>
      <c r="BP212" s="69"/>
      <c r="BQ212" s="69"/>
      <c r="BR212" s="69"/>
      <c r="BS212" s="69"/>
      <c r="BT212" s="69"/>
      <c r="BU212" s="69"/>
      <c r="BV212" s="69"/>
      <c r="BW212" s="69"/>
      <c r="BX212" s="69"/>
      <c r="BY212" s="69"/>
      <c r="BZ212" s="69"/>
      <c r="CA212" s="69"/>
      <c r="CB212" s="69"/>
      <c r="CC212" s="69"/>
      <c r="CD212" s="69"/>
      <c r="CE212" s="69"/>
      <c r="CF212" s="69"/>
      <c r="CG212" s="69"/>
      <c r="CH212" s="69"/>
      <c r="CI212" s="69"/>
      <c r="CJ212" s="69"/>
      <c r="CK212" s="69"/>
      <c r="CL212" s="69"/>
      <c r="CM212" s="69"/>
      <c r="CN212" s="69"/>
      <c r="CO212" s="69"/>
      <c r="CP212" s="69"/>
      <c r="CQ212" s="69"/>
      <c r="CR212" s="69"/>
    </row>
    <row r="213" spans="1:96" ht="12.75" customHeight="1">
      <c r="A213" s="784"/>
      <c r="B213" s="69"/>
      <c r="C213" s="69"/>
      <c r="D213" s="69"/>
      <c r="E213" s="69"/>
      <c r="F213" s="69"/>
      <c r="G213" s="77"/>
      <c r="H213" s="77"/>
      <c r="I213" s="77"/>
      <c r="J213" s="366"/>
      <c r="K213" s="77"/>
      <c r="L213" s="77"/>
      <c r="M213" s="77"/>
      <c r="N213" s="77"/>
      <c r="O213" s="69"/>
      <c r="P213" s="69"/>
      <c r="Q213" s="69"/>
      <c r="R213" s="69"/>
      <c r="S213" s="77"/>
      <c r="T213" s="77"/>
      <c r="U213" s="69"/>
      <c r="V213" s="69"/>
      <c r="W213" s="69"/>
      <c r="X213" s="69"/>
      <c r="Y213" s="69"/>
      <c r="Z213" s="69"/>
      <c r="AA213" s="69"/>
      <c r="AB213" s="69"/>
      <c r="AC213" s="69"/>
      <c r="AD213" s="69"/>
      <c r="AE213" s="69"/>
      <c r="AF213" s="69"/>
      <c r="AG213" s="207"/>
      <c r="AH213" s="207"/>
      <c r="AI213" s="207"/>
      <c r="AJ213" s="207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  <c r="BP213" s="69"/>
      <c r="BQ213" s="69"/>
      <c r="BR213" s="69"/>
      <c r="BS213" s="69"/>
      <c r="BT213" s="69"/>
      <c r="BU213" s="69"/>
      <c r="BV213" s="69"/>
      <c r="BW213" s="69"/>
      <c r="BX213" s="69"/>
      <c r="BY213" s="69"/>
      <c r="BZ213" s="69"/>
      <c r="CA213" s="69"/>
      <c r="CB213" s="69"/>
      <c r="CC213" s="69"/>
      <c r="CD213" s="69"/>
      <c r="CE213" s="69"/>
      <c r="CF213" s="69"/>
      <c r="CG213" s="69"/>
      <c r="CH213" s="69"/>
      <c r="CI213" s="69"/>
      <c r="CJ213" s="69"/>
      <c r="CK213" s="69"/>
      <c r="CL213" s="69"/>
      <c r="CM213" s="69"/>
      <c r="CN213" s="69"/>
      <c r="CO213" s="69"/>
      <c r="CP213" s="69"/>
      <c r="CQ213" s="69"/>
      <c r="CR213" s="69"/>
    </row>
    <row r="214" spans="1:96" ht="12.75" customHeight="1">
      <c r="A214" s="784"/>
      <c r="B214" s="69"/>
      <c r="C214" s="69"/>
      <c r="D214" s="69"/>
      <c r="E214" s="69"/>
      <c r="F214" s="69"/>
      <c r="G214" s="77"/>
      <c r="H214" s="77"/>
      <c r="I214" s="77"/>
      <c r="J214" s="366"/>
      <c r="K214" s="77"/>
      <c r="L214" s="77"/>
      <c r="M214" s="77"/>
      <c r="N214" s="77"/>
      <c r="O214" s="69"/>
      <c r="P214" s="69"/>
      <c r="Q214" s="69"/>
      <c r="R214" s="69"/>
      <c r="S214" s="77"/>
      <c r="T214" s="77"/>
      <c r="U214" s="69"/>
      <c r="V214" s="69"/>
      <c r="W214" s="69"/>
      <c r="X214" s="69"/>
      <c r="Y214" s="69"/>
      <c r="Z214" s="69"/>
      <c r="AA214" s="69"/>
      <c r="AB214" s="69"/>
      <c r="AC214" s="69"/>
      <c r="AD214" s="69"/>
      <c r="AE214" s="69"/>
      <c r="AF214" s="69"/>
      <c r="AG214" s="207"/>
      <c r="AH214" s="207"/>
      <c r="AI214" s="207"/>
      <c r="AJ214" s="207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  <c r="BM214" s="69"/>
      <c r="BN214" s="69"/>
      <c r="BO214" s="69"/>
      <c r="BP214" s="69"/>
      <c r="BQ214" s="69"/>
      <c r="BR214" s="69"/>
      <c r="BS214" s="69"/>
      <c r="BT214" s="69"/>
      <c r="BU214" s="69"/>
      <c r="BV214" s="69"/>
      <c r="BW214" s="69"/>
      <c r="BX214" s="69"/>
      <c r="BY214" s="69"/>
      <c r="BZ214" s="69"/>
      <c r="CA214" s="69"/>
      <c r="CB214" s="69"/>
      <c r="CC214" s="69"/>
      <c r="CD214" s="69"/>
      <c r="CE214" s="69"/>
      <c r="CF214" s="69"/>
      <c r="CG214" s="69"/>
      <c r="CH214" s="69"/>
      <c r="CI214" s="69"/>
      <c r="CJ214" s="69"/>
      <c r="CK214" s="69"/>
      <c r="CL214" s="69"/>
      <c r="CM214" s="69"/>
      <c r="CN214" s="69"/>
      <c r="CO214" s="69"/>
      <c r="CP214" s="69"/>
      <c r="CQ214" s="69"/>
      <c r="CR214" s="69"/>
    </row>
    <row r="215" spans="1:96" ht="12.75" customHeight="1">
      <c r="A215" s="784"/>
      <c r="B215" s="69"/>
      <c r="C215" s="69"/>
      <c r="D215" s="69"/>
      <c r="E215" s="69"/>
      <c r="F215" s="69"/>
      <c r="G215" s="77"/>
      <c r="H215" s="77"/>
      <c r="I215" s="77"/>
      <c r="J215" s="366"/>
      <c r="K215" s="77"/>
      <c r="L215" s="77"/>
      <c r="M215" s="77"/>
      <c r="N215" s="77"/>
      <c r="O215" s="69"/>
      <c r="P215" s="69"/>
      <c r="Q215" s="69"/>
      <c r="R215" s="69"/>
      <c r="S215" s="77"/>
      <c r="T215" s="77"/>
      <c r="U215" s="69"/>
      <c r="V215" s="69"/>
      <c r="W215" s="69"/>
      <c r="X215" s="69"/>
      <c r="Y215" s="69"/>
      <c r="Z215" s="69"/>
      <c r="AA215" s="69"/>
      <c r="AB215" s="69"/>
      <c r="AC215" s="69"/>
      <c r="AD215" s="69"/>
      <c r="AE215" s="69"/>
      <c r="AF215" s="69"/>
      <c r="AG215" s="207"/>
      <c r="AH215" s="207"/>
      <c r="AI215" s="207"/>
      <c r="AJ215" s="207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  <c r="BP215" s="69"/>
      <c r="BQ215" s="69"/>
      <c r="BR215" s="69"/>
      <c r="BS215" s="69"/>
      <c r="BT215" s="69"/>
      <c r="BU215" s="69"/>
      <c r="BV215" s="69"/>
      <c r="BW215" s="69"/>
      <c r="BX215" s="69"/>
      <c r="BY215" s="69"/>
      <c r="BZ215" s="69"/>
      <c r="CA215" s="69"/>
      <c r="CB215" s="69"/>
      <c r="CC215" s="69"/>
      <c r="CD215" s="69"/>
      <c r="CE215" s="69"/>
      <c r="CF215" s="69"/>
      <c r="CG215" s="69"/>
      <c r="CH215" s="69"/>
      <c r="CI215" s="69"/>
      <c r="CJ215" s="69"/>
      <c r="CK215" s="69"/>
      <c r="CL215" s="69"/>
      <c r="CM215" s="69"/>
      <c r="CN215" s="69"/>
      <c r="CO215" s="69"/>
      <c r="CP215" s="69"/>
      <c r="CQ215" s="69"/>
      <c r="CR215" s="69"/>
    </row>
    <row r="216" spans="1:96" ht="12.75" customHeight="1">
      <c r="A216" s="784"/>
      <c r="B216" s="69"/>
      <c r="C216" s="69"/>
      <c r="D216" s="69"/>
      <c r="E216" s="69"/>
      <c r="F216" s="69"/>
      <c r="G216" s="77"/>
      <c r="H216" s="77"/>
      <c r="I216" s="77"/>
      <c r="J216" s="366"/>
      <c r="K216" s="77"/>
      <c r="L216" s="77"/>
      <c r="M216" s="77"/>
      <c r="N216" s="77"/>
      <c r="O216" s="69"/>
      <c r="P216" s="69"/>
      <c r="Q216" s="69"/>
      <c r="R216" s="69"/>
      <c r="S216" s="77"/>
      <c r="T216" s="77"/>
      <c r="U216" s="69"/>
      <c r="V216" s="69"/>
      <c r="W216" s="69"/>
      <c r="X216" s="69"/>
      <c r="Y216" s="69"/>
      <c r="Z216" s="69"/>
      <c r="AA216" s="69"/>
      <c r="AB216" s="69"/>
      <c r="AC216" s="69"/>
      <c r="AD216" s="69"/>
      <c r="AE216" s="69"/>
      <c r="AF216" s="69"/>
      <c r="AG216" s="207"/>
      <c r="AH216" s="207"/>
      <c r="AI216" s="207"/>
      <c r="AJ216" s="207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  <c r="BP216" s="69"/>
      <c r="BQ216" s="69"/>
      <c r="BR216" s="69"/>
      <c r="BS216" s="69"/>
      <c r="BT216" s="69"/>
      <c r="BU216" s="69"/>
      <c r="BV216" s="69"/>
      <c r="BW216" s="69"/>
      <c r="BX216" s="69"/>
      <c r="BY216" s="69"/>
      <c r="BZ216" s="69"/>
      <c r="CA216" s="69"/>
      <c r="CB216" s="69"/>
      <c r="CC216" s="69"/>
      <c r="CD216" s="69"/>
      <c r="CE216" s="69"/>
      <c r="CF216" s="69"/>
      <c r="CG216" s="69"/>
      <c r="CH216" s="69"/>
      <c r="CI216" s="69"/>
      <c r="CJ216" s="69"/>
      <c r="CK216" s="69"/>
      <c r="CL216" s="69"/>
      <c r="CM216" s="69"/>
      <c r="CN216" s="69"/>
      <c r="CO216" s="69"/>
      <c r="CP216" s="69"/>
      <c r="CQ216" s="69"/>
      <c r="CR216" s="69"/>
    </row>
    <row r="217" spans="1:96" ht="12.75" customHeight="1">
      <c r="A217" s="784"/>
      <c r="B217" s="69"/>
      <c r="C217" s="69"/>
      <c r="D217" s="69"/>
      <c r="E217" s="69"/>
      <c r="F217" s="69"/>
      <c r="G217" s="77"/>
      <c r="H217" s="77"/>
      <c r="I217" s="77"/>
      <c r="J217" s="366"/>
      <c r="K217" s="77"/>
      <c r="L217" s="77"/>
      <c r="M217" s="77"/>
      <c r="N217" s="77"/>
      <c r="O217" s="69"/>
      <c r="P217" s="69"/>
      <c r="Q217" s="69"/>
      <c r="R217" s="69"/>
      <c r="S217" s="77"/>
      <c r="T217" s="77"/>
      <c r="U217" s="69"/>
      <c r="V217" s="69"/>
      <c r="W217" s="69"/>
      <c r="X217" s="69"/>
      <c r="Y217" s="69"/>
      <c r="Z217" s="69"/>
      <c r="AA217" s="69"/>
      <c r="AB217" s="69"/>
      <c r="AC217" s="69"/>
      <c r="AD217" s="69"/>
      <c r="AE217" s="69"/>
      <c r="AF217" s="69"/>
      <c r="AG217" s="207"/>
      <c r="AH217" s="207"/>
      <c r="AI217" s="207"/>
      <c r="AJ217" s="207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  <c r="BP217" s="69"/>
      <c r="BQ217" s="69"/>
      <c r="BR217" s="69"/>
      <c r="BS217" s="69"/>
      <c r="BT217" s="69"/>
      <c r="BU217" s="69"/>
      <c r="BV217" s="69"/>
      <c r="BW217" s="69"/>
      <c r="BX217" s="69"/>
      <c r="BY217" s="69"/>
      <c r="BZ217" s="69"/>
      <c r="CA217" s="69"/>
      <c r="CB217" s="69"/>
      <c r="CC217" s="69"/>
      <c r="CD217" s="69"/>
      <c r="CE217" s="69"/>
      <c r="CF217" s="69"/>
      <c r="CG217" s="69"/>
      <c r="CH217" s="69"/>
      <c r="CI217" s="69"/>
      <c r="CJ217" s="69"/>
      <c r="CK217" s="69"/>
      <c r="CL217" s="69"/>
      <c r="CM217" s="69"/>
      <c r="CN217" s="69"/>
      <c r="CO217" s="69"/>
      <c r="CP217" s="69"/>
      <c r="CQ217" s="69"/>
      <c r="CR217" s="69"/>
    </row>
    <row r="218" spans="1:96" ht="12.75" customHeight="1">
      <c r="A218" s="784"/>
      <c r="B218" s="69"/>
      <c r="C218" s="69"/>
      <c r="D218" s="69"/>
      <c r="E218" s="69"/>
      <c r="F218" s="69"/>
      <c r="G218" s="77"/>
      <c r="H218" s="77"/>
      <c r="I218" s="77"/>
      <c r="J218" s="366"/>
      <c r="K218" s="77"/>
      <c r="L218" s="77"/>
      <c r="M218" s="77"/>
      <c r="N218" s="77"/>
      <c r="O218" s="69"/>
      <c r="P218" s="69"/>
      <c r="Q218" s="69"/>
      <c r="R218" s="69"/>
      <c r="S218" s="77"/>
      <c r="T218" s="77"/>
      <c r="U218" s="69"/>
      <c r="V218" s="69"/>
      <c r="W218" s="69"/>
      <c r="X218" s="69"/>
      <c r="Y218" s="69"/>
      <c r="Z218" s="69"/>
      <c r="AA218" s="69"/>
      <c r="AB218" s="69"/>
      <c r="AC218" s="69"/>
      <c r="AD218" s="69"/>
      <c r="AE218" s="69"/>
      <c r="AF218" s="69"/>
      <c r="AG218" s="207"/>
      <c r="AH218" s="207"/>
      <c r="AI218" s="207"/>
      <c r="AJ218" s="207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  <c r="BP218" s="69"/>
      <c r="BQ218" s="69"/>
      <c r="BR218" s="69"/>
      <c r="BS218" s="69"/>
      <c r="BT218" s="69"/>
      <c r="BU218" s="69"/>
      <c r="BV218" s="69"/>
      <c r="BW218" s="69"/>
      <c r="BX218" s="69"/>
      <c r="BY218" s="69"/>
      <c r="BZ218" s="69"/>
      <c r="CA218" s="69"/>
      <c r="CB218" s="69"/>
      <c r="CC218" s="69"/>
      <c r="CD218" s="69"/>
      <c r="CE218" s="69"/>
      <c r="CF218" s="69"/>
      <c r="CG218" s="69"/>
      <c r="CH218" s="69"/>
      <c r="CI218" s="69"/>
      <c r="CJ218" s="69"/>
      <c r="CK218" s="69"/>
      <c r="CL218" s="69"/>
      <c r="CM218" s="69"/>
      <c r="CN218" s="69"/>
      <c r="CO218" s="69"/>
      <c r="CP218" s="69"/>
      <c r="CQ218" s="69"/>
      <c r="CR218" s="69"/>
    </row>
    <row r="219" spans="1:96" ht="12.75" customHeight="1">
      <c r="A219" s="784"/>
      <c r="B219" s="69"/>
      <c r="C219" s="69"/>
      <c r="D219" s="69"/>
      <c r="E219" s="69"/>
      <c r="F219" s="69"/>
      <c r="G219" s="77"/>
      <c r="H219" s="77"/>
      <c r="I219" s="77"/>
      <c r="J219" s="366"/>
      <c r="K219" s="77"/>
      <c r="L219" s="77"/>
      <c r="M219" s="77"/>
      <c r="N219" s="77"/>
      <c r="O219" s="69"/>
      <c r="P219" s="69"/>
      <c r="Q219" s="69"/>
      <c r="R219" s="69"/>
      <c r="S219" s="77"/>
      <c r="T219" s="77"/>
      <c r="U219" s="69"/>
      <c r="V219" s="69"/>
      <c r="W219" s="69"/>
      <c r="X219" s="69"/>
      <c r="Y219" s="69"/>
      <c r="Z219" s="69"/>
      <c r="AA219" s="69"/>
      <c r="AB219" s="69"/>
      <c r="AC219" s="69"/>
      <c r="AD219" s="69"/>
      <c r="AE219" s="69"/>
      <c r="AF219" s="69"/>
      <c r="AG219" s="207"/>
      <c r="AH219" s="207"/>
      <c r="AI219" s="207"/>
      <c r="AJ219" s="207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  <c r="BP219" s="69"/>
      <c r="BQ219" s="69"/>
      <c r="BR219" s="69"/>
      <c r="BS219" s="69"/>
      <c r="BT219" s="69"/>
      <c r="BU219" s="69"/>
      <c r="BV219" s="69"/>
      <c r="BW219" s="69"/>
      <c r="BX219" s="69"/>
      <c r="BY219" s="69"/>
      <c r="BZ219" s="69"/>
      <c r="CA219" s="69"/>
      <c r="CB219" s="69"/>
      <c r="CC219" s="69"/>
      <c r="CD219" s="69"/>
      <c r="CE219" s="69"/>
      <c r="CF219" s="69"/>
      <c r="CG219" s="69"/>
      <c r="CH219" s="69"/>
      <c r="CI219" s="69"/>
      <c r="CJ219" s="69"/>
      <c r="CK219" s="69"/>
      <c r="CL219" s="69"/>
      <c r="CM219" s="69"/>
      <c r="CN219" s="69"/>
      <c r="CO219" s="69"/>
      <c r="CP219" s="69"/>
      <c r="CQ219" s="69"/>
      <c r="CR219" s="69"/>
    </row>
    <row r="220" spans="1:96" ht="12.75" customHeight="1">
      <c r="A220" s="784"/>
      <c r="B220" s="69"/>
      <c r="C220" s="69"/>
      <c r="D220" s="69"/>
      <c r="E220" s="69"/>
      <c r="F220" s="69"/>
      <c r="G220" s="77"/>
      <c r="H220" s="77"/>
      <c r="I220" s="77"/>
      <c r="J220" s="366"/>
      <c r="K220" s="77"/>
      <c r="L220" s="77"/>
      <c r="M220" s="77"/>
      <c r="N220" s="77"/>
      <c r="O220" s="69"/>
      <c r="P220" s="69"/>
      <c r="Q220" s="69"/>
      <c r="R220" s="69"/>
      <c r="S220" s="77"/>
      <c r="T220" s="77"/>
      <c r="U220" s="69"/>
      <c r="V220" s="69"/>
      <c r="W220" s="69"/>
      <c r="X220" s="69"/>
      <c r="Y220" s="69"/>
      <c r="Z220" s="69"/>
      <c r="AA220" s="69"/>
      <c r="AB220" s="69"/>
      <c r="AC220" s="69"/>
      <c r="AD220" s="69"/>
      <c r="AE220" s="69"/>
      <c r="AF220" s="69"/>
      <c r="AG220" s="207"/>
      <c r="AH220" s="207"/>
      <c r="AI220" s="207"/>
      <c r="AJ220" s="207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  <c r="BM220" s="69"/>
      <c r="BN220" s="69"/>
      <c r="BO220" s="69"/>
      <c r="BP220" s="69"/>
      <c r="BQ220" s="69"/>
      <c r="BR220" s="69"/>
      <c r="BS220" s="69"/>
      <c r="BT220" s="69"/>
      <c r="BU220" s="69"/>
      <c r="BV220" s="69"/>
      <c r="BW220" s="69"/>
      <c r="BX220" s="69"/>
      <c r="BY220" s="69"/>
      <c r="BZ220" s="69"/>
      <c r="CA220" s="69"/>
      <c r="CB220" s="69"/>
      <c r="CC220" s="69"/>
      <c r="CD220" s="69"/>
      <c r="CE220" s="69"/>
      <c r="CF220" s="69"/>
      <c r="CG220" s="69"/>
      <c r="CH220" s="69"/>
      <c r="CI220" s="69"/>
      <c r="CJ220" s="69"/>
      <c r="CK220" s="69"/>
      <c r="CL220" s="69"/>
      <c r="CM220" s="69"/>
      <c r="CN220" s="69"/>
      <c r="CO220" s="69"/>
      <c r="CP220" s="69"/>
      <c r="CQ220" s="69"/>
      <c r="CR220" s="69"/>
    </row>
    <row r="221" spans="1:96" ht="12.75" customHeight="1">
      <c r="A221" s="784"/>
      <c r="B221" s="69"/>
      <c r="C221" s="69"/>
      <c r="D221" s="69"/>
      <c r="E221" s="69"/>
      <c r="F221" s="69"/>
      <c r="G221" s="77"/>
      <c r="H221" s="77"/>
      <c r="I221" s="77"/>
      <c r="J221" s="366"/>
      <c r="K221" s="77"/>
      <c r="L221" s="77"/>
      <c r="M221" s="77"/>
      <c r="N221" s="77"/>
      <c r="O221" s="69"/>
      <c r="P221" s="69"/>
      <c r="Q221" s="69"/>
      <c r="R221" s="69"/>
      <c r="S221" s="77"/>
      <c r="T221" s="77"/>
      <c r="U221" s="69"/>
      <c r="V221" s="69"/>
      <c r="W221" s="69"/>
      <c r="X221" s="69"/>
      <c r="Y221" s="69"/>
      <c r="Z221" s="69"/>
      <c r="AA221" s="69"/>
      <c r="AB221" s="69"/>
      <c r="AC221" s="69"/>
      <c r="AD221" s="69"/>
      <c r="AE221" s="69"/>
      <c r="AF221" s="69"/>
      <c r="AG221" s="207"/>
      <c r="AH221" s="207"/>
      <c r="AI221" s="207"/>
      <c r="AJ221" s="207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  <c r="BM221" s="69"/>
      <c r="BN221" s="69"/>
      <c r="BO221" s="69"/>
      <c r="BP221" s="69"/>
      <c r="BQ221" s="69"/>
      <c r="BR221" s="69"/>
      <c r="BS221" s="69"/>
      <c r="BT221" s="69"/>
      <c r="BU221" s="69"/>
      <c r="BV221" s="69"/>
      <c r="BW221" s="69"/>
      <c r="BX221" s="69"/>
      <c r="BY221" s="69"/>
      <c r="BZ221" s="69"/>
      <c r="CA221" s="69"/>
      <c r="CB221" s="69"/>
      <c r="CC221" s="69"/>
      <c r="CD221" s="69"/>
      <c r="CE221" s="69"/>
      <c r="CF221" s="69"/>
      <c r="CG221" s="69"/>
      <c r="CH221" s="69"/>
      <c r="CI221" s="69"/>
      <c r="CJ221" s="69"/>
      <c r="CK221" s="69"/>
      <c r="CL221" s="69"/>
      <c r="CM221" s="69"/>
      <c r="CN221" s="69"/>
      <c r="CO221" s="69"/>
      <c r="CP221" s="69"/>
      <c r="CQ221" s="69"/>
      <c r="CR221" s="69"/>
    </row>
    <row r="222" spans="1:96" ht="12.75" customHeight="1">
      <c r="A222" s="784"/>
      <c r="B222" s="69"/>
      <c r="C222" s="69"/>
      <c r="D222" s="69"/>
      <c r="E222" s="69"/>
      <c r="F222" s="69"/>
      <c r="G222" s="77"/>
      <c r="H222" s="77"/>
      <c r="I222" s="77"/>
      <c r="J222" s="366"/>
      <c r="K222" s="77"/>
      <c r="L222" s="77"/>
      <c r="M222" s="77"/>
      <c r="N222" s="77"/>
      <c r="O222" s="69"/>
      <c r="P222" s="69"/>
      <c r="Q222" s="69"/>
      <c r="R222" s="69"/>
      <c r="S222" s="77"/>
      <c r="T222" s="77"/>
      <c r="U222" s="69"/>
      <c r="V222" s="69"/>
      <c r="W222" s="69"/>
      <c r="X222" s="69"/>
      <c r="Y222" s="69"/>
      <c r="Z222" s="69"/>
      <c r="AA222" s="69"/>
      <c r="AB222" s="69"/>
      <c r="AC222" s="69"/>
      <c r="AD222" s="69"/>
      <c r="AE222" s="69"/>
      <c r="AF222" s="69"/>
      <c r="AG222" s="207"/>
      <c r="AH222" s="207"/>
      <c r="AI222" s="207"/>
      <c r="AJ222" s="207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  <c r="BP222" s="69"/>
      <c r="BQ222" s="69"/>
      <c r="BR222" s="69"/>
      <c r="BS222" s="69"/>
      <c r="BT222" s="69"/>
      <c r="BU222" s="69"/>
      <c r="BV222" s="69"/>
      <c r="BW222" s="69"/>
      <c r="BX222" s="69"/>
      <c r="BY222" s="69"/>
      <c r="BZ222" s="69"/>
      <c r="CA222" s="69"/>
      <c r="CB222" s="69"/>
      <c r="CC222" s="69"/>
      <c r="CD222" s="69"/>
      <c r="CE222" s="69"/>
      <c r="CF222" s="69"/>
      <c r="CG222" s="69"/>
      <c r="CH222" s="69"/>
      <c r="CI222" s="69"/>
      <c r="CJ222" s="69"/>
      <c r="CK222" s="69"/>
      <c r="CL222" s="69"/>
      <c r="CM222" s="69"/>
      <c r="CN222" s="69"/>
      <c r="CO222" s="69"/>
      <c r="CP222" s="69"/>
      <c r="CQ222" s="69"/>
      <c r="CR222" s="69"/>
    </row>
    <row r="223" spans="1:96" ht="12.75" customHeight="1">
      <c r="A223" s="784"/>
      <c r="B223" s="69"/>
      <c r="C223" s="69"/>
      <c r="D223" s="69"/>
      <c r="E223" s="69"/>
      <c r="F223" s="69"/>
      <c r="G223" s="77"/>
      <c r="H223" s="77"/>
      <c r="I223" s="77"/>
      <c r="J223" s="366"/>
      <c r="K223" s="77"/>
      <c r="L223" s="77"/>
      <c r="M223" s="77"/>
      <c r="N223" s="77"/>
      <c r="O223" s="69"/>
      <c r="P223" s="69"/>
      <c r="Q223" s="69"/>
      <c r="R223" s="69"/>
      <c r="S223" s="77"/>
      <c r="T223" s="77"/>
      <c r="U223" s="69"/>
      <c r="V223" s="69"/>
      <c r="W223" s="69"/>
      <c r="X223" s="69"/>
      <c r="Y223" s="69"/>
      <c r="Z223" s="69"/>
      <c r="AA223" s="69"/>
      <c r="AB223" s="69"/>
      <c r="AC223" s="69"/>
      <c r="AD223" s="69"/>
      <c r="AE223" s="69"/>
      <c r="AF223" s="69"/>
      <c r="AG223" s="207"/>
      <c r="AH223" s="207"/>
      <c r="AI223" s="207"/>
      <c r="AJ223" s="207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  <c r="BP223" s="69"/>
      <c r="BQ223" s="69"/>
      <c r="BR223" s="69"/>
      <c r="BS223" s="69"/>
      <c r="BT223" s="69"/>
      <c r="BU223" s="69"/>
      <c r="BV223" s="69"/>
      <c r="BW223" s="69"/>
      <c r="BX223" s="69"/>
      <c r="BY223" s="69"/>
      <c r="BZ223" s="69"/>
      <c r="CA223" s="69"/>
      <c r="CB223" s="69"/>
      <c r="CC223" s="69"/>
      <c r="CD223" s="69"/>
      <c r="CE223" s="69"/>
      <c r="CF223" s="69"/>
      <c r="CG223" s="69"/>
      <c r="CH223" s="69"/>
      <c r="CI223" s="69"/>
      <c r="CJ223" s="69"/>
      <c r="CK223" s="69"/>
      <c r="CL223" s="69"/>
      <c r="CM223" s="69"/>
      <c r="CN223" s="69"/>
      <c r="CO223" s="69"/>
      <c r="CP223" s="69"/>
      <c r="CQ223" s="69"/>
      <c r="CR223" s="69"/>
    </row>
    <row r="224" spans="1:96" ht="12.75" customHeight="1">
      <c r="A224" s="784"/>
      <c r="B224" s="69"/>
      <c r="C224" s="69"/>
      <c r="D224" s="69"/>
      <c r="E224" s="69"/>
      <c r="F224" s="69"/>
      <c r="G224" s="77"/>
      <c r="H224" s="77"/>
      <c r="I224" s="77"/>
      <c r="J224" s="366"/>
      <c r="K224" s="77"/>
      <c r="L224" s="77"/>
      <c r="M224" s="77"/>
      <c r="N224" s="77"/>
      <c r="O224" s="69"/>
      <c r="P224" s="69"/>
      <c r="Q224" s="69"/>
      <c r="R224" s="69"/>
      <c r="S224" s="77"/>
      <c r="T224" s="77"/>
      <c r="U224" s="69"/>
      <c r="V224" s="69"/>
      <c r="W224" s="69"/>
      <c r="X224" s="69"/>
      <c r="Y224" s="69"/>
      <c r="Z224" s="69"/>
      <c r="AA224" s="69"/>
      <c r="AB224" s="69"/>
      <c r="AC224" s="69"/>
      <c r="AD224" s="69"/>
      <c r="AE224" s="69"/>
      <c r="AF224" s="69"/>
      <c r="AG224" s="207"/>
      <c r="AH224" s="207"/>
      <c r="AI224" s="207"/>
      <c r="AJ224" s="207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  <c r="BP224" s="69"/>
      <c r="BQ224" s="69"/>
      <c r="BR224" s="69"/>
      <c r="BS224" s="69"/>
      <c r="BT224" s="69"/>
      <c r="BU224" s="69"/>
      <c r="BV224" s="69"/>
      <c r="BW224" s="69"/>
      <c r="BX224" s="69"/>
      <c r="BY224" s="69"/>
      <c r="BZ224" s="69"/>
      <c r="CA224" s="69"/>
      <c r="CB224" s="69"/>
      <c r="CC224" s="69"/>
      <c r="CD224" s="69"/>
      <c r="CE224" s="69"/>
      <c r="CF224" s="69"/>
      <c r="CG224" s="69"/>
      <c r="CH224" s="69"/>
      <c r="CI224" s="69"/>
      <c r="CJ224" s="69"/>
      <c r="CK224" s="69"/>
      <c r="CL224" s="69"/>
      <c r="CM224" s="69"/>
      <c r="CN224" s="69"/>
      <c r="CO224" s="69"/>
      <c r="CP224" s="69"/>
      <c r="CQ224" s="69"/>
      <c r="CR224" s="69"/>
    </row>
    <row r="225" spans="1:96" ht="12.75" customHeight="1">
      <c r="A225" s="784"/>
      <c r="B225" s="69"/>
      <c r="C225" s="69"/>
      <c r="D225" s="69"/>
      <c r="E225" s="69"/>
      <c r="F225" s="69"/>
      <c r="G225" s="77"/>
      <c r="H225" s="77"/>
      <c r="I225" s="77"/>
      <c r="J225" s="366"/>
      <c r="K225" s="77"/>
      <c r="L225" s="77"/>
      <c r="M225" s="77"/>
      <c r="N225" s="77"/>
      <c r="O225" s="69"/>
      <c r="P225" s="69"/>
      <c r="Q225" s="69"/>
      <c r="R225" s="69"/>
      <c r="S225" s="77"/>
      <c r="T225" s="77"/>
      <c r="U225" s="69"/>
      <c r="V225" s="69"/>
      <c r="W225" s="69"/>
      <c r="X225" s="69"/>
      <c r="Y225" s="69"/>
      <c r="Z225" s="69"/>
      <c r="AA225" s="69"/>
      <c r="AB225" s="69"/>
      <c r="AC225" s="69"/>
      <c r="AD225" s="69"/>
      <c r="AE225" s="69"/>
      <c r="AF225" s="69"/>
      <c r="AG225" s="207"/>
      <c r="AH225" s="207"/>
      <c r="AI225" s="207"/>
      <c r="AJ225" s="207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  <c r="BM225" s="69"/>
      <c r="BN225" s="69"/>
      <c r="BO225" s="69"/>
      <c r="BP225" s="69"/>
      <c r="BQ225" s="69"/>
      <c r="BR225" s="69"/>
      <c r="BS225" s="69"/>
      <c r="BT225" s="69"/>
      <c r="BU225" s="69"/>
      <c r="BV225" s="69"/>
      <c r="BW225" s="69"/>
      <c r="BX225" s="69"/>
      <c r="BY225" s="69"/>
      <c r="BZ225" s="69"/>
      <c r="CA225" s="69"/>
      <c r="CB225" s="69"/>
      <c r="CC225" s="69"/>
      <c r="CD225" s="69"/>
      <c r="CE225" s="69"/>
      <c r="CF225" s="69"/>
      <c r="CG225" s="69"/>
      <c r="CH225" s="69"/>
      <c r="CI225" s="69"/>
      <c r="CJ225" s="69"/>
      <c r="CK225" s="69"/>
      <c r="CL225" s="69"/>
      <c r="CM225" s="69"/>
      <c r="CN225" s="69"/>
      <c r="CO225" s="69"/>
      <c r="CP225" s="69"/>
      <c r="CQ225" s="69"/>
      <c r="CR225" s="69"/>
    </row>
    <row r="226" spans="1:96" ht="12.75" customHeight="1">
      <c r="A226" s="784"/>
      <c r="B226" s="69"/>
      <c r="C226" s="69"/>
      <c r="D226" s="69"/>
      <c r="E226" s="69"/>
      <c r="F226" s="69"/>
      <c r="G226" s="77"/>
      <c r="H226" s="77"/>
      <c r="I226" s="77"/>
      <c r="J226" s="366"/>
      <c r="K226" s="77"/>
      <c r="L226" s="77"/>
      <c r="M226" s="77"/>
      <c r="N226" s="77"/>
      <c r="O226" s="69"/>
      <c r="P226" s="69"/>
      <c r="Q226" s="69"/>
      <c r="R226" s="69"/>
      <c r="S226" s="77"/>
      <c r="T226" s="77"/>
      <c r="U226" s="69"/>
      <c r="V226" s="69"/>
      <c r="W226" s="69"/>
      <c r="X226" s="69"/>
      <c r="Y226" s="69"/>
      <c r="Z226" s="69"/>
      <c r="AA226" s="69"/>
      <c r="AB226" s="69"/>
      <c r="AC226" s="69"/>
      <c r="AD226" s="69"/>
      <c r="AE226" s="69"/>
      <c r="AF226" s="69"/>
      <c r="AG226" s="207"/>
      <c r="AH226" s="207"/>
      <c r="AI226" s="207"/>
      <c r="AJ226" s="207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  <c r="BP226" s="69"/>
      <c r="BQ226" s="69"/>
      <c r="BR226" s="69"/>
      <c r="BS226" s="69"/>
      <c r="BT226" s="69"/>
      <c r="BU226" s="69"/>
      <c r="BV226" s="69"/>
      <c r="BW226" s="69"/>
      <c r="BX226" s="69"/>
      <c r="BY226" s="69"/>
      <c r="BZ226" s="69"/>
      <c r="CA226" s="69"/>
      <c r="CB226" s="69"/>
      <c r="CC226" s="69"/>
      <c r="CD226" s="69"/>
      <c r="CE226" s="69"/>
      <c r="CF226" s="69"/>
      <c r="CG226" s="69"/>
      <c r="CH226" s="69"/>
      <c r="CI226" s="69"/>
      <c r="CJ226" s="69"/>
      <c r="CK226" s="69"/>
      <c r="CL226" s="69"/>
      <c r="CM226" s="69"/>
      <c r="CN226" s="69"/>
      <c r="CO226" s="69"/>
      <c r="CP226" s="69"/>
      <c r="CQ226" s="69"/>
      <c r="CR226" s="69"/>
    </row>
    <row r="227" spans="1:96" ht="12.75" customHeight="1">
      <c r="A227" s="784"/>
      <c r="B227" s="69"/>
      <c r="C227" s="69"/>
      <c r="D227" s="69"/>
      <c r="E227" s="69"/>
      <c r="F227" s="69"/>
      <c r="G227" s="77"/>
      <c r="H227" s="77"/>
      <c r="I227" s="77"/>
      <c r="J227" s="366"/>
      <c r="K227" s="77"/>
      <c r="L227" s="77"/>
      <c r="M227" s="77"/>
      <c r="N227" s="77"/>
      <c r="O227" s="69"/>
      <c r="P227" s="69"/>
      <c r="Q227" s="69"/>
      <c r="R227" s="69"/>
      <c r="S227" s="77"/>
      <c r="T227" s="77"/>
      <c r="U227" s="69"/>
      <c r="V227" s="69"/>
      <c r="W227" s="69"/>
      <c r="X227" s="69"/>
      <c r="Y227" s="69"/>
      <c r="Z227" s="69"/>
      <c r="AA227" s="69"/>
      <c r="AB227" s="69"/>
      <c r="AC227" s="69"/>
      <c r="AD227" s="69"/>
      <c r="AE227" s="69"/>
      <c r="AF227" s="69"/>
      <c r="AG227" s="207"/>
      <c r="AH227" s="207"/>
      <c r="AI227" s="207"/>
      <c r="AJ227" s="207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  <c r="BP227" s="69"/>
      <c r="BQ227" s="69"/>
      <c r="BR227" s="69"/>
      <c r="BS227" s="69"/>
      <c r="BT227" s="69"/>
      <c r="BU227" s="69"/>
      <c r="BV227" s="69"/>
      <c r="BW227" s="69"/>
      <c r="BX227" s="69"/>
      <c r="BY227" s="69"/>
      <c r="BZ227" s="69"/>
      <c r="CA227" s="69"/>
      <c r="CB227" s="69"/>
      <c r="CC227" s="69"/>
      <c r="CD227" s="69"/>
      <c r="CE227" s="69"/>
      <c r="CF227" s="69"/>
      <c r="CG227" s="69"/>
      <c r="CH227" s="69"/>
      <c r="CI227" s="69"/>
      <c r="CJ227" s="69"/>
      <c r="CK227" s="69"/>
      <c r="CL227" s="69"/>
      <c r="CM227" s="69"/>
      <c r="CN227" s="69"/>
      <c r="CO227" s="69"/>
      <c r="CP227" s="69"/>
      <c r="CQ227" s="69"/>
      <c r="CR227" s="69"/>
    </row>
    <row r="228" spans="1:96" ht="12.75" customHeight="1">
      <c r="A228" s="784"/>
      <c r="B228" s="69"/>
      <c r="C228" s="69"/>
      <c r="D228" s="69"/>
      <c r="E228" s="69"/>
      <c r="F228" s="69"/>
      <c r="G228" s="77"/>
      <c r="H228" s="77"/>
      <c r="I228" s="77"/>
      <c r="J228" s="366"/>
      <c r="K228" s="77"/>
      <c r="L228" s="77"/>
      <c r="M228" s="77"/>
      <c r="N228" s="77"/>
      <c r="O228" s="69"/>
      <c r="P228" s="69"/>
      <c r="Q228" s="69"/>
      <c r="R228" s="69"/>
      <c r="S228" s="77"/>
      <c r="T228" s="77"/>
      <c r="U228" s="69"/>
      <c r="V228" s="69"/>
      <c r="W228" s="69"/>
      <c r="X228" s="69"/>
      <c r="Y228" s="69"/>
      <c r="Z228" s="69"/>
      <c r="AA228" s="69"/>
      <c r="AB228" s="69"/>
      <c r="AC228" s="69"/>
      <c r="AD228" s="69"/>
      <c r="AE228" s="69"/>
      <c r="AF228" s="69"/>
      <c r="AG228" s="207"/>
      <c r="AH228" s="207"/>
      <c r="AI228" s="207"/>
      <c r="AJ228" s="207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  <c r="BM228" s="69"/>
      <c r="BN228" s="69"/>
      <c r="BO228" s="69"/>
      <c r="BP228" s="69"/>
      <c r="BQ228" s="69"/>
      <c r="BR228" s="69"/>
      <c r="BS228" s="69"/>
      <c r="BT228" s="69"/>
      <c r="BU228" s="69"/>
      <c r="BV228" s="69"/>
      <c r="BW228" s="69"/>
      <c r="BX228" s="69"/>
      <c r="BY228" s="69"/>
      <c r="BZ228" s="69"/>
      <c r="CA228" s="69"/>
      <c r="CB228" s="69"/>
      <c r="CC228" s="69"/>
      <c r="CD228" s="69"/>
      <c r="CE228" s="69"/>
      <c r="CF228" s="69"/>
      <c r="CG228" s="69"/>
      <c r="CH228" s="69"/>
      <c r="CI228" s="69"/>
      <c r="CJ228" s="69"/>
      <c r="CK228" s="69"/>
      <c r="CL228" s="69"/>
      <c r="CM228" s="69"/>
      <c r="CN228" s="69"/>
      <c r="CO228" s="69"/>
      <c r="CP228" s="69"/>
      <c r="CQ228" s="69"/>
      <c r="CR228" s="69"/>
    </row>
    <row r="229" spans="1:96" ht="12.75" customHeight="1">
      <c r="A229" s="784"/>
      <c r="B229" s="69"/>
      <c r="C229" s="69"/>
      <c r="D229" s="69"/>
      <c r="E229" s="69"/>
      <c r="F229" s="69"/>
      <c r="G229" s="77"/>
      <c r="H229" s="77"/>
      <c r="I229" s="77"/>
      <c r="J229" s="366"/>
      <c r="K229" s="77"/>
      <c r="L229" s="77"/>
      <c r="M229" s="77"/>
      <c r="N229" s="77"/>
      <c r="O229" s="69"/>
      <c r="P229" s="69"/>
      <c r="Q229" s="69"/>
      <c r="R229" s="69"/>
      <c r="S229" s="77"/>
      <c r="T229" s="77"/>
      <c r="U229" s="69"/>
      <c r="V229" s="69"/>
      <c r="W229" s="69"/>
      <c r="X229" s="69"/>
      <c r="Y229" s="69"/>
      <c r="Z229" s="69"/>
      <c r="AA229" s="69"/>
      <c r="AB229" s="69"/>
      <c r="AC229" s="69"/>
      <c r="AD229" s="69"/>
      <c r="AE229" s="69"/>
      <c r="AF229" s="69"/>
      <c r="AG229" s="207"/>
      <c r="AH229" s="207"/>
      <c r="AI229" s="207"/>
      <c r="AJ229" s="207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  <c r="BP229" s="69"/>
      <c r="BQ229" s="69"/>
      <c r="BR229" s="69"/>
      <c r="BS229" s="69"/>
      <c r="BT229" s="69"/>
      <c r="BU229" s="69"/>
      <c r="BV229" s="69"/>
      <c r="BW229" s="69"/>
      <c r="BX229" s="69"/>
      <c r="BY229" s="69"/>
      <c r="BZ229" s="69"/>
      <c r="CA229" s="69"/>
      <c r="CB229" s="69"/>
      <c r="CC229" s="69"/>
      <c r="CD229" s="69"/>
      <c r="CE229" s="69"/>
      <c r="CF229" s="69"/>
      <c r="CG229" s="69"/>
      <c r="CH229" s="69"/>
      <c r="CI229" s="69"/>
      <c r="CJ229" s="69"/>
      <c r="CK229" s="69"/>
      <c r="CL229" s="69"/>
      <c r="CM229" s="69"/>
      <c r="CN229" s="69"/>
      <c r="CO229" s="69"/>
      <c r="CP229" s="69"/>
      <c r="CQ229" s="69"/>
      <c r="CR229" s="69"/>
    </row>
    <row r="230" spans="1:96" ht="12.75" customHeight="1">
      <c r="A230" s="784"/>
      <c r="B230" s="69"/>
      <c r="C230" s="69"/>
      <c r="D230" s="69"/>
      <c r="E230" s="69"/>
      <c r="F230" s="69"/>
      <c r="G230" s="77"/>
      <c r="H230" s="77"/>
      <c r="I230" s="77"/>
      <c r="J230" s="366"/>
      <c r="K230" s="77"/>
      <c r="L230" s="77"/>
      <c r="M230" s="77"/>
      <c r="N230" s="77"/>
      <c r="O230" s="69"/>
      <c r="P230" s="69"/>
      <c r="Q230" s="69"/>
      <c r="R230" s="69"/>
      <c r="S230" s="77"/>
      <c r="T230" s="77"/>
      <c r="U230" s="69"/>
      <c r="V230" s="69"/>
      <c r="W230" s="69"/>
      <c r="X230" s="69"/>
      <c r="Y230" s="69"/>
      <c r="Z230" s="69"/>
      <c r="AA230" s="69"/>
      <c r="AB230" s="69"/>
      <c r="AC230" s="69"/>
      <c r="AD230" s="69"/>
      <c r="AE230" s="69"/>
      <c r="AF230" s="69"/>
      <c r="AG230" s="207"/>
      <c r="AH230" s="207"/>
      <c r="AI230" s="207"/>
      <c r="AJ230" s="207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  <c r="BP230" s="69"/>
      <c r="BQ230" s="69"/>
      <c r="BR230" s="69"/>
      <c r="BS230" s="69"/>
      <c r="BT230" s="69"/>
      <c r="BU230" s="69"/>
      <c r="BV230" s="69"/>
      <c r="BW230" s="69"/>
      <c r="BX230" s="69"/>
      <c r="BY230" s="69"/>
      <c r="BZ230" s="69"/>
      <c r="CA230" s="69"/>
      <c r="CB230" s="69"/>
      <c r="CC230" s="69"/>
      <c r="CD230" s="69"/>
      <c r="CE230" s="69"/>
      <c r="CF230" s="69"/>
      <c r="CG230" s="69"/>
      <c r="CH230" s="69"/>
      <c r="CI230" s="69"/>
      <c r="CJ230" s="69"/>
      <c r="CK230" s="69"/>
      <c r="CL230" s="69"/>
      <c r="CM230" s="69"/>
      <c r="CN230" s="69"/>
      <c r="CO230" s="69"/>
      <c r="CP230" s="69"/>
      <c r="CQ230" s="69"/>
      <c r="CR230" s="69"/>
    </row>
    <row r="231" spans="1:96" ht="12.75" customHeight="1">
      <c r="A231" s="784"/>
      <c r="B231" s="69"/>
      <c r="C231" s="69"/>
      <c r="D231" s="69"/>
      <c r="E231" s="69"/>
      <c r="F231" s="69"/>
      <c r="G231" s="77"/>
      <c r="H231" s="77"/>
      <c r="I231" s="77"/>
      <c r="J231" s="366"/>
      <c r="K231" s="77"/>
      <c r="L231" s="77"/>
      <c r="M231" s="77"/>
      <c r="N231" s="77"/>
      <c r="O231" s="69"/>
      <c r="P231" s="69"/>
      <c r="Q231" s="69"/>
      <c r="R231" s="69"/>
      <c r="S231" s="77"/>
      <c r="T231" s="77"/>
      <c r="U231" s="69"/>
      <c r="V231" s="69"/>
      <c r="W231" s="69"/>
      <c r="X231" s="69"/>
      <c r="Y231" s="69"/>
      <c r="Z231" s="69"/>
      <c r="AA231" s="69"/>
      <c r="AB231" s="69"/>
      <c r="AC231" s="69"/>
      <c r="AD231" s="69"/>
      <c r="AE231" s="69"/>
      <c r="AF231" s="69"/>
      <c r="AG231" s="207"/>
      <c r="AH231" s="207"/>
      <c r="AI231" s="207"/>
      <c r="AJ231" s="207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  <c r="BM231" s="69"/>
      <c r="BN231" s="69"/>
      <c r="BO231" s="69"/>
      <c r="BP231" s="69"/>
      <c r="BQ231" s="69"/>
      <c r="BR231" s="69"/>
      <c r="BS231" s="69"/>
      <c r="BT231" s="69"/>
      <c r="BU231" s="69"/>
      <c r="BV231" s="69"/>
      <c r="BW231" s="69"/>
      <c r="BX231" s="69"/>
      <c r="BY231" s="69"/>
      <c r="BZ231" s="69"/>
      <c r="CA231" s="69"/>
      <c r="CB231" s="69"/>
      <c r="CC231" s="69"/>
      <c r="CD231" s="69"/>
      <c r="CE231" s="69"/>
      <c r="CF231" s="69"/>
      <c r="CG231" s="69"/>
      <c r="CH231" s="69"/>
      <c r="CI231" s="69"/>
      <c r="CJ231" s="69"/>
      <c r="CK231" s="69"/>
      <c r="CL231" s="69"/>
      <c r="CM231" s="69"/>
      <c r="CN231" s="69"/>
      <c r="CO231" s="69"/>
      <c r="CP231" s="69"/>
      <c r="CQ231" s="69"/>
      <c r="CR231" s="69"/>
    </row>
    <row r="232" spans="1:96" ht="12.75" customHeight="1">
      <c r="A232" s="784"/>
      <c r="B232" s="69"/>
      <c r="C232" s="69"/>
      <c r="D232" s="69"/>
      <c r="E232" s="69"/>
      <c r="F232" s="69"/>
      <c r="G232" s="77"/>
      <c r="H232" s="77"/>
      <c r="I232" s="77"/>
      <c r="J232" s="366"/>
      <c r="K232" s="77"/>
      <c r="L232" s="77"/>
      <c r="M232" s="77"/>
      <c r="N232" s="77"/>
      <c r="O232" s="69"/>
      <c r="P232" s="69"/>
      <c r="Q232" s="69"/>
      <c r="R232" s="69"/>
      <c r="S232" s="77"/>
      <c r="T232" s="77"/>
      <c r="U232" s="69"/>
      <c r="V232" s="69"/>
      <c r="W232" s="69"/>
      <c r="X232" s="69"/>
      <c r="Y232" s="69"/>
      <c r="Z232" s="69"/>
      <c r="AA232" s="69"/>
      <c r="AB232" s="69"/>
      <c r="AC232" s="69"/>
      <c r="AD232" s="69"/>
      <c r="AE232" s="69"/>
      <c r="AF232" s="69"/>
      <c r="AG232" s="207"/>
      <c r="AH232" s="207"/>
      <c r="AI232" s="207"/>
      <c r="AJ232" s="207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  <c r="BM232" s="69"/>
      <c r="BN232" s="69"/>
      <c r="BO232" s="69"/>
      <c r="BP232" s="69"/>
      <c r="BQ232" s="69"/>
      <c r="BR232" s="69"/>
      <c r="BS232" s="69"/>
      <c r="BT232" s="69"/>
      <c r="BU232" s="69"/>
      <c r="BV232" s="69"/>
      <c r="BW232" s="69"/>
      <c r="BX232" s="69"/>
      <c r="BY232" s="69"/>
      <c r="BZ232" s="69"/>
      <c r="CA232" s="69"/>
      <c r="CB232" s="69"/>
      <c r="CC232" s="69"/>
      <c r="CD232" s="69"/>
      <c r="CE232" s="69"/>
      <c r="CF232" s="69"/>
      <c r="CG232" s="69"/>
      <c r="CH232" s="69"/>
      <c r="CI232" s="69"/>
      <c r="CJ232" s="69"/>
      <c r="CK232" s="69"/>
      <c r="CL232" s="69"/>
      <c r="CM232" s="69"/>
      <c r="CN232" s="69"/>
      <c r="CO232" s="69"/>
      <c r="CP232" s="69"/>
      <c r="CQ232" s="69"/>
      <c r="CR232" s="69"/>
    </row>
    <row r="233" spans="1:96" ht="12.75" customHeight="1">
      <c r="A233" s="784"/>
      <c r="B233" s="69"/>
      <c r="C233" s="69"/>
      <c r="D233" s="69"/>
      <c r="E233" s="69"/>
      <c r="F233" s="69"/>
      <c r="G233" s="77"/>
      <c r="H233" s="77"/>
      <c r="I233" s="77"/>
      <c r="J233" s="366"/>
      <c r="K233" s="77"/>
      <c r="L233" s="77"/>
      <c r="M233" s="77"/>
      <c r="N233" s="77"/>
      <c r="O233" s="69"/>
      <c r="P233" s="69"/>
      <c r="Q233" s="69"/>
      <c r="R233" s="69"/>
      <c r="S233" s="77"/>
      <c r="T233" s="77"/>
      <c r="U233" s="69"/>
      <c r="V233" s="69"/>
      <c r="W233" s="69"/>
      <c r="X233" s="69"/>
      <c r="Y233" s="69"/>
      <c r="Z233" s="69"/>
      <c r="AA233" s="69"/>
      <c r="AB233" s="69"/>
      <c r="AC233" s="69"/>
      <c r="AD233" s="69"/>
      <c r="AE233" s="69"/>
      <c r="AF233" s="69"/>
      <c r="AG233" s="207"/>
      <c r="AH233" s="207"/>
      <c r="AI233" s="207"/>
      <c r="AJ233" s="207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  <c r="BM233" s="69"/>
      <c r="BN233" s="69"/>
      <c r="BO233" s="69"/>
      <c r="BP233" s="69"/>
      <c r="BQ233" s="69"/>
      <c r="BR233" s="69"/>
      <c r="BS233" s="69"/>
      <c r="BT233" s="69"/>
      <c r="BU233" s="69"/>
      <c r="BV233" s="69"/>
      <c r="BW233" s="69"/>
      <c r="BX233" s="69"/>
      <c r="BY233" s="69"/>
      <c r="BZ233" s="69"/>
      <c r="CA233" s="69"/>
      <c r="CB233" s="69"/>
      <c r="CC233" s="69"/>
      <c r="CD233" s="69"/>
      <c r="CE233" s="69"/>
      <c r="CF233" s="69"/>
      <c r="CG233" s="69"/>
      <c r="CH233" s="69"/>
      <c r="CI233" s="69"/>
      <c r="CJ233" s="69"/>
      <c r="CK233" s="69"/>
      <c r="CL233" s="69"/>
      <c r="CM233" s="69"/>
      <c r="CN233" s="69"/>
      <c r="CO233" s="69"/>
      <c r="CP233" s="69"/>
      <c r="CQ233" s="69"/>
      <c r="CR233" s="69"/>
    </row>
    <row r="234" spans="1:96" ht="12.75" customHeight="1">
      <c r="A234" s="784"/>
      <c r="B234" s="69"/>
      <c r="C234" s="69"/>
      <c r="D234" s="69"/>
      <c r="E234" s="69"/>
      <c r="F234" s="69"/>
      <c r="G234" s="77"/>
      <c r="H234" s="77"/>
      <c r="I234" s="77"/>
      <c r="J234" s="366"/>
      <c r="K234" s="77"/>
      <c r="L234" s="77"/>
      <c r="M234" s="77"/>
      <c r="N234" s="77"/>
      <c r="O234" s="69"/>
      <c r="P234" s="69"/>
      <c r="Q234" s="69"/>
      <c r="R234" s="69"/>
      <c r="S234" s="77"/>
      <c r="T234" s="77"/>
      <c r="U234" s="69"/>
      <c r="V234" s="69"/>
      <c r="W234" s="69"/>
      <c r="X234" s="69"/>
      <c r="Y234" s="69"/>
      <c r="Z234" s="69"/>
      <c r="AA234" s="69"/>
      <c r="AB234" s="69"/>
      <c r="AC234" s="69"/>
      <c r="AD234" s="69"/>
      <c r="AE234" s="69"/>
      <c r="AF234" s="69"/>
      <c r="AG234" s="207"/>
      <c r="AH234" s="207"/>
      <c r="AI234" s="207"/>
      <c r="AJ234" s="207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  <c r="BM234" s="69"/>
      <c r="BN234" s="69"/>
      <c r="BO234" s="69"/>
      <c r="BP234" s="69"/>
      <c r="BQ234" s="69"/>
      <c r="BR234" s="69"/>
      <c r="BS234" s="69"/>
      <c r="BT234" s="69"/>
      <c r="BU234" s="69"/>
      <c r="BV234" s="69"/>
      <c r="BW234" s="69"/>
      <c r="BX234" s="69"/>
      <c r="BY234" s="69"/>
      <c r="BZ234" s="69"/>
      <c r="CA234" s="69"/>
      <c r="CB234" s="69"/>
      <c r="CC234" s="69"/>
      <c r="CD234" s="69"/>
      <c r="CE234" s="69"/>
      <c r="CF234" s="69"/>
      <c r="CG234" s="69"/>
      <c r="CH234" s="69"/>
      <c r="CI234" s="69"/>
      <c r="CJ234" s="69"/>
      <c r="CK234" s="69"/>
      <c r="CL234" s="69"/>
      <c r="CM234" s="69"/>
      <c r="CN234" s="69"/>
      <c r="CO234" s="69"/>
      <c r="CP234" s="69"/>
      <c r="CQ234" s="69"/>
      <c r="CR234" s="69"/>
    </row>
    <row r="235" spans="1:96" ht="12.75" customHeight="1">
      <c r="A235" s="784"/>
      <c r="B235" s="69"/>
      <c r="C235" s="69"/>
      <c r="D235" s="69"/>
      <c r="E235" s="69"/>
      <c r="F235" s="69"/>
      <c r="G235" s="77"/>
      <c r="H235" s="77"/>
      <c r="I235" s="77"/>
      <c r="J235" s="366"/>
      <c r="K235" s="77"/>
      <c r="L235" s="77"/>
      <c r="M235" s="77"/>
      <c r="N235" s="77"/>
      <c r="O235" s="69"/>
      <c r="P235" s="69"/>
      <c r="Q235" s="69"/>
      <c r="R235" s="69"/>
      <c r="S235" s="77"/>
      <c r="T235" s="77"/>
      <c r="U235" s="69"/>
      <c r="V235" s="69"/>
      <c r="W235" s="69"/>
      <c r="X235" s="69"/>
      <c r="Y235" s="69"/>
      <c r="Z235" s="69"/>
      <c r="AA235" s="69"/>
      <c r="AB235" s="69"/>
      <c r="AC235" s="69"/>
      <c r="AD235" s="69"/>
      <c r="AE235" s="69"/>
      <c r="AF235" s="69"/>
      <c r="AG235" s="207"/>
      <c r="AH235" s="207"/>
      <c r="AI235" s="207"/>
      <c r="AJ235" s="207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  <c r="BP235" s="69"/>
      <c r="BQ235" s="69"/>
      <c r="BR235" s="69"/>
      <c r="BS235" s="69"/>
      <c r="BT235" s="69"/>
      <c r="BU235" s="69"/>
      <c r="BV235" s="69"/>
      <c r="BW235" s="69"/>
      <c r="BX235" s="69"/>
      <c r="BY235" s="69"/>
      <c r="BZ235" s="69"/>
      <c r="CA235" s="69"/>
      <c r="CB235" s="69"/>
      <c r="CC235" s="69"/>
      <c r="CD235" s="69"/>
      <c r="CE235" s="69"/>
      <c r="CF235" s="69"/>
      <c r="CG235" s="69"/>
      <c r="CH235" s="69"/>
      <c r="CI235" s="69"/>
      <c r="CJ235" s="69"/>
      <c r="CK235" s="69"/>
      <c r="CL235" s="69"/>
      <c r="CM235" s="69"/>
      <c r="CN235" s="69"/>
      <c r="CO235" s="69"/>
      <c r="CP235" s="69"/>
      <c r="CQ235" s="69"/>
      <c r="CR235" s="69"/>
    </row>
    <row r="236" spans="1:96" ht="12.75" customHeight="1">
      <c r="A236" s="784"/>
      <c r="B236" s="69"/>
      <c r="C236" s="69"/>
      <c r="D236" s="69"/>
      <c r="E236" s="69"/>
      <c r="F236" s="69"/>
      <c r="G236" s="77"/>
      <c r="H236" s="77"/>
      <c r="I236" s="77"/>
      <c r="J236" s="366"/>
      <c r="K236" s="77"/>
      <c r="L236" s="77"/>
      <c r="M236" s="77"/>
      <c r="N236" s="77"/>
      <c r="O236" s="69"/>
      <c r="P236" s="69"/>
      <c r="Q236" s="69"/>
      <c r="R236" s="69"/>
      <c r="S236" s="77"/>
      <c r="T236" s="77"/>
      <c r="U236" s="69"/>
      <c r="V236" s="69"/>
      <c r="W236" s="69"/>
      <c r="X236" s="69"/>
      <c r="Y236" s="69"/>
      <c r="Z236" s="69"/>
      <c r="AA236" s="69"/>
      <c r="AB236" s="69"/>
      <c r="AC236" s="69"/>
      <c r="AD236" s="69"/>
      <c r="AE236" s="69"/>
      <c r="AF236" s="69"/>
      <c r="AG236" s="207"/>
      <c r="AH236" s="207"/>
      <c r="AI236" s="207"/>
      <c r="AJ236" s="207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  <c r="BP236" s="69"/>
      <c r="BQ236" s="69"/>
      <c r="BR236" s="69"/>
      <c r="BS236" s="69"/>
      <c r="BT236" s="69"/>
      <c r="BU236" s="69"/>
      <c r="BV236" s="69"/>
      <c r="BW236" s="69"/>
      <c r="BX236" s="69"/>
      <c r="BY236" s="69"/>
      <c r="BZ236" s="69"/>
      <c r="CA236" s="69"/>
      <c r="CB236" s="69"/>
      <c r="CC236" s="69"/>
      <c r="CD236" s="69"/>
      <c r="CE236" s="69"/>
      <c r="CF236" s="69"/>
      <c r="CG236" s="69"/>
      <c r="CH236" s="69"/>
      <c r="CI236" s="69"/>
      <c r="CJ236" s="69"/>
      <c r="CK236" s="69"/>
      <c r="CL236" s="69"/>
      <c r="CM236" s="69"/>
      <c r="CN236" s="69"/>
      <c r="CO236" s="69"/>
      <c r="CP236" s="69"/>
      <c r="CQ236" s="69"/>
      <c r="CR236" s="69"/>
    </row>
    <row r="237" spans="1:96" ht="12.75" customHeight="1">
      <c r="A237" s="784"/>
      <c r="B237" s="69"/>
      <c r="C237" s="69"/>
      <c r="D237" s="69"/>
      <c r="E237" s="69"/>
      <c r="F237" s="69"/>
      <c r="G237" s="77"/>
      <c r="H237" s="77"/>
      <c r="I237" s="77"/>
      <c r="J237" s="366"/>
      <c r="K237" s="77"/>
      <c r="L237" s="77"/>
      <c r="M237" s="77"/>
      <c r="N237" s="77"/>
      <c r="O237" s="69"/>
      <c r="P237" s="69"/>
      <c r="Q237" s="69"/>
      <c r="R237" s="69"/>
      <c r="S237" s="77"/>
      <c r="T237" s="77"/>
      <c r="U237" s="69"/>
      <c r="V237" s="69"/>
      <c r="W237" s="69"/>
      <c r="X237" s="69"/>
      <c r="Y237" s="69"/>
      <c r="Z237" s="69"/>
      <c r="AA237" s="69"/>
      <c r="AB237" s="69"/>
      <c r="AC237" s="69"/>
      <c r="AD237" s="69"/>
      <c r="AE237" s="69"/>
      <c r="AF237" s="69"/>
      <c r="AG237" s="207"/>
      <c r="AH237" s="207"/>
      <c r="AI237" s="207"/>
      <c r="AJ237" s="207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  <c r="BP237" s="69"/>
      <c r="BQ237" s="69"/>
      <c r="BR237" s="69"/>
      <c r="BS237" s="69"/>
      <c r="BT237" s="69"/>
      <c r="BU237" s="69"/>
      <c r="BV237" s="69"/>
      <c r="BW237" s="69"/>
      <c r="BX237" s="69"/>
      <c r="BY237" s="69"/>
      <c r="BZ237" s="69"/>
      <c r="CA237" s="69"/>
      <c r="CB237" s="69"/>
      <c r="CC237" s="69"/>
      <c r="CD237" s="69"/>
      <c r="CE237" s="69"/>
      <c r="CF237" s="69"/>
      <c r="CG237" s="69"/>
      <c r="CH237" s="69"/>
      <c r="CI237" s="69"/>
      <c r="CJ237" s="69"/>
      <c r="CK237" s="69"/>
      <c r="CL237" s="69"/>
      <c r="CM237" s="69"/>
      <c r="CN237" s="69"/>
      <c r="CO237" s="69"/>
      <c r="CP237" s="69"/>
      <c r="CQ237" s="69"/>
      <c r="CR237" s="69"/>
    </row>
    <row r="238" spans="1:96" ht="12.75" customHeight="1">
      <c r="A238" s="784"/>
      <c r="B238" s="69"/>
      <c r="C238" s="69"/>
      <c r="D238" s="69"/>
      <c r="E238" s="69"/>
      <c r="F238" s="69"/>
      <c r="G238" s="77"/>
      <c r="H238" s="77"/>
      <c r="I238" s="77"/>
      <c r="J238" s="366"/>
      <c r="K238" s="77"/>
      <c r="L238" s="77"/>
      <c r="M238" s="77"/>
      <c r="N238" s="77"/>
      <c r="O238" s="69"/>
      <c r="P238" s="69"/>
      <c r="Q238" s="69"/>
      <c r="R238" s="69"/>
      <c r="S238" s="77"/>
      <c r="T238" s="77"/>
      <c r="U238" s="69"/>
      <c r="V238" s="69"/>
      <c r="W238" s="69"/>
      <c r="X238" s="69"/>
      <c r="Y238" s="69"/>
      <c r="Z238" s="69"/>
      <c r="AA238" s="69"/>
      <c r="AB238" s="69"/>
      <c r="AC238" s="69"/>
      <c r="AD238" s="69"/>
      <c r="AE238" s="69"/>
      <c r="AF238" s="69"/>
      <c r="AG238" s="207"/>
      <c r="AH238" s="207"/>
      <c r="AI238" s="207"/>
      <c r="AJ238" s="207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  <c r="BP238" s="69"/>
      <c r="BQ238" s="69"/>
      <c r="BR238" s="69"/>
      <c r="BS238" s="69"/>
      <c r="BT238" s="69"/>
      <c r="BU238" s="69"/>
      <c r="BV238" s="69"/>
      <c r="BW238" s="69"/>
      <c r="BX238" s="69"/>
      <c r="BY238" s="69"/>
      <c r="BZ238" s="69"/>
      <c r="CA238" s="69"/>
      <c r="CB238" s="69"/>
      <c r="CC238" s="69"/>
      <c r="CD238" s="69"/>
      <c r="CE238" s="69"/>
      <c r="CF238" s="69"/>
      <c r="CG238" s="69"/>
      <c r="CH238" s="69"/>
      <c r="CI238" s="69"/>
      <c r="CJ238" s="69"/>
      <c r="CK238" s="69"/>
      <c r="CL238" s="69"/>
      <c r="CM238" s="69"/>
      <c r="CN238" s="69"/>
      <c r="CO238" s="69"/>
      <c r="CP238" s="69"/>
      <c r="CQ238" s="69"/>
      <c r="CR238" s="69"/>
    </row>
    <row r="239" spans="1:96" ht="12.75" customHeight="1">
      <c r="A239" s="784"/>
      <c r="B239" s="69"/>
      <c r="C239" s="69"/>
      <c r="D239" s="69"/>
      <c r="E239" s="69"/>
      <c r="F239" s="69"/>
      <c r="G239" s="77"/>
      <c r="H239" s="77"/>
      <c r="I239" s="77"/>
      <c r="J239" s="366"/>
      <c r="K239" s="77"/>
      <c r="L239" s="77"/>
      <c r="M239" s="77"/>
      <c r="N239" s="77"/>
      <c r="O239" s="69"/>
      <c r="P239" s="69"/>
      <c r="Q239" s="69"/>
      <c r="R239" s="69"/>
      <c r="S239" s="77"/>
      <c r="T239" s="77"/>
      <c r="U239" s="69"/>
      <c r="V239" s="69"/>
      <c r="W239" s="69"/>
      <c r="X239" s="69"/>
      <c r="Y239" s="69"/>
      <c r="Z239" s="69"/>
      <c r="AA239" s="69"/>
      <c r="AB239" s="69"/>
      <c r="AC239" s="69"/>
      <c r="AD239" s="69"/>
      <c r="AE239" s="69"/>
      <c r="AF239" s="69"/>
      <c r="AG239" s="207"/>
      <c r="AH239" s="207"/>
      <c r="AI239" s="207"/>
      <c r="AJ239" s="207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  <c r="BP239" s="69"/>
      <c r="BQ239" s="69"/>
      <c r="BR239" s="69"/>
      <c r="BS239" s="69"/>
      <c r="BT239" s="69"/>
      <c r="BU239" s="69"/>
      <c r="BV239" s="69"/>
      <c r="BW239" s="69"/>
      <c r="BX239" s="69"/>
      <c r="BY239" s="69"/>
      <c r="BZ239" s="69"/>
      <c r="CA239" s="69"/>
      <c r="CB239" s="69"/>
      <c r="CC239" s="69"/>
      <c r="CD239" s="69"/>
      <c r="CE239" s="69"/>
      <c r="CF239" s="69"/>
      <c r="CG239" s="69"/>
      <c r="CH239" s="69"/>
      <c r="CI239" s="69"/>
      <c r="CJ239" s="69"/>
      <c r="CK239" s="69"/>
      <c r="CL239" s="69"/>
      <c r="CM239" s="69"/>
      <c r="CN239" s="69"/>
      <c r="CO239" s="69"/>
      <c r="CP239" s="69"/>
      <c r="CQ239" s="69"/>
      <c r="CR239" s="69"/>
    </row>
    <row r="240" spans="1:96" ht="12.75" customHeight="1">
      <c r="A240" s="784"/>
      <c r="B240" s="69"/>
      <c r="C240" s="69"/>
      <c r="D240" s="69"/>
      <c r="E240" s="69"/>
      <c r="F240" s="69"/>
      <c r="G240" s="77"/>
      <c r="H240" s="77"/>
      <c r="I240" s="77"/>
      <c r="J240" s="366"/>
      <c r="K240" s="77"/>
      <c r="L240" s="77"/>
      <c r="M240" s="77"/>
      <c r="N240" s="77"/>
      <c r="O240" s="69"/>
      <c r="P240" s="69"/>
      <c r="Q240" s="69"/>
      <c r="R240" s="69"/>
      <c r="S240" s="77"/>
      <c r="T240" s="77"/>
      <c r="U240" s="69"/>
      <c r="V240" s="69"/>
      <c r="W240" s="69"/>
      <c r="X240" s="69"/>
      <c r="Y240" s="69"/>
      <c r="Z240" s="69"/>
      <c r="AA240" s="69"/>
      <c r="AB240" s="69"/>
      <c r="AC240" s="69"/>
      <c r="AD240" s="69"/>
      <c r="AE240" s="69"/>
      <c r="AF240" s="69"/>
      <c r="AG240" s="207"/>
      <c r="AH240" s="207"/>
      <c r="AI240" s="207"/>
      <c r="AJ240" s="207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  <c r="BP240" s="69"/>
      <c r="BQ240" s="69"/>
      <c r="BR240" s="69"/>
      <c r="BS240" s="69"/>
      <c r="BT240" s="69"/>
      <c r="BU240" s="69"/>
      <c r="BV240" s="69"/>
      <c r="BW240" s="69"/>
      <c r="BX240" s="69"/>
      <c r="BY240" s="69"/>
      <c r="BZ240" s="69"/>
      <c r="CA240" s="69"/>
      <c r="CB240" s="69"/>
      <c r="CC240" s="69"/>
      <c r="CD240" s="69"/>
      <c r="CE240" s="69"/>
      <c r="CF240" s="69"/>
      <c r="CG240" s="69"/>
      <c r="CH240" s="69"/>
      <c r="CI240" s="69"/>
      <c r="CJ240" s="69"/>
      <c r="CK240" s="69"/>
      <c r="CL240" s="69"/>
      <c r="CM240" s="69"/>
      <c r="CN240" s="69"/>
      <c r="CO240" s="69"/>
      <c r="CP240" s="69"/>
      <c r="CQ240" s="69"/>
      <c r="CR240" s="69"/>
    </row>
    <row r="241" spans="1:96" ht="12.75" customHeight="1">
      <c r="A241" s="784"/>
      <c r="B241" s="69"/>
      <c r="C241" s="69"/>
      <c r="D241" s="69"/>
      <c r="E241" s="69"/>
      <c r="F241" s="69"/>
      <c r="G241" s="77"/>
      <c r="H241" s="77"/>
      <c r="I241" s="77"/>
      <c r="J241" s="366"/>
      <c r="K241" s="77"/>
      <c r="L241" s="77"/>
      <c r="M241" s="77"/>
      <c r="N241" s="77"/>
      <c r="O241" s="69"/>
      <c r="P241" s="69"/>
      <c r="Q241" s="69"/>
      <c r="R241" s="69"/>
      <c r="S241" s="77"/>
      <c r="T241" s="77"/>
      <c r="U241" s="69"/>
      <c r="V241" s="69"/>
      <c r="W241" s="69"/>
      <c r="X241" s="69"/>
      <c r="Y241" s="69"/>
      <c r="Z241" s="69"/>
      <c r="AA241" s="69"/>
      <c r="AB241" s="69"/>
      <c r="AC241" s="69"/>
      <c r="AD241" s="69"/>
      <c r="AE241" s="69"/>
      <c r="AF241" s="69"/>
      <c r="AG241" s="207"/>
      <c r="AH241" s="207"/>
      <c r="AI241" s="207"/>
      <c r="AJ241" s="207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  <c r="BP241" s="69"/>
      <c r="BQ241" s="69"/>
      <c r="BR241" s="69"/>
      <c r="BS241" s="69"/>
      <c r="BT241" s="69"/>
      <c r="BU241" s="69"/>
      <c r="BV241" s="69"/>
      <c r="BW241" s="69"/>
      <c r="BX241" s="69"/>
      <c r="BY241" s="69"/>
      <c r="BZ241" s="69"/>
      <c r="CA241" s="69"/>
      <c r="CB241" s="69"/>
      <c r="CC241" s="69"/>
      <c r="CD241" s="69"/>
      <c r="CE241" s="69"/>
      <c r="CF241" s="69"/>
      <c r="CG241" s="69"/>
      <c r="CH241" s="69"/>
      <c r="CI241" s="69"/>
      <c r="CJ241" s="69"/>
      <c r="CK241" s="69"/>
      <c r="CL241" s="69"/>
      <c r="CM241" s="69"/>
      <c r="CN241" s="69"/>
      <c r="CO241" s="69"/>
      <c r="CP241" s="69"/>
      <c r="CQ241" s="69"/>
      <c r="CR241" s="69"/>
    </row>
    <row r="242" spans="1:96" ht="12.75" customHeight="1">
      <c r="A242" s="784"/>
      <c r="B242" s="69"/>
      <c r="C242" s="69"/>
      <c r="D242" s="69"/>
      <c r="E242" s="69"/>
      <c r="F242" s="69"/>
      <c r="G242" s="77"/>
      <c r="H242" s="77"/>
      <c r="I242" s="77"/>
      <c r="J242" s="366"/>
      <c r="K242" s="77"/>
      <c r="L242" s="77"/>
      <c r="M242" s="77"/>
      <c r="N242" s="77"/>
      <c r="O242" s="69"/>
      <c r="P242" s="69"/>
      <c r="Q242" s="69"/>
      <c r="R242" s="69"/>
      <c r="S242" s="77"/>
      <c r="T242" s="77"/>
      <c r="U242" s="69"/>
      <c r="V242" s="69"/>
      <c r="W242" s="69"/>
      <c r="X242" s="69"/>
      <c r="Y242" s="69"/>
      <c r="Z242" s="69"/>
      <c r="AA242" s="69"/>
      <c r="AB242" s="69"/>
      <c r="AC242" s="69"/>
      <c r="AD242" s="69"/>
      <c r="AE242" s="69"/>
      <c r="AF242" s="69"/>
      <c r="AG242" s="207"/>
      <c r="AH242" s="207"/>
      <c r="AI242" s="207"/>
      <c r="AJ242" s="207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  <c r="BP242" s="69"/>
      <c r="BQ242" s="69"/>
      <c r="BR242" s="69"/>
      <c r="BS242" s="69"/>
      <c r="BT242" s="69"/>
      <c r="BU242" s="69"/>
      <c r="BV242" s="69"/>
      <c r="BW242" s="69"/>
      <c r="BX242" s="69"/>
      <c r="BY242" s="69"/>
      <c r="BZ242" s="69"/>
      <c r="CA242" s="69"/>
      <c r="CB242" s="69"/>
      <c r="CC242" s="69"/>
      <c r="CD242" s="69"/>
      <c r="CE242" s="69"/>
      <c r="CF242" s="69"/>
      <c r="CG242" s="69"/>
      <c r="CH242" s="69"/>
      <c r="CI242" s="69"/>
      <c r="CJ242" s="69"/>
      <c r="CK242" s="69"/>
      <c r="CL242" s="69"/>
      <c r="CM242" s="69"/>
      <c r="CN242" s="69"/>
      <c r="CO242" s="69"/>
      <c r="CP242" s="69"/>
      <c r="CQ242" s="69"/>
      <c r="CR242" s="69"/>
    </row>
    <row r="243" spans="1:96" ht="12.75" customHeight="1">
      <c r="A243" s="784"/>
      <c r="B243" s="69"/>
      <c r="C243" s="69"/>
      <c r="D243" s="69"/>
      <c r="E243" s="69"/>
      <c r="F243" s="69"/>
      <c r="G243" s="77"/>
      <c r="H243" s="77"/>
      <c r="I243" s="77"/>
      <c r="J243" s="366"/>
      <c r="K243" s="77"/>
      <c r="L243" s="77"/>
      <c r="M243" s="77"/>
      <c r="N243" s="77"/>
      <c r="O243" s="69"/>
      <c r="P243" s="69"/>
      <c r="Q243" s="69"/>
      <c r="R243" s="69"/>
      <c r="S243" s="77"/>
      <c r="T243" s="77"/>
      <c r="U243" s="69"/>
      <c r="V243" s="69"/>
      <c r="W243" s="69"/>
      <c r="X243" s="69"/>
      <c r="Y243" s="69"/>
      <c r="Z243" s="69"/>
      <c r="AA243" s="69"/>
      <c r="AB243" s="69"/>
      <c r="AC243" s="69"/>
      <c r="AD243" s="69"/>
      <c r="AE243" s="69"/>
      <c r="AF243" s="69"/>
      <c r="AG243" s="207"/>
      <c r="AH243" s="207"/>
      <c r="AI243" s="207"/>
      <c r="AJ243" s="207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  <c r="BP243" s="69"/>
      <c r="BQ243" s="69"/>
      <c r="BR243" s="69"/>
      <c r="BS243" s="69"/>
      <c r="BT243" s="69"/>
      <c r="BU243" s="69"/>
      <c r="BV243" s="69"/>
      <c r="BW243" s="69"/>
      <c r="BX243" s="69"/>
      <c r="BY243" s="69"/>
      <c r="BZ243" s="69"/>
      <c r="CA243" s="69"/>
      <c r="CB243" s="69"/>
      <c r="CC243" s="69"/>
      <c r="CD243" s="69"/>
      <c r="CE243" s="69"/>
      <c r="CF243" s="69"/>
      <c r="CG243" s="69"/>
      <c r="CH243" s="69"/>
      <c r="CI243" s="69"/>
      <c r="CJ243" s="69"/>
      <c r="CK243" s="69"/>
      <c r="CL243" s="69"/>
      <c r="CM243" s="69"/>
      <c r="CN243" s="69"/>
      <c r="CO243" s="69"/>
      <c r="CP243" s="69"/>
      <c r="CQ243" s="69"/>
      <c r="CR243" s="69"/>
    </row>
    <row r="244" spans="1:96" ht="12.75" customHeight="1">
      <c r="A244" s="784"/>
      <c r="B244" s="69"/>
      <c r="C244" s="69"/>
      <c r="D244" s="69"/>
      <c r="E244" s="69"/>
      <c r="F244" s="69"/>
      <c r="G244" s="77"/>
      <c r="H244" s="77"/>
      <c r="I244" s="77"/>
      <c r="J244" s="366"/>
      <c r="K244" s="77"/>
      <c r="L244" s="77"/>
      <c r="M244" s="77"/>
      <c r="N244" s="77"/>
      <c r="O244" s="69"/>
      <c r="P244" s="69"/>
      <c r="Q244" s="69"/>
      <c r="R244" s="69"/>
      <c r="S244" s="77"/>
      <c r="T244" s="77"/>
      <c r="U244" s="69"/>
      <c r="V244" s="69"/>
      <c r="W244" s="69"/>
      <c r="X244" s="69"/>
      <c r="Y244" s="69"/>
      <c r="Z244" s="69"/>
      <c r="AA244" s="69"/>
      <c r="AB244" s="69"/>
      <c r="AC244" s="69"/>
      <c r="AD244" s="69"/>
      <c r="AE244" s="69"/>
      <c r="AF244" s="69"/>
      <c r="AG244" s="207"/>
      <c r="AH244" s="207"/>
      <c r="AI244" s="207"/>
      <c r="AJ244" s="207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9"/>
      <c r="BP244" s="69"/>
      <c r="BQ244" s="69"/>
      <c r="BR244" s="69"/>
      <c r="BS244" s="69"/>
      <c r="BT244" s="69"/>
      <c r="BU244" s="69"/>
      <c r="BV244" s="69"/>
      <c r="BW244" s="69"/>
      <c r="BX244" s="69"/>
      <c r="BY244" s="69"/>
      <c r="BZ244" s="69"/>
      <c r="CA244" s="69"/>
      <c r="CB244" s="69"/>
      <c r="CC244" s="69"/>
      <c r="CD244" s="69"/>
      <c r="CE244" s="69"/>
      <c r="CF244" s="69"/>
      <c r="CG244" s="69"/>
      <c r="CH244" s="69"/>
      <c r="CI244" s="69"/>
      <c r="CJ244" s="69"/>
      <c r="CK244" s="69"/>
      <c r="CL244" s="69"/>
      <c r="CM244" s="69"/>
      <c r="CN244" s="69"/>
      <c r="CO244" s="69"/>
      <c r="CP244" s="69"/>
      <c r="CQ244" s="69"/>
      <c r="CR244" s="69"/>
    </row>
    <row r="245" spans="1:96" ht="12.75" customHeight="1">
      <c r="A245" s="784"/>
      <c r="B245" s="69"/>
      <c r="C245" s="69"/>
      <c r="D245" s="69"/>
      <c r="E245" s="69"/>
      <c r="F245" s="69"/>
      <c r="G245" s="77"/>
      <c r="H245" s="77"/>
      <c r="I245" s="77"/>
      <c r="J245" s="366"/>
      <c r="K245" s="77"/>
      <c r="L245" s="77"/>
      <c r="M245" s="77"/>
      <c r="N245" s="77"/>
      <c r="O245" s="69"/>
      <c r="P245" s="69"/>
      <c r="Q245" s="69"/>
      <c r="R245" s="69"/>
      <c r="S245" s="77"/>
      <c r="T245" s="77"/>
      <c r="U245" s="69"/>
      <c r="V245" s="69"/>
      <c r="W245" s="69"/>
      <c r="X245" s="69"/>
      <c r="Y245" s="69"/>
      <c r="Z245" s="69"/>
      <c r="AA245" s="69"/>
      <c r="AB245" s="69"/>
      <c r="AC245" s="69"/>
      <c r="AD245" s="69"/>
      <c r="AE245" s="69"/>
      <c r="AF245" s="69"/>
      <c r="AG245" s="207"/>
      <c r="AH245" s="207"/>
      <c r="AI245" s="207"/>
      <c r="AJ245" s="207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9"/>
      <c r="BP245" s="69"/>
      <c r="BQ245" s="69"/>
      <c r="BR245" s="69"/>
      <c r="BS245" s="69"/>
      <c r="BT245" s="69"/>
      <c r="BU245" s="69"/>
      <c r="BV245" s="69"/>
      <c r="BW245" s="69"/>
      <c r="BX245" s="69"/>
      <c r="BY245" s="69"/>
      <c r="BZ245" s="69"/>
      <c r="CA245" s="69"/>
      <c r="CB245" s="69"/>
      <c r="CC245" s="69"/>
      <c r="CD245" s="69"/>
      <c r="CE245" s="69"/>
      <c r="CF245" s="69"/>
      <c r="CG245" s="69"/>
      <c r="CH245" s="69"/>
      <c r="CI245" s="69"/>
      <c r="CJ245" s="69"/>
      <c r="CK245" s="69"/>
      <c r="CL245" s="69"/>
      <c r="CM245" s="69"/>
      <c r="CN245" s="69"/>
      <c r="CO245" s="69"/>
      <c r="CP245" s="69"/>
      <c r="CQ245" s="69"/>
      <c r="CR245" s="69"/>
    </row>
    <row r="246" spans="1:96" ht="12.75" customHeight="1">
      <c r="A246" s="784"/>
      <c r="B246" s="69"/>
      <c r="C246" s="69"/>
      <c r="D246" s="69"/>
      <c r="E246" s="69"/>
      <c r="F246" s="69"/>
      <c r="G246" s="77"/>
      <c r="H246" s="77"/>
      <c r="I246" s="77"/>
      <c r="J246" s="366"/>
      <c r="K246" s="77"/>
      <c r="L246" s="77"/>
      <c r="M246" s="77"/>
      <c r="N246" s="77"/>
      <c r="O246" s="69"/>
      <c r="P246" s="69"/>
      <c r="Q246" s="69"/>
      <c r="R246" s="69"/>
      <c r="S246" s="77"/>
      <c r="T246" s="77"/>
      <c r="U246" s="69"/>
      <c r="V246" s="69"/>
      <c r="W246" s="69"/>
      <c r="X246" s="69"/>
      <c r="Y246" s="69"/>
      <c r="Z246" s="69"/>
      <c r="AA246" s="69"/>
      <c r="AB246" s="69"/>
      <c r="AC246" s="69"/>
      <c r="AD246" s="69"/>
      <c r="AE246" s="69"/>
      <c r="AF246" s="69"/>
      <c r="AG246" s="207"/>
      <c r="AH246" s="207"/>
      <c r="AI246" s="207"/>
      <c r="AJ246" s="207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9"/>
      <c r="BP246" s="69"/>
      <c r="BQ246" s="69"/>
      <c r="BR246" s="69"/>
      <c r="BS246" s="69"/>
      <c r="BT246" s="69"/>
      <c r="BU246" s="69"/>
      <c r="BV246" s="69"/>
      <c r="BW246" s="69"/>
      <c r="BX246" s="69"/>
      <c r="BY246" s="69"/>
      <c r="BZ246" s="69"/>
      <c r="CA246" s="69"/>
      <c r="CB246" s="69"/>
      <c r="CC246" s="69"/>
      <c r="CD246" s="69"/>
      <c r="CE246" s="69"/>
      <c r="CF246" s="69"/>
      <c r="CG246" s="69"/>
      <c r="CH246" s="69"/>
      <c r="CI246" s="69"/>
      <c r="CJ246" s="69"/>
      <c r="CK246" s="69"/>
      <c r="CL246" s="69"/>
      <c r="CM246" s="69"/>
      <c r="CN246" s="69"/>
      <c r="CO246" s="69"/>
      <c r="CP246" s="69"/>
      <c r="CQ246" s="69"/>
      <c r="CR246" s="69"/>
    </row>
    <row r="247" spans="1:96" ht="12.75" customHeight="1">
      <c r="A247" s="784"/>
      <c r="B247" s="69"/>
      <c r="C247" s="69"/>
      <c r="D247" s="69"/>
      <c r="E247" s="69"/>
      <c r="F247" s="69"/>
      <c r="G247" s="77"/>
      <c r="H247" s="77"/>
      <c r="I247" s="77"/>
      <c r="J247" s="366"/>
      <c r="K247" s="77"/>
      <c r="L247" s="77"/>
      <c r="M247" s="77"/>
      <c r="N247" s="77"/>
      <c r="O247" s="69"/>
      <c r="P247" s="69"/>
      <c r="Q247" s="69"/>
      <c r="R247" s="69"/>
      <c r="S247" s="77"/>
      <c r="T247" s="77"/>
      <c r="U247" s="69"/>
      <c r="V247" s="69"/>
      <c r="W247" s="69"/>
      <c r="X247" s="69"/>
      <c r="Y247" s="69"/>
      <c r="Z247" s="69"/>
      <c r="AA247" s="69"/>
      <c r="AB247" s="69"/>
      <c r="AC247" s="69"/>
      <c r="AD247" s="69"/>
      <c r="AE247" s="69"/>
      <c r="AF247" s="69"/>
      <c r="AG247" s="207"/>
      <c r="AH247" s="207"/>
      <c r="AI247" s="207"/>
      <c r="AJ247" s="207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  <c r="BP247" s="69"/>
      <c r="BQ247" s="69"/>
      <c r="BR247" s="69"/>
      <c r="BS247" s="69"/>
      <c r="BT247" s="69"/>
      <c r="BU247" s="69"/>
      <c r="BV247" s="69"/>
      <c r="BW247" s="69"/>
      <c r="BX247" s="69"/>
      <c r="BY247" s="69"/>
      <c r="BZ247" s="69"/>
      <c r="CA247" s="69"/>
      <c r="CB247" s="69"/>
      <c r="CC247" s="69"/>
      <c r="CD247" s="69"/>
      <c r="CE247" s="69"/>
      <c r="CF247" s="69"/>
      <c r="CG247" s="69"/>
      <c r="CH247" s="69"/>
      <c r="CI247" s="69"/>
      <c r="CJ247" s="69"/>
      <c r="CK247" s="69"/>
      <c r="CL247" s="69"/>
      <c r="CM247" s="69"/>
      <c r="CN247" s="69"/>
      <c r="CO247" s="69"/>
      <c r="CP247" s="69"/>
      <c r="CQ247" s="69"/>
      <c r="CR247" s="69"/>
    </row>
    <row r="248" spans="1:96" ht="12.75" customHeight="1">
      <c r="A248" s="784"/>
      <c r="B248" s="69"/>
      <c r="C248" s="69"/>
      <c r="D248" s="69"/>
      <c r="E248" s="69"/>
      <c r="F248" s="69"/>
      <c r="G248" s="77"/>
      <c r="H248" s="77"/>
      <c r="I248" s="77"/>
      <c r="J248" s="366"/>
      <c r="K248" s="77"/>
      <c r="L248" s="77"/>
      <c r="M248" s="77"/>
      <c r="N248" s="77"/>
      <c r="O248" s="69"/>
      <c r="P248" s="69"/>
      <c r="Q248" s="69"/>
      <c r="R248" s="69"/>
      <c r="S248" s="77"/>
      <c r="T248" s="77"/>
      <c r="U248" s="69"/>
      <c r="V248" s="69"/>
      <c r="W248" s="69"/>
      <c r="X248" s="69"/>
      <c r="Y248" s="69"/>
      <c r="Z248" s="69"/>
      <c r="AA248" s="69"/>
      <c r="AB248" s="69"/>
      <c r="AC248" s="69"/>
      <c r="AD248" s="69"/>
      <c r="AE248" s="69"/>
      <c r="AF248" s="69"/>
      <c r="AG248" s="207"/>
      <c r="AH248" s="207"/>
      <c r="AI248" s="207"/>
      <c r="AJ248" s="207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  <c r="BP248" s="69"/>
      <c r="BQ248" s="69"/>
      <c r="BR248" s="69"/>
      <c r="BS248" s="69"/>
      <c r="BT248" s="69"/>
      <c r="BU248" s="69"/>
      <c r="BV248" s="69"/>
      <c r="BW248" s="69"/>
      <c r="BX248" s="69"/>
      <c r="BY248" s="69"/>
      <c r="BZ248" s="69"/>
      <c r="CA248" s="69"/>
      <c r="CB248" s="69"/>
      <c r="CC248" s="69"/>
      <c r="CD248" s="69"/>
      <c r="CE248" s="69"/>
      <c r="CF248" s="69"/>
      <c r="CG248" s="69"/>
      <c r="CH248" s="69"/>
      <c r="CI248" s="69"/>
      <c r="CJ248" s="69"/>
      <c r="CK248" s="69"/>
      <c r="CL248" s="69"/>
      <c r="CM248" s="69"/>
      <c r="CN248" s="69"/>
      <c r="CO248" s="69"/>
      <c r="CP248" s="69"/>
      <c r="CQ248" s="69"/>
      <c r="CR248" s="69"/>
    </row>
    <row r="249" spans="1:96" ht="12.75" customHeight="1">
      <c r="A249" s="784"/>
      <c r="B249" s="69"/>
      <c r="C249" s="69"/>
      <c r="D249" s="69"/>
      <c r="E249" s="69"/>
      <c r="F249" s="69"/>
      <c r="G249" s="77"/>
      <c r="H249" s="77"/>
      <c r="I249" s="77"/>
      <c r="J249" s="366"/>
      <c r="K249" s="77"/>
      <c r="L249" s="77"/>
      <c r="M249" s="77"/>
      <c r="N249" s="77"/>
      <c r="O249" s="69"/>
      <c r="P249" s="69"/>
      <c r="Q249" s="69"/>
      <c r="R249" s="69"/>
      <c r="S249" s="77"/>
      <c r="T249" s="77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207"/>
      <c r="AH249" s="207"/>
      <c r="AI249" s="207"/>
      <c r="AJ249" s="207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9"/>
      <c r="BP249" s="69"/>
      <c r="BQ249" s="69"/>
      <c r="BR249" s="69"/>
      <c r="BS249" s="69"/>
      <c r="BT249" s="69"/>
      <c r="BU249" s="69"/>
      <c r="BV249" s="69"/>
      <c r="BW249" s="69"/>
      <c r="BX249" s="69"/>
      <c r="BY249" s="69"/>
      <c r="BZ249" s="69"/>
      <c r="CA249" s="69"/>
      <c r="CB249" s="69"/>
      <c r="CC249" s="69"/>
      <c r="CD249" s="69"/>
      <c r="CE249" s="69"/>
      <c r="CF249" s="69"/>
      <c r="CG249" s="69"/>
      <c r="CH249" s="69"/>
      <c r="CI249" s="69"/>
      <c r="CJ249" s="69"/>
      <c r="CK249" s="69"/>
      <c r="CL249" s="69"/>
      <c r="CM249" s="69"/>
      <c r="CN249" s="69"/>
      <c r="CO249" s="69"/>
      <c r="CP249" s="69"/>
      <c r="CQ249" s="69"/>
      <c r="CR249" s="69"/>
    </row>
    <row r="250" spans="1:96" ht="12.75" customHeight="1">
      <c r="A250" s="784"/>
      <c r="B250" s="69"/>
      <c r="C250" s="69"/>
      <c r="D250" s="69"/>
      <c r="E250" s="69"/>
      <c r="F250" s="69"/>
      <c r="G250" s="77"/>
      <c r="H250" s="77"/>
      <c r="I250" s="77"/>
      <c r="J250" s="366"/>
      <c r="K250" s="77"/>
      <c r="L250" s="77"/>
      <c r="M250" s="77"/>
      <c r="N250" s="77"/>
      <c r="O250" s="69"/>
      <c r="P250" s="69"/>
      <c r="Q250" s="69"/>
      <c r="R250" s="69"/>
      <c r="S250" s="77"/>
      <c r="T250" s="77"/>
      <c r="U250" s="69"/>
      <c r="V250" s="69"/>
      <c r="W250" s="69"/>
      <c r="X250" s="69"/>
      <c r="Y250" s="69"/>
      <c r="Z250" s="69"/>
      <c r="AA250" s="69"/>
      <c r="AB250" s="69"/>
      <c r="AC250" s="69"/>
      <c r="AD250" s="69"/>
      <c r="AE250" s="69"/>
      <c r="AF250" s="69"/>
      <c r="AG250" s="207"/>
      <c r="AH250" s="207"/>
      <c r="AI250" s="207"/>
      <c r="AJ250" s="207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9"/>
      <c r="BP250" s="69"/>
      <c r="BQ250" s="69"/>
      <c r="BR250" s="69"/>
      <c r="BS250" s="69"/>
      <c r="BT250" s="69"/>
      <c r="BU250" s="69"/>
      <c r="BV250" s="69"/>
      <c r="BW250" s="69"/>
      <c r="BX250" s="69"/>
      <c r="BY250" s="69"/>
      <c r="BZ250" s="69"/>
      <c r="CA250" s="69"/>
      <c r="CB250" s="69"/>
      <c r="CC250" s="69"/>
      <c r="CD250" s="69"/>
      <c r="CE250" s="69"/>
      <c r="CF250" s="69"/>
      <c r="CG250" s="69"/>
      <c r="CH250" s="69"/>
      <c r="CI250" s="69"/>
      <c r="CJ250" s="69"/>
      <c r="CK250" s="69"/>
      <c r="CL250" s="69"/>
      <c r="CM250" s="69"/>
      <c r="CN250" s="69"/>
      <c r="CO250" s="69"/>
      <c r="CP250" s="69"/>
      <c r="CQ250" s="69"/>
      <c r="CR250" s="69"/>
    </row>
    <row r="251" spans="1:96" ht="12.75" customHeight="1">
      <c r="A251" s="784"/>
      <c r="B251" s="69"/>
      <c r="C251" s="69"/>
      <c r="D251" s="69"/>
      <c r="E251" s="69"/>
      <c r="F251" s="69"/>
      <c r="G251" s="77"/>
      <c r="H251" s="77"/>
      <c r="I251" s="77"/>
      <c r="J251" s="366"/>
      <c r="K251" s="77"/>
      <c r="L251" s="77"/>
      <c r="M251" s="77"/>
      <c r="N251" s="77"/>
      <c r="O251" s="69"/>
      <c r="P251" s="69"/>
      <c r="Q251" s="69"/>
      <c r="R251" s="69"/>
      <c r="S251" s="77"/>
      <c r="T251" s="77"/>
      <c r="U251" s="69"/>
      <c r="V251" s="69"/>
      <c r="W251" s="69"/>
      <c r="X251" s="69"/>
      <c r="Y251" s="69"/>
      <c r="Z251" s="69"/>
      <c r="AA251" s="69"/>
      <c r="AB251" s="69"/>
      <c r="AC251" s="69"/>
      <c r="AD251" s="69"/>
      <c r="AE251" s="69"/>
      <c r="AF251" s="69"/>
      <c r="AG251" s="207"/>
      <c r="AH251" s="207"/>
      <c r="AI251" s="207"/>
      <c r="AJ251" s="207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69"/>
      <c r="BP251" s="69"/>
      <c r="BQ251" s="69"/>
      <c r="BR251" s="69"/>
      <c r="BS251" s="69"/>
      <c r="BT251" s="69"/>
      <c r="BU251" s="69"/>
      <c r="BV251" s="69"/>
      <c r="BW251" s="69"/>
      <c r="BX251" s="69"/>
      <c r="BY251" s="69"/>
      <c r="BZ251" s="69"/>
      <c r="CA251" s="69"/>
      <c r="CB251" s="69"/>
      <c r="CC251" s="69"/>
      <c r="CD251" s="69"/>
      <c r="CE251" s="69"/>
      <c r="CF251" s="69"/>
      <c r="CG251" s="69"/>
      <c r="CH251" s="69"/>
      <c r="CI251" s="69"/>
      <c r="CJ251" s="69"/>
      <c r="CK251" s="69"/>
      <c r="CL251" s="69"/>
      <c r="CM251" s="69"/>
      <c r="CN251" s="69"/>
      <c r="CO251" s="69"/>
      <c r="CP251" s="69"/>
      <c r="CQ251" s="69"/>
      <c r="CR251" s="69"/>
    </row>
    <row r="252" spans="1:96" ht="12.75" customHeight="1">
      <c r="A252" s="784"/>
      <c r="B252" s="69"/>
      <c r="C252" s="69"/>
      <c r="D252" s="69"/>
      <c r="E252" s="69"/>
      <c r="F252" s="69"/>
      <c r="G252" s="77"/>
      <c r="H252" s="77"/>
      <c r="I252" s="77"/>
      <c r="J252" s="366"/>
      <c r="K252" s="77"/>
      <c r="L252" s="77"/>
      <c r="M252" s="77"/>
      <c r="N252" s="77"/>
      <c r="O252" s="69"/>
      <c r="P252" s="69"/>
      <c r="Q252" s="69"/>
      <c r="R252" s="69"/>
      <c r="S252" s="77"/>
      <c r="T252" s="77"/>
      <c r="U252" s="69"/>
      <c r="V252" s="69"/>
      <c r="W252" s="69"/>
      <c r="X252" s="69"/>
      <c r="Y252" s="69"/>
      <c r="Z252" s="69"/>
      <c r="AA252" s="69"/>
      <c r="AB252" s="69"/>
      <c r="AC252" s="69"/>
      <c r="AD252" s="69"/>
      <c r="AE252" s="69"/>
      <c r="AF252" s="69"/>
      <c r="AG252" s="207"/>
      <c r="AH252" s="207"/>
      <c r="AI252" s="207"/>
      <c r="AJ252" s="207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  <c r="BM252" s="69"/>
      <c r="BN252" s="69"/>
      <c r="BO252" s="69"/>
      <c r="BP252" s="69"/>
      <c r="BQ252" s="69"/>
      <c r="BR252" s="69"/>
      <c r="BS252" s="69"/>
      <c r="BT252" s="69"/>
      <c r="BU252" s="69"/>
      <c r="BV252" s="69"/>
      <c r="BW252" s="69"/>
      <c r="BX252" s="69"/>
      <c r="BY252" s="69"/>
      <c r="BZ252" s="69"/>
      <c r="CA252" s="69"/>
      <c r="CB252" s="69"/>
      <c r="CC252" s="69"/>
      <c r="CD252" s="69"/>
      <c r="CE252" s="69"/>
      <c r="CF252" s="69"/>
      <c r="CG252" s="69"/>
      <c r="CH252" s="69"/>
      <c r="CI252" s="69"/>
      <c r="CJ252" s="69"/>
      <c r="CK252" s="69"/>
      <c r="CL252" s="69"/>
      <c r="CM252" s="69"/>
      <c r="CN252" s="69"/>
      <c r="CO252" s="69"/>
      <c r="CP252" s="69"/>
      <c r="CQ252" s="69"/>
      <c r="CR252" s="69"/>
    </row>
    <row r="253" spans="1:96" ht="12.75" customHeight="1">
      <c r="A253" s="784"/>
      <c r="B253" s="69"/>
      <c r="C253" s="69"/>
      <c r="D253" s="69"/>
      <c r="E253" s="69"/>
      <c r="F253" s="69"/>
      <c r="G253" s="77"/>
      <c r="H253" s="77"/>
      <c r="I253" s="77"/>
      <c r="J253" s="366"/>
      <c r="K253" s="77"/>
      <c r="L253" s="77"/>
      <c r="M253" s="77"/>
      <c r="N253" s="77"/>
      <c r="O253" s="69"/>
      <c r="P253" s="69"/>
      <c r="Q253" s="69"/>
      <c r="R253" s="69"/>
      <c r="S253" s="77"/>
      <c r="T253" s="77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207"/>
      <c r="AH253" s="207"/>
      <c r="AI253" s="207"/>
      <c r="AJ253" s="207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  <c r="BP253" s="69"/>
      <c r="BQ253" s="69"/>
      <c r="BR253" s="69"/>
      <c r="BS253" s="69"/>
      <c r="BT253" s="69"/>
      <c r="BU253" s="69"/>
      <c r="BV253" s="69"/>
      <c r="BW253" s="69"/>
      <c r="BX253" s="69"/>
      <c r="BY253" s="69"/>
      <c r="BZ253" s="69"/>
      <c r="CA253" s="69"/>
      <c r="CB253" s="69"/>
      <c r="CC253" s="69"/>
      <c r="CD253" s="69"/>
      <c r="CE253" s="69"/>
      <c r="CF253" s="69"/>
      <c r="CG253" s="69"/>
      <c r="CH253" s="69"/>
      <c r="CI253" s="69"/>
      <c r="CJ253" s="69"/>
      <c r="CK253" s="69"/>
      <c r="CL253" s="69"/>
      <c r="CM253" s="69"/>
      <c r="CN253" s="69"/>
      <c r="CO253" s="69"/>
      <c r="CP253" s="69"/>
      <c r="CQ253" s="69"/>
      <c r="CR253" s="69"/>
    </row>
    <row r="254" spans="1:96" ht="12.75" customHeight="1">
      <c r="A254" s="784"/>
      <c r="B254" s="69"/>
      <c r="C254" s="69"/>
      <c r="D254" s="69"/>
      <c r="E254" s="69"/>
      <c r="F254" s="69"/>
      <c r="G254" s="77"/>
      <c r="H254" s="77"/>
      <c r="I254" s="77"/>
      <c r="J254" s="366"/>
      <c r="K254" s="77"/>
      <c r="L254" s="77"/>
      <c r="M254" s="77"/>
      <c r="N254" s="77"/>
      <c r="O254" s="69"/>
      <c r="P254" s="69"/>
      <c r="Q254" s="69"/>
      <c r="R254" s="69"/>
      <c r="S254" s="77"/>
      <c r="T254" s="77"/>
      <c r="U254" s="69"/>
      <c r="V254" s="69"/>
      <c r="W254" s="69"/>
      <c r="X254" s="69"/>
      <c r="Y254" s="69"/>
      <c r="Z254" s="69"/>
      <c r="AA254" s="69"/>
      <c r="AB254" s="69"/>
      <c r="AC254" s="69"/>
      <c r="AD254" s="69"/>
      <c r="AE254" s="69"/>
      <c r="AF254" s="69"/>
      <c r="AG254" s="207"/>
      <c r="AH254" s="207"/>
      <c r="AI254" s="207"/>
      <c r="AJ254" s="207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  <c r="BP254" s="69"/>
      <c r="BQ254" s="69"/>
      <c r="BR254" s="69"/>
      <c r="BS254" s="69"/>
      <c r="BT254" s="69"/>
      <c r="BU254" s="69"/>
      <c r="BV254" s="69"/>
      <c r="BW254" s="69"/>
      <c r="BX254" s="69"/>
      <c r="BY254" s="69"/>
      <c r="BZ254" s="69"/>
      <c r="CA254" s="69"/>
      <c r="CB254" s="69"/>
      <c r="CC254" s="69"/>
      <c r="CD254" s="69"/>
      <c r="CE254" s="69"/>
      <c r="CF254" s="69"/>
      <c r="CG254" s="69"/>
      <c r="CH254" s="69"/>
      <c r="CI254" s="69"/>
      <c r="CJ254" s="69"/>
      <c r="CK254" s="69"/>
      <c r="CL254" s="69"/>
      <c r="CM254" s="69"/>
      <c r="CN254" s="69"/>
      <c r="CO254" s="69"/>
      <c r="CP254" s="69"/>
      <c r="CQ254" s="69"/>
      <c r="CR254" s="69"/>
    </row>
    <row r="255" spans="1:96" ht="12.75" customHeight="1">
      <c r="A255" s="784"/>
      <c r="B255" s="69"/>
      <c r="C255" s="69"/>
      <c r="D255" s="69"/>
      <c r="E255" s="69"/>
      <c r="F255" s="69"/>
      <c r="G255" s="77"/>
      <c r="H255" s="77"/>
      <c r="I255" s="77"/>
      <c r="J255" s="366"/>
      <c r="K255" s="77"/>
      <c r="L255" s="77"/>
      <c r="M255" s="77"/>
      <c r="N255" s="77"/>
      <c r="O255" s="69"/>
      <c r="P255" s="69"/>
      <c r="Q255" s="69"/>
      <c r="R255" s="69"/>
      <c r="S255" s="77"/>
      <c r="T255" s="77"/>
      <c r="U255" s="69"/>
      <c r="V255" s="69"/>
      <c r="W255" s="69"/>
      <c r="X255" s="69"/>
      <c r="Y255" s="69"/>
      <c r="Z255" s="69"/>
      <c r="AA255" s="69"/>
      <c r="AB255" s="69"/>
      <c r="AC255" s="69"/>
      <c r="AD255" s="69"/>
      <c r="AE255" s="69"/>
      <c r="AF255" s="69"/>
      <c r="AG255" s="207"/>
      <c r="AH255" s="207"/>
      <c r="AI255" s="207"/>
      <c r="AJ255" s="207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  <c r="BP255" s="69"/>
      <c r="BQ255" s="69"/>
      <c r="BR255" s="69"/>
      <c r="BS255" s="69"/>
      <c r="BT255" s="69"/>
      <c r="BU255" s="69"/>
      <c r="BV255" s="69"/>
      <c r="BW255" s="69"/>
      <c r="BX255" s="69"/>
      <c r="BY255" s="69"/>
      <c r="BZ255" s="69"/>
      <c r="CA255" s="69"/>
      <c r="CB255" s="69"/>
      <c r="CC255" s="69"/>
      <c r="CD255" s="69"/>
      <c r="CE255" s="69"/>
      <c r="CF255" s="69"/>
      <c r="CG255" s="69"/>
      <c r="CH255" s="69"/>
      <c r="CI255" s="69"/>
      <c r="CJ255" s="69"/>
      <c r="CK255" s="69"/>
      <c r="CL255" s="69"/>
      <c r="CM255" s="69"/>
      <c r="CN255" s="69"/>
      <c r="CO255" s="69"/>
      <c r="CP255" s="69"/>
      <c r="CQ255" s="69"/>
      <c r="CR255" s="69"/>
    </row>
    <row r="256" spans="1:96" ht="12.75" customHeight="1">
      <c r="A256" s="784"/>
      <c r="B256" s="69"/>
      <c r="C256" s="69"/>
      <c r="D256" s="69"/>
      <c r="E256" s="69"/>
      <c r="F256" s="69"/>
      <c r="G256" s="77"/>
      <c r="H256" s="77"/>
      <c r="I256" s="77"/>
      <c r="J256" s="366"/>
      <c r="K256" s="77"/>
      <c r="L256" s="77"/>
      <c r="M256" s="77"/>
      <c r="N256" s="77"/>
      <c r="O256" s="69"/>
      <c r="P256" s="69"/>
      <c r="Q256" s="69"/>
      <c r="R256" s="69"/>
      <c r="S256" s="77"/>
      <c r="T256" s="77"/>
      <c r="U256" s="69"/>
      <c r="V256" s="69"/>
      <c r="W256" s="69"/>
      <c r="X256" s="69"/>
      <c r="Y256" s="69"/>
      <c r="Z256" s="69"/>
      <c r="AA256" s="69"/>
      <c r="AB256" s="69"/>
      <c r="AC256" s="69"/>
      <c r="AD256" s="69"/>
      <c r="AE256" s="69"/>
      <c r="AF256" s="69"/>
      <c r="AG256" s="207"/>
      <c r="AH256" s="207"/>
      <c r="AI256" s="207"/>
      <c r="AJ256" s="207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  <c r="BP256" s="69"/>
      <c r="BQ256" s="69"/>
      <c r="BR256" s="69"/>
      <c r="BS256" s="69"/>
      <c r="BT256" s="69"/>
      <c r="BU256" s="69"/>
      <c r="BV256" s="69"/>
      <c r="BW256" s="69"/>
      <c r="BX256" s="69"/>
      <c r="BY256" s="69"/>
      <c r="BZ256" s="69"/>
      <c r="CA256" s="69"/>
      <c r="CB256" s="69"/>
      <c r="CC256" s="69"/>
      <c r="CD256" s="69"/>
      <c r="CE256" s="69"/>
      <c r="CF256" s="69"/>
      <c r="CG256" s="69"/>
      <c r="CH256" s="69"/>
      <c r="CI256" s="69"/>
      <c r="CJ256" s="69"/>
      <c r="CK256" s="69"/>
      <c r="CL256" s="69"/>
      <c r="CM256" s="69"/>
      <c r="CN256" s="69"/>
      <c r="CO256" s="69"/>
      <c r="CP256" s="69"/>
      <c r="CQ256" s="69"/>
      <c r="CR256" s="69"/>
    </row>
    <row r="257" spans="1:96" ht="12.75" customHeight="1">
      <c r="A257" s="784"/>
      <c r="B257" s="69"/>
      <c r="C257" s="69"/>
      <c r="D257" s="69"/>
      <c r="E257" s="69"/>
      <c r="F257" s="69"/>
      <c r="G257" s="77"/>
      <c r="H257" s="77"/>
      <c r="I257" s="77"/>
      <c r="J257" s="366"/>
      <c r="K257" s="77"/>
      <c r="L257" s="77"/>
      <c r="M257" s="77"/>
      <c r="N257" s="77"/>
      <c r="O257" s="69"/>
      <c r="P257" s="69"/>
      <c r="Q257" s="69"/>
      <c r="R257" s="69"/>
      <c r="S257" s="77"/>
      <c r="T257" s="77"/>
      <c r="U257" s="69"/>
      <c r="V257" s="69"/>
      <c r="W257" s="69"/>
      <c r="X257" s="69"/>
      <c r="Y257" s="69"/>
      <c r="Z257" s="69"/>
      <c r="AA257" s="69"/>
      <c r="AB257" s="69"/>
      <c r="AC257" s="69"/>
      <c r="AD257" s="69"/>
      <c r="AE257" s="69"/>
      <c r="AF257" s="69"/>
      <c r="AG257" s="207"/>
      <c r="AH257" s="207"/>
      <c r="AI257" s="207"/>
      <c r="AJ257" s="207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9"/>
      <c r="BQ257" s="69"/>
      <c r="BR257" s="69"/>
      <c r="BS257" s="69"/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  <c r="CD257" s="69"/>
      <c r="CE257" s="69"/>
      <c r="CF257" s="69"/>
      <c r="CG257" s="69"/>
      <c r="CH257" s="69"/>
      <c r="CI257" s="69"/>
      <c r="CJ257" s="69"/>
      <c r="CK257" s="69"/>
      <c r="CL257" s="69"/>
      <c r="CM257" s="69"/>
      <c r="CN257" s="69"/>
      <c r="CO257" s="69"/>
      <c r="CP257" s="69"/>
      <c r="CQ257" s="69"/>
      <c r="CR257" s="69"/>
    </row>
    <row r="258" spans="1:96" ht="12.75" customHeight="1">
      <c r="A258" s="784"/>
      <c r="B258" s="69"/>
      <c r="C258" s="69"/>
      <c r="D258" s="69"/>
      <c r="E258" s="69"/>
      <c r="F258" s="69"/>
      <c r="G258" s="77"/>
      <c r="H258" s="77"/>
      <c r="I258" s="77"/>
      <c r="J258" s="366"/>
      <c r="K258" s="77"/>
      <c r="L258" s="77"/>
      <c r="M258" s="77"/>
      <c r="N258" s="77"/>
      <c r="O258" s="69"/>
      <c r="P258" s="69"/>
      <c r="Q258" s="69"/>
      <c r="R258" s="69"/>
      <c r="S258" s="77"/>
      <c r="T258" s="77"/>
      <c r="U258" s="69"/>
      <c r="V258" s="69"/>
      <c r="W258" s="69"/>
      <c r="X258" s="69"/>
      <c r="Y258" s="69"/>
      <c r="Z258" s="69"/>
      <c r="AA258" s="69"/>
      <c r="AB258" s="69"/>
      <c r="AC258" s="69"/>
      <c r="AD258" s="69"/>
      <c r="AE258" s="69"/>
      <c r="AF258" s="69"/>
      <c r="AG258" s="207"/>
      <c r="AH258" s="207"/>
      <c r="AI258" s="207"/>
      <c r="AJ258" s="207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  <c r="BP258" s="69"/>
      <c r="BQ258" s="69"/>
      <c r="BR258" s="69"/>
      <c r="BS258" s="69"/>
      <c r="BT258" s="69"/>
      <c r="BU258" s="69"/>
      <c r="BV258" s="69"/>
      <c r="BW258" s="69"/>
      <c r="BX258" s="69"/>
      <c r="BY258" s="69"/>
      <c r="BZ258" s="69"/>
      <c r="CA258" s="69"/>
      <c r="CB258" s="69"/>
      <c r="CC258" s="69"/>
      <c r="CD258" s="69"/>
      <c r="CE258" s="69"/>
      <c r="CF258" s="69"/>
      <c r="CG258" s="69"/>
      <c r="CH258" s="69"/>
      <c r="CI258" s="69"/>
      <c r="CJ258" s="69"/>
      <c r="CK258" s="69"/>
      <c r="CL258" s="69"/>
      <c r="CM258" s="69"/>
      <c r="CN258" s="69"/>
      <c r="CO258" s="69"/>
      <c r="CP258" s="69"/>
      <c r="CQ258" s="69"/>
      <c r="CR258" s="69"/>
    </row>
    <row r="259" spans="1:96" ht="12.75" customHeight="1">
      <c r="A259" s="784"/>
      <c r="B259" s="69"/>
      <c r="C259" s="69"/>
      <c r="D259" s="69"/>
      <c r="E259" s="69"/>
      <c r="F259" s="69"/>
      <c r="G259" s="77"/>
      <c r="H259" s="77"/>
      <c r="I259" s="77"/>
      <c r="J259" s="366"/>
      <c r="K259" s="77"/>
      <c r="L259" s="77"/>
      <c r="M259" s="77"/>
      <c r="N259" s="77"/>
      <c r="O259" s="69"/>
      <c r="P259" s="69"/>
      <c r="Q259" s="69"/>
      <c r="R259" s="69"/>
      <c r="S259" s="77"/>
      <c r="T259" s="77"/>
      <c r="U259" s="69"/>
      <c r="V259" s="69"/>
      <c r="W259" s="69"/>
      <c r="X259" s="69"/>
      <c r="Y259" s="69"/>
      <c r="Z259" s="69"/>
      <c r="AA259" s="69"/>
      <c r="AB259" s="69"/>
      <c r="AC259" s="69"/>
      <c r="AD259" s="69"/>
      <c r="AE259" s="69"/>
      <c r="AF259" s="69"/>
      <c r="AG259" s="207"/>
      <c r="AH259" s="207"/>
      <c r="AI259" s="207"/>
      <c r="AJ259" s="207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  <c r="BP259" s="69"/>
      <c r="BQ259" s="69"/>
      <c r="BR259" s="69"/>
      <c r="BS259" s="69"/>
      <c r="BT259" s="69"/>
      <c r="BU259" s="69"/>
      <c r="BV259" s="69"/>
      <c r="BW259" s="69"/>
      <c r="BX259" s="69"/>
      <c r="BY259" s="69"/>
      <c r="BZ259" s="69"/>
      <c r="CA259" s="69"/>
      <c r="CB259" s="69"/>
      <c r="CC259" s="69"/>
      <c r="CD259" s="69"/>
      <c r="CE259" s="69"/>
      <c r="CF259" s="69"/>
      <c r="CG259" s="69"/>
      <c r="CH259" s="69"/>
      <c r="CI259" s="69"/>
      <c r="CJ259" s="69"/>
      <c r="CK259" s="69"/>
      <c r="CL259" s="69"/>
      <c r="CM259" s="69"/>
      <c r="CN259" s="69"/>
      <c r="CO259" s="69"/>
      <c r="CP259" s="69"/>
      <c r="CQ259" s="69"/>
      <c r="CR259" s="69"/>
    </row>
    <row r="260" spans="1:96" ht="12.75" customHeight="1">
      <c r="A260" s="784"/>
      <c r="B260" s="69"/>
      <c r="C260" s="69"/>
      <c r="D260" s="69"/>
      <c r="E260" s="69"/>
      <c r="F260" s="69"/>
      <c r="G260" s="77"/>
      <c r="H260" s="77"/>
      <c r="I260" s="77"/>
      <c r="J260" s="366"/>
      <c r="K260" s="77"/>
      <c r="L260" s="77"/>
      <c r="M260" s="77"/>
      <c r="N260" s="77"/>
      <c r="O260" s="69"/>
      <c r="P260" s="69"/>
      <c r="Q260" s="69"/>
      <c r="R260" s="69"/>
      <c r="S260" s="77"/>
      <c r="T260" s="77"/>
      <c r="U260" s="69"/>
      <c r="V260" s="69"/>
      <c r="W260" s="69"/>
      <c r="X260" s="69"/>
      <c r="Y260" s="69"/>
      <c r="Z260" s="69"/>
      <c r="AA260" s="69"/>
      <c r="AB260" s="69"/>
      <c r="AC260" s="69"/>
      <c r="AD260" s="69"/>
      <c r="AE260" s="69"/>
      <c r="AF260" s="69"/>
      <c r="AG260" s="207"/>
      <c r="AH260" s="207"/>
      <c r="AI260" s="207"/>
      <c r="AJ260" s="207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  <c r="BV260" s="69"/>
      <c r="BW260" s="69"/>
      <c r="BX260" s="69"/>
      <c r="BY260" s="69"/>
      <c r="BZ260" s="69"/>
      <c r="CA260" s="69"/>
      <c r="CB260" s="69"/>
      <c r="CC260" s="69"/>
      <c r="CD260" s="69"/>
      <c r="CE260" s="69"/>
      <c r="CF260" s="69"/>
      <c r="CG260" s="69"/>
      <c r="CH260" s="69"/>
      <c r="CI260" s="69"/>
      <c r="CJ260" s="69"/>
      <c r="CK260" s="69"/>
      <c r="CL260" s="69"/>
      <c r="CM260" s="69"/>
      <c r="CN260" s="69"/>
      <c r="CO260" s="69"/>
      <c r="CP260" s="69"/>
      <c r="CQ260" s="69"/>
      <c r="CR260" s="69"/>
    </row>
    <row r="261" spans="1:96" ht="12.75" customHeight="1">
      <c r="A261" s="784"/>
      <c r="B261" s="69"/>
      <c r="C261" s="69"/>
      <c r="D261" s="69"/>
      <c r="E261" s="69"/>
      <c r="F261" s="69"/>
      <c r="G261" s="77"/>
      <c r="H261" s="77"/>
      <c r="I261" s="77"/>
      <c r="J261" s="366"/>
      <c r="K261" s="77"/>
      <c r="L261" s="77"/>
      <c r="M261" s="77"/>
      <c r="N261" s="77"/>
      <c r="O261" s="69"/>
      <c r="P261" s="69"/>
      <c r="Q261" s="69"/>
      <c r="R261" s="69"/>
      <c r="S261" s="77"/>
      <c r="T261" s="77"/>
      <c r="U261" s="69"/>
      <c r="V261" s="69"/>
      <c r="W261" s="69"/>
      <c r="X261" s="69"/>
      <c r="Y261" s="69"/>
      <c r="Z261" s="69"/>
      <c r="AA261" s="69"/>
      <c r="AB261" s="69"/>
      <c r="AC261" s="69"/>
      <c r="AD261" s="69"/>
      <c r="AE261" s="69"/>
      <c r="AF261" s="69"/>
      <c r="AG261" s="207"/>
      <c r="AH261" s="207"/>
      <c r="AI261" s="207"/>
      <c r="AJ261" s="207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  <c r="BP261" s="69"/>
      <c r="BQ261" s="69"/>
      <c r="BR261" s="69"/>
      <c r="BS261" s="69"/>
      <c r="BT261" s="69"/>
      <c r="BU261" s="69"/>
      <c r="BV261" s="69"/>
      <c r="BW261" s="69"/>
      <c r="BX261" s="69"/>
      <c r="BY261" s="69"/>
      <c r="BZ261" s="69"/>
      <c r="CA261" s="69"/>
      <c r="CB261" s="69"/>
      <c r="CC261" s="69"/>
      <c r="CD261" s="69"/>
      <c r="CE261" s="69"/>
      <c r="CF261" s="69"/>
      <c r="CG261" s="69"/>
      <c r="CH261" s="69"/>
      <c r="CI261" s="69"/>
      <c r="CJ261" s="69"/>
      <c r="CK261" s="69"/>
      <c r="CL261" s="69"/>
      <c r="CM261" s="69"/>
      <c r="CN261" s="69"/>
      <c r="CO261" s="69"/>
      <c r="CP261" s="69"/>
      <c r="CQ261" s="69"/>
      <c r="CR261" s="69"/>
    </row>
    <row r="262" spans="1:96" ht="12.75" customHeight="1">
      <c r="A262" s="784"/>
      <c r="B262" s="69"/>
      <c r="C262" s="69"/>
      <c r="D262" s="69"/>
      <c r="E262" s="69"/>
      <c r="F262" s="69"/>
      <c r="G262" s="77"/>
      <c r="H262" s="77"/>
      <c r="I262" s="77"/>
      <c r="J262" s="366"/>
      <c r="K262" s="77"/>
      <c r="L262" s="77"/>
      <c r="M262" s="77"/>
      <c r="N262" s="77"/>
      <c r="O262" s="69"/>
      <c r="P262" s="69"/>
      <c r="Q262" s="69"/>
      <c r="R262" s="69"/>
      <c r="S262" s="77"/>
      <c r="T262" s="77"/>
      <c r="U262" s="69"/>
      <c r="V262" s="69"/>
      <c r="W262" s="69"/>
      <c r="X262" s="69"/>
      <c r="Y262" s="69"/>
      <c r="Z262" s="69"/>
      <c r="AA262" s="69"/>
      <c r="AB262" s="69"/>
      <c r="AC262" s="69"/>
      <c r="AD262" s="69"/>
      <c r="AE262" s="69"/>
      <c r="AF262" s="69"/>
      <c r="AG262" s="207"/>
      <c r="AH262" s="207"/>
      <c r="AI262" s="207"/>
      <c r="AJ262" s="207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  <c r="BP262" s="69"/>
      <c r="BQ262" s="69"/>
      <c r="BR262" s="69"/>
      <c r="BS262" s="69"/>
      <c r="BT262" s="69"/>
      <c r="BU262" s="69"/>
      <c r="BV262" s="69"/>
      <c r="BW262" s="69"/>
      <c r="BX262" s="69"/>
      <c r="BY262" s="69"/>
      <c r="BZ262" s="69"/>
      <c r="CA262" s="69"/>
      <c r="CB262" s="69"/>
      <c r="CC262" s="69"/>
      <c r="CD262" s="69"/>
      <c r="CE262" s="69"/>
      <c r="CF262" s="69"/>
      <c r="CG262" s="69"/>
      <c r="CH262" s="69"/>
      <c r="CI262" s="69"/>
      <c r="CJ262" s="69"/>
      <c r="CK262" s="69"/>
      <c r="CL262" s="69"/>
      <c r="CM262" s="69"/>
      <c r="CN262" s="69"/>
      <c r="CO262" s="69"/>
      <c r="CP262" s="69"/>
      <c r="CQ262" s="69"/>
      <c r="CR262" s="69"/>
    </row>
    <row r="263" spans="1:96" ht="12.75" customHeight="1">
      <c r="A263" s="784"/>
      <c r="B263" s="69"/>
      <c r="C263" s="69"/>
      <c r="D263" s="69"/>
      <c r="E263" s="69"/>
      <c r="F263" s="69"/>
      <c r="G263" s="77"/>
      <c r="H263" s="77"/>
      <c r="I263" s="77"/>
      <c r="J263" s="366"/>
      <c r="K263" s="77"/>
      <c r="L263" s="77"/>
      <c r="M263" s="77"/>
      <c r="N263" s="77"/>
      <c r="O263" s="69"/>
      <c r="P263" s="69"/>
      <c r="Q263" s="69"/>
      <c r="R263" s="69"/>
      <c r="S263" s="77"/>
      <c r="T263" s="77"/>
      <c r="U263" s="69"/>
      <c r="V263" s="69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  <c r="AG263" s="207"/>
      <c r="AH263" s="207"/>
      <c r="AI263" s="207"/>
      <c r="AJ263" s="207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  <c r="BM263" s="69"/>
      <c r="BN263" s="69"/>
      <c r="BO263" s="69"/>
      <c r="BP263" s="69"/>
      <c r="BQ263" s="69"/>
      <c r="BR263" s="69"/>
      <c r="BS263" s="69"/>
      <c r="BT263" s="69"/>
      <c r="BU263" s="69"/>
      <c r="BV263" s="69"/>
      <c r="BW263" s="69"/>
      <c r="BX263" s="69"/>
      <c r="BY263" s="69"/>
      <c r="BZ263" s="69"/>
      <c r="CA263" s="69"/>
      <c r="CB263" s="69"/>
      <c r="CC263" s="69"/>
      <c r="CD263" s="69"/>
      <c r="CE263" s="69"/>
      <c r="CF263" s="69"/>
      <c r="CG263" s="69"/>
      <c r="CH263" s="69"/>
      <c r="CI263" s="69"/>
      <c r="CJ263" s="69"/>
      <c r="CK263" s="69"/>
      <c r="CL263" s="69"/>
      <c r="CM263" s="69"/>
      <c r="CN263" s="69"/>
      <c r="CO263" s="69"/>
      <c r="CP263" s="69"/>
      <c r="CQ263" s="69"/>
      <c r="CR263" s="69"/>
    </row>
    <row r="264" spans="1:96" ht="12.75" customHeight="1">
      <c r="A264" s="784"/>
      <c r="B264" s="69"/>
      <c r="C264" s="69"/>
      <c r="D264" s="69"/>
      <c r="E264" s="69"/>
      <c r="F264" s="69"/>
      <c r="G264" s="77"/>
      <c r="H264" s="77"/>
      <c r="I264" s="77"/>
      <c r="J264" s="366"/>
      <c r="K264" s="77"/>
      <c r="L264" s="77"/>
      <c r="M264" s="77"/>
      <c r="N264" s="77"/>
      <c r="O264" s="69"/>
      <c r="P264" s="69"/>
      <c r="Q264" s="69"/>
      <c r="R264" s="69"/>
      <c r="S264" s="77"/>
      <c r="T264" s="77"/>
      <c r="U264" s="69"/>
      <c r="V264" s="69"/>
      <c r="W264" s="69"/>
      <c r="X264" s="69"/>
      <c r="Y264" s="69"/>
      <c r="Z264" s="69"/>
      <c r="AA264" s="69"/>
      <c r="AB264" s="69"/>
      <c r="AC264" s="69"/>
      <c r="AD264" s="69"/>
      <c r="AE264" s="69"/>
      <c r="AF264" s="69"/>
      <c r="AG264" s="207"/>
      <c r="AH264" s="207"/>
      <c r="AI264" s="207"/>
      <c r="AJ264" s="207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  <c r="BM264" s="69"/>
      <c r="BN264" s="69"/>
      <c r="BO264" s="69"/>
      <c r="BP264" s="69"/>
      <c r="BQ264" s="69"/>
      <c r="BR264" s="69"/>
      <c r="BS264" s="69"/>
      <c r="BT264" s="69"/>
      <c r="BU264" s="69"/>
      <c r="BV264" s="69"/>
      <c r="BW264" s="69"/>
      <c r="BX264" s="69"/>
      <c r="BY264" s="69"/>
      <c r="BZ264" s="69"/>
      <c r="CA264" s="69"/>
      <c r="CB264" s="69"/>
      <c r="CC264" s="69"/>
      <c r="CD264" s="69"/>
      <c r="CE264" s="69"/>
      <c r="CF264" s="69"/>
      <c r="CG264" s="69"/>
      <c r="CH264" s="69"/>
      <c r="CI264" s="69"/>
      <c r="CJ264" s="69"/>
      <c r="CK264" s="69"/>
      <c r="CL264" s="69"/>
      <c r="CM264" s="69"/>
      <c r="CN264" s="69"/>
      <c r="CO264" s="69"/>
      <c r="CP264" s="69"/>
      <c r="CQ264" s="69"/>
      <c r="CR264" s="69"/>
    </row>
    <row r="265" spans="1:96" ht="12.75" customHeight="1">
      <c r="A265" s="784"/>
      <c r="B265" s="69"/>
      <c r="C265" s="69"/>
      <c r="D265" s="69"/>
      <c r="E265" s="69"/>
      <c r="F265" s="69"/>
      <c r="G265" s="77"/>
      <c r="H265" s="77"/>
      <c r="I265" s="77"/>
      <c r="J265" s="366"/>
      <c r="K265" s="77"/>
      <c r="L265" s="77"/>
      <c r="M265" s="77"/>
      <c r="N265" s="77"/>
      <c r="O265" s="69"/>
      <c r="P265" s="69"/>
      <c r="Q265" s="69"/>
      <c r="R265" s="69"/>
      <c r="S265" s="77"/>
      <c r="T265" s="77"/>
      <c r="U265" s="69"/>
      <c r="V265" s="69"/>
      <c r="W265" s="69"/>
      <c r="X265" s="69"/>
      <c r="Y265" s="69"/>
      <c r="Z265" s="69"/>
      <c r="AA265" s="69"/>
      <c r="AB265" s="69"/>
      <c r="AC265" s="69"/>
      <c r="AD265" s="69"/>
      <c r="AE265" s="69"/>
      <c r="AF265" s="69"/>
      <c r="AG265" s="207"/>
      <c r="AH265" s="207"/>
      <c r="AI265" s="207"/>
      <c r="AJ265" s="207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  <c r="BP265" s="69"/>
      <c r="BQ265" s="69"/>
      <c r="BR265" s="69"/>
      <c r="BS265" s="69"/>
      <c r="BT265" s="69"/>
      <c r="BU265" s="69"/>
      <c r="BV265" s="69"/>
      <c r="BW265" s="69"/>
      <c r="BX265" s="69"/>
      <c r="BY265" s="69"/>
      <c r="BZ265" s="69"/>
      <c r="CA265" s="69"/>
      <c r="CB265" s="69"/>
      <c r="CC265" s="69"/>
      <c r="CD265" s="69"/>
      <c r="CE265" s="69"/>
      <c r="CF265" s="69"/>
      <c r="CG265" s="69"/>
      <c r="CH265" s="69"/>
      <c r="CI265" s="69"/>
      <c r="CJ265" s="69"/>
      <c r="CK265" s="69"/>
      <c r="CL265" s="69"/>
      <c r="CM265" s="69"/>
      <c r="CN265" s="69"/>
      <c r="CO265" s="69"/>
      <c r="CP265" s="69"/>
      <c r="CQ265" s="69"/>
      <c r="CR265" s="69"/>
    </row>
    <row r="266" spans="1:96" ht="12.75" customHeight="1">
      <c r="A266" s="784"/>
      <c r="B266" s="69"/>
      <c r="C266" s="69"/>
      <c r="D266" s="69"/>
      <c r="E266" s="69"/>
      <c r="F266" s="69"/>
      <c r="G266" s="77"/>
      <c r="H266" s="77"/>
      <c r="I266" s="77"/>
      <c r="J266" s="366"/>
      <c r="K266" s="77"/>
      <c r="L266" s="77"/>
      <c r="M266" s="77"/>
      <c r="N266" s="77"/>
      <c r="O266" s="69"/>
      <c r="P266" s="69"/>
      <c r="Q266" s="69"/>
      <c r="R266" s="69"/>
      <c r="S266" s="77"/>
      <c r="T266" s="77"/>
      <c r="U266" s="69"/>
      <c r="V266" s="69"/>
      <c r="W266" s="69"/>
      <c r="X266" s="69"/>
      <c r="Y266" s="69"/>
      <c r="Z266" s="69"/>
      <c r="AA266" s="69"/>
      <c r="AB266" s="69"/>
      <c r="AC266" s="69"/>
      <c r="AD266" s="69"/>
      <c r="AE266" s="69"/>
      <c r="AF266" s="69"/>
      <c r="AG266" s="207"/>
      <c r="AH266" s="207"/>
      <c r="AI266" s="207"/>
      <c r="AJ266" s="207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  <c r="BM266" s="69"/>
      <c r="BN266" s="69"/>
      <c r="BO266" s="69"/>
      <c r="BP266" s="69"/>
      <c r="BQ266" s="69"/>
      <c r="BR266" s="69"/>
      <c r="BS266" s="69"/>
      <c r="BT266" s="69"/>
      <c r="BU266" s="69"/>
      <c r="BV266" s="69"/>
      <c r="BW266" s="69"/>
      <c r="BX266" s="69"/>
      <c r="BY266" s="69"/>
      <c r="BZ266" s="69"/>
      <c r="CA266" s="69"/>
      <c r="CB266" s="69"/>
      <c r="CC266" s="69"/>
      <c r="CD266" s="69"/>
      <c r="CE266" s="69"/>
      <c r="CF266" s="69"/>
      <c r="CG266" s="69"/>
      <c r="CH266" s="69"/>
      <c r="CI266" s="69"/>
      <c r="CJ266" s="69"/>
      <c r="CK266" s="69"/>
      <c r="CL266" s="69"/>
      <c r="CM266" s="69"/>
      <c r="CN266" s="69"/>
      <c r="CO266" s="69"/>
      <c r="CP266" s="69"/>
      <c r="CQ266" s="69"/>
      <c r="CR266" s="69"/>
    </row>
    <row r="267" spans="1:96" ht="12.75" customHeight="1">
      <c r="A267" s="784"/>
      <c r="B267" s="69"/>
      <c r="C267" s="69"/>
      <c r="D267" s="69"/>
      <c r="E267" s="69"/>
      <c r="F267" s="69"/>
      <c r="G267" s="77"/>
      <c r="H267" s="77"/>
      <c r="I267" s="77"/>
      <c r="J267" s="366"/>
      <c r="K267" s="77"/>
      <c r="L267" s="77"/>
      <c r="M267" s="77"/>
      <c r="N267" s="77"/>
      <c r="O267" s="69"/>
      <c r="P267" s="69"/>
      <c r="Q267" s="69"/>
      <c r="R267" s="69"/>
      <c r="S267" s="77"/>
      <c r="T267" s="77"/>
      <c r="U267" s="69"/>
      <c r="V267" s="69"/>
      <c r="W267" s="69"/>
      <c r="X267" s="69"/>
      <c r="Y267" s="69"/>
      <c r="Z267" s="69"/>
      <c r="AA267" s="69"/>
      <c r="AB267" s="69"/>
      <c r="AC267" s="69"/>
      <c r="AD267" s="69"/>
      <c r="AE267" s="69"/>
      <c r="AF267" s="69"/>
      <c r="AG267" s="207"/>
      <c r="AH267" s="207"/>
      <c r="AI267" s="207"/>
      <c r="AJ267" s="207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  <c r="BM267" s="69"/>
      <c r="BN267" s="69"/>
      <c r="BO267" s="69"/>
      <c r="BP267" s="69"/>
      <c r="BQ267" s="69"/>
      <c r="BR267" s="69"/>
      <c r="BS267" s="69"/>
      <c r="BT267" s="69"/>
      <c r="BU267" s="69"/>
      <c r="BV267" s="69"/>
      <c r="BW267" s="69"/>
      <c r="BX267" s="69"/>
      <c r="BY267" s="69"/>
      <c r="BZ267" s="69"/>
      <c r="CA267" s="69"/>
      <c r="CB267" s="69"/>
      <c r="CC267" s="69"/>
      <c r="CD267" s="69"/>
      <c r="CE267" s="69"/>
      <c r="CF267" s="69"/>
      <c r="CG267" s="69"/>
      <c r="CH267" s="69"/>
      <c r="CI267" s="69"/>
      <c r="CJ267" s="69"/>
      <c r="CK267" s="69"/>
      <c r="CL267" s="69"/>
      <c r="CM267" s="69"/>
      <c r="CN267" s="69"/>
      <c r="CO267" s="69"/>
      <c r="CP267" s="69"/>
      <c r="CQ267" s="69"/>
      <c r="CR267" s="69"/>
    </row>
    <row r="268" spans="1:96" ht="12.75" customHeight="1">
      <c r="A268" s="784"/>
      <c r="B268" s="69"/>
      <c r="C268" s="69"/>
      <c r="D268" s="69"/>
      <c r="E268" s="69"/>
      <c r="F268" s="69"/>
      <c r="G268" s="77"/>
      <c r="H268" s="77"/>
      <c r="I268" s="77"/>
      <c r="J268" s="366"/>
      <c r="K268" s="77"/>
      <c r="L268" s="77"/>
      <c r="M268" s="77"/>
      <c r="N268" s="77"/>
      <c r="O268" s="69"/>
      <c r="P268" s="69"/>
      <c r="Q268" s="69"/>
      <c r="R268" s="69"/>
      <c r="S268" s="77"/>
      <c r="T268" s="77"/>
      <c r="U268" s="69"/>
      <c r="V268" s="69"/>
      <c r="W268" s="69"/>
      <c r="X268" s="69"/>
      <c r="Y268" s="69"/>
      <c r="Z268" s="69"/>
      <c r="AA268" s="69"/>
      <c r="AB268" s="69"/>
      <c r="AC268" s="69"/>
      <c r="AD268" s="69"/>
      <c r="AE268" s="69"/>
      <c r="AF268" s="69"/>
      <c r="AG268" s="207"/>
      <c r="AH268" s="207"/>
      <c r="AI268" s="207"/>
      <c r="AJ268" s="207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  <c r="BM268" s="69"/>
      <c r="BN268" s="69"/>
      <c r="BO268" s="69"/>
      <c r="BP268" s="69"/>
      <c r="BQ268" s="69"/>
      <c r="BR268" s="69"/>
      <c r="BS268" s="69"/>
      <c r="BT268" s="69"/>
      <c r="BU268" s="69"/>
      <c r="BV268" s="69"/>
      <c r="BW268" s="69"/>
      <c r="BX268" s="69"/>
      <c r="BY268" s="69"/>
      <c r="BZ268" s="69"/>
      <c r="CA268" s="69"/>
      <c r="CB268" s="69"/>
      <c r="CC268" s="69"/>
      <c r="CD268" s="69"/>
      <c r="CE268" s="69"/>
      <c r="CF268" s="69"/>
      <c r="CG268" s="69"/>
      <c r="CH268" s="69"/>
      <c r="CI268" s="69"/>
      <c r="CJ268" s="69"/>
      <c r="CK268" s="69"/>
      <c r="CL268" s="69"/>
      <c r="CM268" s="69"/>
      <c r="CN268" s="69"/>
      <c r="CO268" s="69"/>
      <c r="CP268" s="69"/>
      <c r="CQ268" s="69"/>
      <c r="CR268" s="69"/>
    </row>
    <row r="269" spans="1:96" ht="12.75" customHeight="1">
      <c r="A269" s="784"/>
      <c r="B269" s="69"/>
      <c r="C269" s="69"/>
      <c r="D269" s="69"/>
      <c r="E269" s="69"/>
      <c r="F269" s="69"/>
      <c r="G269" s="77"/>
      <c r="H269" s="77"/>
      <c r="I269" s="77"/>
      <c r="J269" s="366"/>
      <c r="K269" s="77"/>
      <c r="L269" s="77"/>
      <c r="M269" s="77"/>
      <c r="N269" s="77"/>
      <c r="O269" s="69"/>
      <c r="P269" s="69"/>
      <c r="Q269" s="69"/>
      <c r="R269" s="69"/>
      <c r="S269" s="77"/>
      <c r="T269" s="77"/>
      <c r="U269" s="69"/>
      <c r="V269" s="69"/>
      <c r="W269" s="69"/>
      <c r="X269" s="69"/>
      <c r="Y269" s="69"/>
      <c r="Z269" s="69"/>
      <c r="AA269" s="69"/>
      <c r="AB269" s="69"/>
      <c r="AC269" s="69"/>
      <c r="AD269" s="69"/>
      <c r="AE269" s="69"/>
      <c r="AF269" s="69"/>
      <c r="AG269" s="207"/>
      <c r="AH269" s="207"/>
      <c r="AI269" s="207"/>
      <c r="AJ269" s="207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  <c r="BM269" s="69"/>
      <c r="BN269" s="69"/>
      <c r="BO269" s="69"/>
      <c r="BP269" s="69"/>
      <c r="BQ269" s="69"/>
      <c r="BR269" s="69"/>
      <c r="BS269" s="69"/>
      <c r="BT269" s="69"/>
      <c r="BU269" s="69"/>
      <c r="BV269" s="69"/>
      <c r="BW269" s="69"/>
      <c r="BX269" s="69"/>
      <c r="BY269" s="69"/>
      <c r="BZ269" s="69"/>
      <c r="CA269" s="69"/>
      <c r="CB269" s="69"/>
      <c r="CC269" s="69"/>
      <c r="CD269" s="69"/>
      <c r="CE269" s="69"/>
      <c r="CF269" s="69"/>
      <c r="CG269" s="69"/>
      <c r="CH269" s="69"/>
      <c r="CI269" s="69"/>
      <c r="CJ269" s="69"/>
      <c r="CK269" s="69"/>
      <c r="CL269" s="69"/>
      <c r="CM269" s="69"/>
      <c r="CN269" s="69"/>
      <c r="CO269" s="69"/>
      <c r="CP269" s="69"/>
      <c r="CQ269" s="69"/>
      <c r="CR269" s="69"/>
    </row>
    <row r="270" spans="1:96" ht="12.75" customHeight="1">
      <c r="A270" s="784"/>
      <c r="B270" s="69"/>
      <c r="C270" s="69"/>
      <c r="D270" s="69"/>
      <c r="E270" s="69"/>
      <c r="F270" s="69"/>
      <c r="G270" s="77"/>
      <c r="H270" s="77"/>
      <c r="I270" s="77"/>
      <c r="J270" s="366"/>
      <c r="K270" s="77"/>
      <c r="L270" s="77"/>
      <c r="M270" s="77"/>
      <c r="N270" s="77"/>
      <c r="O270" s="69"/>
      <c r="P270" s="69"/>
      <c r="Q270" s="69"/>
      <c r="R270" s="69"/>
      <c r="S270" s="77"/>
      <c r="T270" s="77"/>
      <c r="U270" s="69"/>
      <c r="V270" s="69"/>
      <c r="W270" s="69"/>
      <c r="X270" s="69"/>
      <c r="Y270" s="69"/>
      <c r="Z270" s="69"/>
      <c r="AA270" s="69"/>
      <c r="AB270" s="69"/>
      <c r="AC270" s="69"/>
      <c r="AD270" s="69"/>
      <c r="AE270" s="69"/>
      <c r="AF270" s="69"/>
      <c r="AG270" s="207"/>
      <c r="AH270" s="207"/>
      <c r="AI270" s="207"/>
      <c r="AJ270" s="207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  <c r="BM270" s="69"/>
      <c r="BN270" s="69"/>
      <c r="BO270" s="69"/>
      <c r="BP270" s="69"/>
      <c r="BQ270" s="69"/>
      <c r="BR270" s="69"/>
      <c r="BS270" s="69"/>
      <c r="BT270" s="69"/>
      <c r="BU270" s="69"/>
      <c r="BV270" s="69"/>
      <c r="BW270" s="69"/>
      <c r="BX270" s="69"/>
      <c r="BY270" s="69"/>
      <c r="BZ270" s="69"/>
      <c r="CA270" s="69"/>
      <c r="CB270" s="69"/>
      <c r="CC270" s="69"/>
      <c r="CD270" s="69"/>
      <c r="CE270" s="69"/>
      <c r="CF270" s="69"/>
      <c r="CG270" s="69"/>
      <c r="CH270" s="69"/>
      <c r="CI270" s="69"/>
      <c r="CJ270" s="69"/>
      <c r="CK270" s="69"/>
      <c r="CL270" s="69"/>
      <c r="CM270" s="69"/>
      <c r="CN270" s="69"/>
      <c r="CO270" s="69"/>
      <c r="CP270" s="69"/>
      <c r="CQ270" s="69"/>
      <c r="CR270" s="69"/>
    </row>
    <row r="271" spans="1:96" ht="12.75" customHeight="1">
      <c r="A271" s="784"/>
      <c r="B271" s="69"/>
      <c r="C271" s="69"/>
      <c r="D271" s="69"/>
      <c r="E271" s="69"/>
      <c r="F271" s="69"/>
      <c r="G271" s="77"/>
      <c r="H271" s="77"/>
      <c r="I271" s="77"/>
      <c r="J271" s="366"/>
      <c r="K271" s="77"/>
      <c r="L271" s="77"/>
      <c r="M271" s="77"/>
      <c r="N271" s="77"/>
      <c r="O271" s="69"/>
      <c r="P271" s="69"/>
      <c r="Q271" s="69"/>
      <c r="R271" s="69"/>
      <c r="S271" s="77"/>
      <c r="T271" s="77"/>
      <c r="U271" s="69"/>
      <c r="V271" s="69"/>
      <c r="W271" s="69"/>
      <c r="X271" s="69"/>
      <c r="Y271" s="69"/>
      <c r="Z271" s="69"/>
      <c r="AA271" s="69"/>
      <c r="AB271" s="69"/>
      <c r="AC271" s="69"/>
      <c r="AD271" s="69"/>
      <c r="AE271" s="69"/>
      <c r="AF271" s="69"/>
      <c r="AG271" s="207"/>
      <c r="AH271" s="207"/>
      <c r="AI271" s="207"/>
      <c r="AJ271" s="207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  <c r="BP271" s="69"/>
      <c r="BQ271" s="69"/>
      <c r="BR271" s="69"/>
      <c r="BS271" s="69"/>
      <c r="BT271" s="69"/>
      <c r="BU271" s="69"/>
      <c r="BV271" s="69"/>
      <c r="BW271" s="69"/>
      <c r="BX271" s="69"/>
      <c r="BY271" s="69"/>
      <c r="BZ271" s="69"/>
      <c r="CA271" s="69"/>
      <c r="CB271" s="69"/>
      <c r="CC271" s="69"/>
      <c r="CD271" s="69"/>
      <c r="CE271" s="69"/>
      <c r="CF271" s="69"/>
      <c r="CG271" s="69"/>
      <c r="CH271" s="69"/>
      <c r="CI271" s="69"/>
      <c r="CJ271" s="69"/>
      <c r="CK271" s="69"/>
      <c r="CL271" s="69"/>
      <c r="CM271" s="69"/>
      <c r="CN271" s="69"/>
      <c r="CO271" s="69"/>
      <c r="CP271" s="69"/>
      <c r="CQ271" s="69"/>
      <c r="CR271" s="69"/>
    </row>
    <row r="272" spans="1:96" ht="12.75" customHeight="1">
      <c r="A272" s="784"/>
      <c r="B272" s="69"/>
      <c r="C272" s="69"/>
      <c r="D272" s="69"/>
      <c r="E272" s="69"/>
      <c r="F272" s="69"/>
      <c r="G272" s="77"/>
      <c r="H272" s="77"/>
      <c r="I272" s="77"/>
      <c r="J272" s="366"/>
      <c r="K272" s="77"/>
      <c r="L272" s="77"/>
      <c r="M272" s="77"/>
      <c r="N272" s="77"/>
      <c r="O272" s="69"/>
      <c r="P272" s="69"/>
      <c r="Q272" s="69"/>
      <c r="R272" s="69"/>
      <c r="S272" s="77"/>
      <c r="T272" s="77"/>
      <c r="U272" s="69"/>
      <c r="V272" s="69"/>
      <c r="W272" s="69"/>
      <c r="X272" s="69"/>
      <c r="Y272" s="69"/>
      <c r="Z272" s="69"/>
      <c r="AA272" s="69"/>
      <c r="AB272" s="69"/>
      <c r="AC272" s="69"/>
      <c r="AD272" s="69"/>
      <c r="AE272" s="69"/>
      <c r="AF272" s="69"/>
      <c r="AG272" s="207"/>
      <c r="AH272" s="207"/>
      <c r="AI272" s="207"/>
      <c r="AJ272" s="207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  <c r="BP272" s="69"/>
      <c r="BQ272" s="69"/>
      <c r="BR272" s="69"/>
      <c r="BS272" s="69"/>
      <c r="BT272" s="69"/>
      <c r="BU272" s="69"/>
      <c r="BV272" s="69"/>
      <c r="BW272" s="69"/>
      <c r="BX272" s="69"/>
      <c r="BY272" s="69"/>
      <c r="BZ272" s="69"/>
      <c r="CA272" s="69"/>
      <c r="CB272" s="69"/>
      <c r="CC272" s="69"/>
      <c r="CD272" s="69"/>
      <c r="CE272" s="69"/>
      <c r="CF272" s="69"/>
      <c r="CG272" s="69"/>
      <c r="CH272" s="69"/>
      <c r="CI272" s="69"/>
      <c r="CJ272" s="69"/>
      <c r="CK272" s="69"/>
      <c r="CL272" s="69"/>
      <c r="CM272" s="69"/>
      <c r="CN272" s="69"/>
      <c r="CO272" s="69"/>
      <c r="CP272" s="69"/>
      <c r="CQ272" s="69"/>
      <c r="CR272" s="69"/>
    </row>
    <row r="273" spans="1:96" ht="12.75" customHeight="1">
      <c r="A273" s="784"/>
      <c r="B273" s="69"/>
      <c r="C273" s="69"/>
      <c r="D273" s="69"/>
      <c r="E273" s="69"/>
      <c r="F273" s="69"/>
      <c r="G273" s="77"/>
      <c r="H273" s="77"/>
      <c r="I273" s="77"/>
      <c r="J273" s="366"/>
      <c r="K273" s="77"/>
      <c r="L273" s="77"/>
      <c r="M273" s="77"/>
      <c r="N273" s="77"/>
      <c r="O273" s="69"/>
      <c r="P273" s="69"/>
      <c r="Q273" s="69"/>
      <c r="R273" s="69"/>
      <c r="S273" s="77"/>
      <c r="T273" s="77"/>
      <c r="U273" s="69"/>
      <c r="V273" s="69"/>
      <c r="W273" s="69"/>
      <c r="X273" s="69"/>
      <c r="Y273" s="69"/>
      <c r="Z273" s="69"/>
      <c r="AA273" s="69"/>
      <c r="AB273" s="69"/>
      <c r="AC273" s="69"/>
      <c r="AD273" s="69"/>
      <c r="AE273" s="69"/>
      <c r="AF273" s="69"/>
      <c r="AG273" s="207"/>
      <c r="AH273" s="207"/>
      <c r="AI273" s="207"/>
      <c r="AJ273" s="207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  <c r="BP273" s="69"/>
      <c r="BQ273" s="69"/>
      <c r="BR273" s="69"/>
      <c r="BS273" s="69"/>
      <c r="BT273" s="69"/>
      <c r="BU273" s="69"/>
      <c r="BV273" s="69"/>
      <c r="BW273" s="69"/>
      <c r="BX273" s="69"/>
      <c r="BY273" s="69"/>
      <c r="BZ273" s="69"/>
      <c r="CA273" s="69"/>
      <c r="CB273" s="69"/>
      <c r="CC273" s="69"/>
      <c r="CD273" s="69"/>
      <c r="CE273" s="69"/>
      <c r="CF273" s="69"/>
      <c r="CG273" s="69"/>
      <c r="CH273" s="69"/>
      <c r="CI273" s="69"/>
      <c r="CJ273" s="69"/>
      <c r="CK273" s="69"/>
      <c r="CL273" s="69"/>
      <c r="CM273" s="69"/>
      <c r="CN273" s="69"/>
      <c r="CO273" s="69"/>
      <c r="CP273" s="69"/>
      <c r="CQ273" s="69"/>
      <c r="CR273" s="69"/>
    </row>
    <row r="274" spans="1:96" ht="12.75" customHeight="1">
      <c r="A274" s="784"/>
      <c r="B274" s="69"/>
      <c r="C274" s="69"/>
      <c r="D274" s="69"/>
      <c r="E274" s="69"/>
      <c r="F274" s="69"/>
      <c r="G274" s="77"/>
      <c r="H274" s="77"/>
      <c r="I274" s="77"/>
      <c r="J274" s="366"/>
      <c r="K274" s="77"/>
      <c r="L274" s="77"/>
      <c r="M274" s="77"/>
      <c r="N274" s="77"/>
      <c r="O274" s="69"/>
      <c r="P274" s="69"/>
      <c r="Q274" s="69"/>
      <c r="R274" s="69"/>
      <c r="S274" s="77"/>
      <c r="T274" s="77"/>
      <c r="U274" s="69"/>
      <c r="V274" s="69"/>
      <c r="W274" s="69"/>
      <c r="X274" s="69"/>
      <c r="Y274" s="69"/>
      <c r="Z274" s="69"/>
      <c r="AA274" s="69"/>
      <c r="AB274" s="69"/>
      <c r="AC274" s="69"/>
      <c r="AD274" s="69"/>
      <c r="AE274" s="69"/>
      <c r="AF274" s="69"/>
      <c r="AG274" s="207"/>
      <c r="AH274" s="207"/>
      <c r="AI274" s="207"/>
      <c r="AJ274" s="207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  <c r="BP274" s="69"/>
      <c r="BQ274" s="69"/>
      <c r="BR274" s="69"/>
      <c r="BS274" s="69"/>
      <c r="BT274" s="69"/>
      <c r="BU274" s="69"/>
      <c r="BV274" s="69"/>
      <c r="BW274" s="69"/>
      <c r="BX274" s="69"/>
      <c r="BY274" s="69"/>
      <c r="BZ274" s="69"/>
      <c r="CA274" s="69"/>
      <c r="CB274" s="69"/>
      <c r="CC274" s="69"/>
      <c r="CD274" s="69"/>
      <c r="CE274" s="69"/>
      <c r="CF274" s="69"/>
      <c r="CG274" s="69"/>
      <c r="CH274" s="69"/>
      <c r="CI274" s="69"/>
      <c r="CJ274" s="69"/>
      <c r="CK274" s="69"/>
      <c r="CL274" s="69"/>
      <c r="CM274" s="69"/>
      <c r="CN274" s="69"/>
      <c r="CO274" s="69"/>
      <c r="CP274" s="69"/>
      <c r="CQ274" s="69"/>
      <c r="CR274" s="69"/>
    </row>
    <row r="275" spans="1:96" ht="12.75" customHeight="1">
      <c r="A275" s="784"/>
      <c r="B275" s="69"/>
      <c r="C275" s="69"/>
      <c r="D275" s="69"/>
      <c r="E275" s="69"/>
      <c r="F275" s="69"/>
      <c r="G275" s="77"/>
      <c r="H275" s="77"/>
      <c r="I275" s="77"/>
      <c r="J275" s="366"/>
      <c r="K275" s="77"/>
      <c r="L275" s="77"/>
      <c r="M275" s="77"/>
      <c r="N275" s="77"/>
      <c r="O275" s="69"/>
      <c r="P275" s="69"/>
      <c r="Q275" s="69"/>
      <c r="R275" s="69"/>
      <c r="S275" s="77"/>
      <c r="T275" s="77"/>
      <c r="U275" s="69"/>
      <c r="V275" s="69"/>
      <c r="W275" s="69"/>
      <c r="X275" s="69"/>
      <c r="Y275" s="69"/>
      <c r="Z275" s="69"/>
      <c r="AA275" s="69"/>
      <c r="AB275" s="69"/>
      <c r="AC275" s="69"/>
      <c r="AD275" s="69"/>
      <c r="AE275" s="69"/>
      <c r="AF275" s="69"/>
      <c r="AG275" s="207"/>
      <c r="AH275" s="207"/>
      <c r="AI275" s="207"/>
      <c r="AJ275" s="207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  <c r="BP275" s="69"/>
      <c r="BQ275" s="69"/>
      <c r="BR275" s="69"/>
      <c r="BS275" s="69"/>
      <c r="BT275" s="69"/>
      <c r="BU275" s="69"/>
      <c r="BV275" s="69"/>
      <c r="BW275" s="69"/>
      <c r="BX275" s="69"/>
      <c r="BY275" s="69"/>
      <c r="BZ275" s="69"/>
      <c r="CA275" s="69"/>
      <c r="CB275" s="69"/>
      <c r="CC275" s="69"/>
      <c r="CD275" s="69"/>
      <c r="CE275" s="69"/>
      <c r="CF275" s="69"/>
      <c r="CG275" s="69"/>
      <c r="CH275" s="69"/>
      <c r="CI275" s="69"/>
      <c r="CJ275" s="69"/>
      <c r="CK275" s="69"/>
      <c r="CL275" s="69"/>
      <c r="CM275" s="69"/>
      <c r="CN275" s="69"/>
      <c r="CO275" s="69"/>
      <c r="CP275" s="69"/>
      <c r="CQ275" s="69"/>
      <c r="CR275" s="69"/>
    </row>
    <row r="276" spans="1:96" ht="12.75" customHeight="1">
      <c r="A276" s="784"/>
      <c r="B276" s="69"/>
      <c r="C276" s="69"/>
      <c r="D276" s="69"/>
      <c r="E276" s="69"/>
      <c r="F276" s="69"/>
      <c r="G276" s="77"/>
      <c r="H276" s="77"/>
      <c r="I276" s="77"/>
      <c r="J276" s="366"/>
      <c r="K276" s="77"/>
      <c r="L276" s="77"/>
      <c r="M276" s="77"/>
      <c r="N276" s="77"/>
      <c r="O276" s="69"/>
      <c r="P276" s="69"/>
      <c r="Q276" s="69"/>
      <c r="R276" s="69"/>
      <c r="S276" s="77"/>
      <c r="T276" s="77"/>
      <c r="U276" s="69"/>
      <c r="V276" s="69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  <c r="AG276" s="207"/>
      <c r="AH276" s="207"/>
      <c r="AI276" s="207"/>
      <c r="AJ276" s="207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  <c r="BP276" s="69"/>
      <c r="BQ276" s="69"/>
      <c r="BR276" s="69"/>
      <c r="BS276" s="69"/>
      <c r="BT276" s="69"/>
      <c r="BU276" s="69"/>
      <c r="BV276" s="69"/>
      <c r="BW276" s="69"/>
      <c r="BX276" s="69"/>
      <c r="BY276" s="69"/>
      <c r="BZ276" s="69"/>
      <c r="CA276" s="69"/>
      <c r="CB276" s="69"/>
      <c r="CC276" s="69"/>
      <c r="CD276" s="69"/>
      <c r="CE276" s="69"/>
      <c r="CF276" s="69"/>
      <c r="CG276" s="69"/>
      <c r="CH276" s="69"/>
      <c r="CI276" s="69"/>
      <c r="CJ276" s="69"/>
      <c r="CK276" s="69"/>
      <c r="CL276" s="69"/>
      <c r="CM276" s="69"/>
      <c r="CN276" s="69"/>
      <c r="CO276" s="69"/>
      <c r="CP276" s="69"/>
      <c r="CQ276" s="69"/>
      <c r="CR276" s="69"/>
    </row>
    <row r="277" spans="1:96" ht="12.75" customHeight="1">
      <c r="A277" s="784"/>
      <c r="B277" s="69"/>
      <c r="C277" s="69"/>
      <c r="D277" s="69"/>
      <c r="E277" s="69"/>
      <c r="F277" s="69"/>
      <c r="G277" s="77"/>
      <c r="H277" s="77"/>
      <c r="I277" s="77"/>
      <c r="J277" s="366"/>
      <c r="K277" s="77"/>
      <c r="L277" s="77"/>
      <c r="M277" s="77"/>
      <c r="N277" s="77"/>
      <c r="O277" s="69"/>
      <c r="P277" s="69"/>
      <c r="Q277" s="69"/>
      <c r="R277" s="69"/>
      <c r="S277" s="77"/>
      <c r="T277" s="77"/>
      <c r="U277" s="69"/>
      <c r="V277" s="69"/>
      <c r="W277" s="69"/>
      <c r="X277" s="69"/>
      <c r="Y277" s="69"/>
      <c r="Z277" s="69"/>
      <c r="AA277" s="69"/>
      <c r="AB277" s="69"/>
      <c r="AC277" s="69"/>
      <c r="AD277" s="69"/>
      <c r="AE277" s="69"/>
      <c r="AF277" s="69"/>
      <c r="AG277" s="207"/>
      <c r="AH277" s="207"/>
      <c r="AI277" s="207"/>
      <c r="AJ277" s="207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  <c r="BP277" s="69"/>
      <c r="BQ277" s="69"/>
      <c r="BR277" s="69"/>
      <c r="BS277" s="69"/>
      <c r="BT277" s="69"/>
      <c r="BU277" s="69"/>
      <c r="BV277" s="69"/>
      <c r="BW277" s="69"/>
      <c r="BX277" s="69"/>
      <c r="BY277" s="69"/>
      <c r="BZ277" s="69"/>
      <c r="CA277" s="69"/>
      <c r="CB277" s="69"/>
      <c r="CC277" s="69"/>
      <c r="CD277" s="69"/>
      <c r="CE277" s="69"/>
      <c r="CF277" s="69"/>
      <c r="CG277" s="69"/>
      <c r="CH277" s="69"/>
      <c r="CI277" s="69"/>
      <c r="CJ277" s="69"/>
      <c r="CK277" s="69"/>
      <c r="CL277" s="69"/>
      <c r="CM277" s="69"/>
      <c r="CN277" s="69"/>
      <c r="CO277" s="69"/>
      <c r="CP277" s="69"/>
      <c r="CQ277" s="69"/>
      <c r="CR277" s="69"/>
    </row>
    <row r="278" spans="1:96" ht="12.75" customHeight="1">
      <c r="A278" s="784"/>
      <c r="B278" s="69"/>
      <c r="C278" s="69"/>
      <c r="D278" s="69"/>
      <c r="E278" s="69"/>
      <c r="F278" s="69"/>
      <c r="G278" s="77"/>
      <c r="H278" s="77"/>
      <c r="I278" s="77"/>
      <c r="J278" s="366"/>
      <c r="K278" s="77"/>
      <c r="L278" s="77"/>
      <c r="M278" s="77"/>
      <c r="N278" s="77"/>
      <c r="O278" s="69"/>
      <c r="P278" s="69"/>
      <c r="Q278" s="69"/>
      <c r="R278" s="69"/>
      <c r="S278" s="77"/>
      <c r="T278" s="77"/>
      <c r="U278" s="69"/>
      <c r="V278" s="69"/>
      <c r="W278" s="69"/>
      <c r="X278" s="69"/>
      <c r="Y278" s="69"/>
      <c r="Z278" s="69"/>
      <c r="AA278" s="69"/>
      <c r="AB278" s="69"/>
      <c r="AC278" s="69"/>
      <c r="AD278" s="69"/>
      <c r="AE278" s="69"/>
      <c r="AF278" s="69"/>
      <c r="AG278" s="207"/>
      <c r="AH278" s="207"/>
      <c r="AI278" s="207"/>
      <c r="AJ278" s="207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  <c r="BP278" s="69"/>
      <c r="BQ278" s="69"/>
      <c r="BR278" s="69"/>
      <c r="BS278" s="69"/>
      <c r="BT278" s="69"/>
      <c r="BU278" s="69"/>
      <c r="BV278" s="69"/>
      <c r="BW278" s="69"/>
      <c r="BX278" s="69"/>
      <c r="BY278" s="69"/>
      <c r="BZ278" s="69"/>
      <c r="CA278" s="69"/>
      <c r="CB278" s="69"/>
      <c r="CC278" s="69"/>
      <c r="CD278" s="69"/>
      <c r="CE278" s="69"/>
      <c r="CF278" s="69"/>
      <c r="CG278" s="69"/>
      <c r="CH278" s="69"/>
      <c r="CI278" s="69"/>
      <c r="CJ278" s="69"/>
      <c r="CK278" s="69"/>
      <c r="CL278" s="69"/>
      <c r="CM278" s="69"/>
      <c r="CN278" s="69"/>
      <c r="CO278" s="69"/>
      <c r="CP278" s="69"/>
      <c r="CQ278" s="69"/>
      <c r="CR278" s="69"/>
    </row>
    <row r="279" spans="1:96" ht="12.75" customHeight="1">
      <c r="A279" s="784"/>
      <c r="B279" s="69"/>
      <c r="C279" s="69"/>
      <c r="D279" s="69"/>
      <c r="E279" s="69"/>
      <c r="F279" s="69"/>
      <c r="G279" s="77"/>
      <c r="H279" s="77"/>
      <c r="I279" s="77"/>
      <c r="J279" s="366"/>
      <c r="K279" s="77"/>
      <c r="L279" s="77"/>
      <c r="M279" s="77"/>
      <c r="N279" s="77"/>
      <c r="O279" s="69"/>
      <c r="P279" s="69"/>
      <c r="Q279" s="69"/>
      <c r="R279" s="69"/>
      <c r="S279" s="77"/>
      <c r="T279" s="77"/>
      <c r="U279" s="69"/>
      <c r="V279" s="69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  <c r="AG279" s="207"/>
      <c r="AH279" s="207"/>
      <c r="AI279" s="207"/>
      <c r="AJ279" s="207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  <c r="BP279" s="69"/>
      <c r="BQ279" s="69"/>
      <c r="BR279" s="69"/>
      <c r="BS279" s="69"/>
      <c r="BT279" s="69"/>
      <c r="BU279" s="69"/>
      <c r="BV279" s="69"/>
      <c r="BW279" s="69"/>
      <c r="BX279" s="69"/>
      <c r="BY279" s="69"/>
      <c r="BZ279" s="69"/>
      <c r="CA279" s="69"/>
      <c r="CB279" s="69"/>
      <c r="CC279" s="69"/>
      <c r="CD279" s="69"/>
      <c r="CE279" s="69"/>
      <c r="CF279" s="69"/>
      <c r="CG279" s="69"/>
      <c r="CH279" s="69"/>
      <c r="CI279" s="69"/>
      <c r="CJ279" s="69"/>
      <c r="CK279" s="69"/>
      <c r="CL279" s="69"/>
      <c r="CM279" s="69"/>
      <c r="CN279" s="69"/>
      <c r="CO279" s="69"/>
      <c r="CP279" s="69"/>
      <c r="CQ279" s="69"/>
      <c r="CR279" s="69"/>
    </row>
    <row r="280" spans="1:96" ht="12.75" customHeight="1">
      <c r="A280" s="784"/>
      <c r="B280" s="69"/>
      <c r="C280" s="69"/>
      <c r="D280" s="69"/>
      <c r="E280" s="69"/>
      <c r="F280" s="69"/>
      <c r="G280" s="77"/>
      <c r="H280" s="77"/>
      <c r="I280" s="77"/>
      <c r="J280" s="366"/>
      <c r="K280" s="77"/>
      <c r="L280" s="77"/>
      <c r="M280" s="77"/>
      <c r="N280" s="77"/>
      <c r="O280" s="69"/>
      <c r="P280" s="69"/>
      <c r="Q280" s="69"/>
      <c r="R280" s="69"/>
      <c r="S280" s="77"/>
      <c r="T280" s="77"/>
      <c r="U280" s="69"/>
      <c r="V280" s="69"/>
      <c r="W280" s="69"/>
      <c r="X280" s="69"/>
      <c r="Y280" s="69"/>
      <c r="Z280" s="69"/>
      <c r="AA280" s="69"/>
      <c r="AB280" s="69"/>
      <c r="AC280" s="69"/>
      <c r="AD280" s="69"/>
      <c r="AE280" s="69"/>
      <c r="AF280" s="69"/>
      <c r="AG280" s="207"/>
      <c r="AH280" s="207"/>
      <c r="AI280" s="207"/>
      <c r="AJ280" s="207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  <c r="BP280" s="69"/>
      <c r="BQ280" s="69"/>
      <c r="BR280" s="69"/>
      <c r="BS280" s="69"/>
      <c r="BT280" s="69"/>
      <c r="BU280" s="69"/>
      <c r="BV280" s="69"/>
      <c r="BW280" s="69"/>
      <c r="BX280" s="69"/>
      <c r="BY280" s="69"/>
      <c r="BZ280" s="69"/>
      <c r="CA280" s="69"/>
      <c r="CB280" s="69"/>
      <c r="CC280" s="69"/>
      <c r="CD280" s="69"/>
      <c r="CE280" s="69"/>
      <c r="CF280" s="69"/>
      <c r="CG280" s="69"/>
      <c r="CH280" s="69"/>
      <c r="CI280" s="69"/>
      <c r="CJ280" s="69"/>
      <c r="CK280" s="69"/>
      <c r="CL280" s="69"/>
      <c r="CM280" s="69"/>
      <c r="CN280" s="69"/>
      <c r="CO280" s="69"/>
      <c r="CP280" s="69"/>
      <c r="CQ280" s="69"/>
      <c r="CR280" s="69"/>
    </row>
    <row r="281" spans="1:96" ht="12.75" customHeight="1">
      <c r="A281" s="784"/>
      <c r="B281" s="69"/>
      <c r="C281" s="69"/>
      <c r="D281" s="69"/>
      <c r="E281" s="69"/>
      <c r="F281" s="69"/>
      <c r="G281" s="77"/>
      <c r="H281" s="77"/>
      <c r="I281" s="77"/>
      <c r="J281" s="366"/>
      <c r="K281" s="77"/>
      <c r="L281" s="77"/>
      <c r="M281" s="77"/>
      <c r="N281" s="77"/>
      <c r="O281" s="69"/>
      <c r="P281" s="69"/>
      <c r="Q281" s="69"/>
      <c r="R281" s="69"/>
      <c r="S281" s="77"/>
      <c r="T281" s="77"/>
      <c r="U281" s="69"/>
      <c r="V281" s="69"/>
      <c r="W281" s="69"/>
      <c r="X281" s="69"/>
      <c r="Y281" s="69"/>
      <c r="Z281" s="69"/>
      <c r="AA281" s="69"/>
      <c r="AB281" s="69"/>
      <c r="AC281" s="69"/>
      <c r="AD281" s="69"/>
      <c r="AE281" s="69"/>
      <c r="AF281" s="69"/>
      <c r="AG281" s="207"/>
      <c r="AH281" s="207"/>
      <c r="AI281" s="207"/>
      <c r="AJ281" s="207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  <c r="BP281" s="69"/>
      <c r="BQ281" s="69"/>
      <c r="BR281" s="69"/>
      <c r="BS281" s="69"/>
      <c r="BT281" s="69"/>
      <c r="BU281" s="69"/>
      <c r="BV281" s="69"/>
      <c r="BW281" s="69"/>
      <c r="BX281" s="69"/>
      <c r="BY281" s="69"/>
      <c r="BZ281" s="69"/>
      <c r="CA281" s="69"/>
      <c r="CB281" s="69"/>
      <c r="CC281" s="69"/>
      <c r="CD281" s="69"/>
      <c r="CE281" s="69"/>
      <c r="CF281" s="69"/>
      <c r="CG281" s="69"/>
      <c r="CH281" s="69"/>
      <c r="CI281" s="69"/>
      <c r="CJ281" s="69"/>
      <c r="CK281" s="69"/>
      <c r="CL281" s="69"/>
      <c r="CM281" s="69"/>
      <c r="CN281" s="69"/>
      <c r="CO281" s="69"/>
      <c r="CP281" s="69"/>
      <c r="CQ281" s="69"/>
      <c r="CR281" s="69"/>
    </row>
    <row r="282" spans="1:96" ht="12.75" customHeight="1">
      <c r="A282" s="784"/>
      <c r="B282" s="69"/>
      <c r="C282" s="69"/>
      <c r="D282" s="69"/>
      <c r="E282" s="69"/>
      <c r="F282" s="69"/>
      <c r="G282" s="77"/>
      <c r="H282" s="77"/>
      <c r="I282" s="77"/>
      <c r="J282" s="366"/>
      <c r="K282" s="77"/>
      <c r="L282" s="77"/>
      <c r="M282" s="77"/>
      <c r="N282" s="77"/>
      <c r="O282" s="69"/>
      <c r="P282" s="69"/>
      <c r="Q282" s="69"/>
      <c r="R282" s="69"/>
      <c r="S282" s="77"/>
      <c r="T282" s="77"/>
      <c r="U282" s="69"/>
      <c r="V282" s="69"/>
      <c r="W282" s="69"/>
      <c r="X282" s="69"/>
      <c r="Y282" s="69"/>
      <c r="Z282" s="69"/>
      <c r="AA282" s="69"/>
      <c r="AB282" s="69"/>
      <c r="AC282" s="69"/>
      <c r="AD282" s="69"/>
      <c r="AE282" s="69"/>
      <c r="AF282" s="69"/>
      <c r="AG282" s="207"/>
      <c r="AH282" s="207"/>
      <c r="AI282" s="207"/>
      <c r="AJ282" s="207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  <c r="BP282" s="69"/>
      <c r="BQ282" s="69"/>
      <c r="BR282" s="69"/>
      <c r="BS282" s="69"/>
      <c r="BT282" s="69"/>
      <c r="BU282" s="69"/>
      <c r="BV282" s="69"/>
      <c r="BW282" s="69"/>
      <c r="BX282" s="69"/>
      <c r="BY282" s="69"/>
      <c r="BZ282" s="69"/>
      <c r="CA282" s="69"/>
      <c r="CB282" s="69"/>
      <c r="CC282" s="69"/>
      <c r="CD282" s="69"/>
      <c r="CE282" s="69"/>
      <c r="CF282" s="69"/>
      <c r="CG282" s="69"/>
      <c r="CH282" s="69"/>
      <c r="CI282" s="69"/>
      <c r="CJ282" s="69"/>
      <c r="CK282" s="69"/>
      <c r="CL282" s="69"/>
      <c r="CM282" s="69"/>
      <c r="CN282" s="69"/>
      <c r="CO282" s="69"/>
      <c r="CP282" s="69"/>
      <c r="CQ282" s="69"/>
      <c r="CR282" s="69"/>
    </row>
    <row r="283" spans="1:96" ht="12.75" customHeight="1">
      <c r="A283" s="784"/>
      <c r="B283" s="69"/>
      <c r="C283" s="69"/>
      <c r="D283" s="69"/>
      <c r="E283" s="69"/>
      <c r="F283" s="69"/>
      <c r="G283" s="77"/>
      <c r="H283" s="77"/>
      <c r="I283" s="77"/>
      <c r="J283" s="366"/>
      <c r="K283" s="77"/>
      <c r="L283" s="77"/>
      <c r="M283" s="77"/>
      <c r="N283" s="77"/>
      <c r="O283" s="69"/>
      <c r="P283" s="69"/>
      <c r="Q283" s="69"/>
      <c r="R283" s="69"/>
      <c r="S283" s="77"/>
      <c r="T283" s="77"/>
      <c r="U283" s="69"/>
      <c r="V283" s="69"/>
      <c r="W283" s="69"/>
      <c r="X283" s="69"/>
      <c r="Y283" s="69"/>
      <c r="Z283" s="69"/>
      <c r="AA283" s="69"/>
      <c r="AB283" s="69"/>
      <c r="AC283" s="69"/>
      <c r="AD283" s="69"/>
      <c r="AE283" s="69"/>
      <c r="AF283" s="69"/>
      <c r="AG283" s="207"/>
      <c r="AH283" s="207"/>
      <c r="AI283" s="207"/>
      <c r="AJ283" s="207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  <c r="BP283" s="69"/>
      <c r="BQ283" s="69"/>
      <c r="BR283" s="69"/>
      <c r="BS283" s="69"/>
      <c r="BT283" s="69"/>
      <c r="BU283" s="69"/>
      <c r="BV283" s="69"/>
      <c r="BW283" s="69"/>
      <c r="BX283" s="69"/>
      <c r="BY283" s="69"/>
      <c r="BZ283" s="69"/>
      <c r="CA283" s="69"/>
      <c r="CB283" s="69"/>
      <c r="CC283" s="69"/>
      <c r="CD283" s="69"/>
      <c r="CE283" s="69"/>
      <c r="CF283" s="69"/>
      <c r="CG283" s="69"/>
      <c r="CH283" s="69"/>
      <c r="CI283" s="69"/>
      <c r="CJ283" s="69"/>
      <c r="CK283" s="69"/>
      <c r="CL283" s="69"/>
      <c r="CM283" s="69"/>
      <c r="CN283" s="69"/>
      <c r="CO283" s="69"/>
      <c r="CP283" s="69"/>
      <c r="CQ283" s="69"/>
      <c r="CR283" s="69"/>
    </row>
    <row r="284" spans="1:96" ht="12.75" customHeight="1">
      <c r="A284" s="784"/>
      <c r="B284" s="69"/>
      <c r="C284" s="69"/>
      <c r="D284" s="69"/>
      <c r="E284" s="69"/>
      <c r="F284" s="69"/>
      <c r="G284" s="77"/>
      <c r="H284" s="77"/>
      <c r="I284" s="77"/>
      <c r="J284" s="366"/>
      <c r="K284" s="77"/>
      <c r="L284" s="77"/>
      <c r="M284" s="77"/>
      <c r="N284" s="77"/>
      <c r="O284" s="69"/>
      <c r="P284" s="69"/>
      <c r="Q284" s="69"/>
      <c r="R284" s="69"/>
      <c r="S284" s="77"/>
      <c r="T284" s="77"/>
      <c r="U284" s="69"/>
      <c r="V284" s="69"/>
      <c r="W284" s="69"/>
      <c r="X284" s="69"/>
      <c r="Y284" s="69"/>
      <c r="Z284" s="69"/>
      <c r="AA284" s="69"/>
      <c r="AB284" s="69"/>
      <c r="AC284" s="69"/>
      <c r="AD284" s="69"/>
      <c r="AE284" s="69"/>
      <c r="AF284" s="69"/>
      <c r="AG284" s="207"/>
      <c r="AH284" s="207"/>
      <c r="AI284" s="207"/>
      <c r="AJ284" s="207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  <c r="BP284" s="69"/>
      <c r="BQ284" s="69"/>
      <c r="BR284" s="69"/>
      <c r="BS284" s="69"/>
      <c r="BT284" s="69"/>
      <c r="BU284" s="69"/>
      <c r="BV284" s="69"/>
      <c r="BW284" s="69"/>
      <c r="BX284" s="69"/>
      <c r="BY284" s="69"/>
      <c r="BZ284" s="69"/>
      <c r="CA284" s="69"/>
      <c r="CB284" s="69"/>
      <c r="CC284" s="69"/>
      <c r="CD284" s="69"/>
      <c r="CE284" s="69"/>
      <c r="CF284" s="69"/>
      <c r="CG284" s="69"/>
      <c r="CH284" s="69"/>
      <c r="CI284" s="69"/>
      <c r="CJ284" s="69"/>
      <c r="CK284" s="69"/>
      <c r="CL284" s="69"/>
      <c r="CM284" s="69"/>
      <c r="CN284" s="69"/>
      <c r="CO284" s="69"/>
      <c r="CP284" s="69"/>
      <c r="CQ284" s="69"/>
      <c r="CR284" s="69"/>
    </row>
    <row r="285" spans="1:96" ht="12.75" customHeight="1">
      <c r="A285" s="784"/>
      <c r="B285" s="69"/>
      <c r="C285" s="69"/>
      <c r="D285" s="69"/>
      <c r="E285" s="69"/>
      <c r="F285" s="69"/>
      <c r="G285" s="77"/>
      <c r="H285" s="77"/>
      <c r="I285" s="77"/>
      <c r="J285" s="366"/>
      <c r="K285" s="77"/>
      <c r="L285" s="77"/>
      <c r="M285" s="77"/>
      <c r="N285" s="77"/>
      <c r="O285" s="69"/>
      <c r="P285" s="69"/>
      <c r="Q285" s="69"/>
      <c r="R285" s="69"/>
      <c r="S285" s="77"/>
      <c r="T285" s="77"/>
      <c r="U285" s="69"/>
      <c r="V285" s="69"/>
      <c r="W285" s="69"/>
      <c r="X285" s="69"/>
      <c r="Y285" s="69"/>
      <c r="Z285" s="69"/>
      <c r="AA285" s="69"/>
      <c r="AB285" s="69"/>
      <c r="AC285" s="69"/>
      <c r="AD285" s="69"/>
      <c r="AE285" s="69"/>
      <c r="AF285" s="69"/>
      <c r="AG285" s="207"/>
      <c r="AH285" s="207"/>
      <c r="AI285" s="207"/>
      <c r="AJ285" s="207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  <c r="BP285" s="69"/>
      <c r="BQ285" s="69"/>
      <c r="BR285" s="69"/>
      <c r="BS285" s="69"/>
      <c r="BT285" s="69"/>
      <c r="BU285" s="69"/>
      <c r="BV285" s="69"/>
      <c r="BW285" s="69"/>
      <c r="BX285" s="69"/>
      <c r="BY285" s="69"/>
      <c r="BZ285" s="69"/>
      <c r="CA285" s="69"/>
      <c r="CB285" s="69"/>
      <c r="CC285" s="69"/>
      <c r="CD285" s="69"/>
      <c r="CE285" s="69"/>
      <c r="CF285" s="69"/>
      <c r="CG285" s="69"/>
      <c r="CH285" s="69"/>
      <c r="CI285" s="69"/>
      <c r="CJ285" s="69"/>
      <c r="CK285" s="69"/>
      <c r="CL285" s="69"/>
      <c r="CM285" s="69"/>
      <c r="CN285" s="69"/>
      <c r="CO285" s="69"/>
      <c r="CP285" s="69"/>
      <c r="CQ285" s="69"/>
      <c r="CR285" s="69"/>
    </row>
    <row r="286" spans="1:96" ht="12.75" customHeight="1">
      <c r="A286" s="784"/>
      <c r="B286" s="69"/>
      <c r="C286" s="69"/>
      <c r="D286" s="69"/>
      <c r="E286" s="69"/>
      <c r="F286" s="69"/>
      <c r="G286" s="77"/>
      <c r="H286" s="77"/>
      <c r="I286" s="77"/>
      <c r="J286" s="366"/>
      <c r="K286" s="77"/>
      <c r="L286" s="77"/>
      <c r="M286" s="77"/>
      <c r="N286" s="77"/>
      <c r="O286" s="69"/>
      <c r="P286" s="69"/>
      <c r="Q286" s="69"/>
      <c r="R286" s="69"/>
      <c r="S286" s="77"/>
      <c r="T286" s="77"/>
      <c r="U286" s="69"/>
      <c r="V286" s="69"/>
      <c r="W286" s="69"/>
      <c r="X286" s="69"/>
      <c r="Y286" s="69"/>
      <c r="Z286" s="69"/>
      <c r="AA286" s="69"/>
      <c r="AB286" s="69"/>
      <c r="AC286" s="69"/>
      <c r="AD286" s="69"/>
      <c r="AE286" s="69"/>
      <c r="AF286" s="69"/>
      <c r="AG286" s="207"/>
      <c r="AH286" s="207"/>
      <c r="AI286" s="207"/>
      <c r="AJ286" s="207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  <c r="BP286" s="69"/>
      <c r="BQ286" s="69"/>
      <c r="BR286" s="69"/>
      <c r="BS286" s="69"/>
      <c r="BT286" s="69"/>
      <c r="BU286" s="69"/>
      <c r="BV286" s="69"/>
      <c r="BW286" s="69"/>
      <c r="BX286" s="69"/>
      <c r="BY286" s="69"/>
      <c r="BZ286" s="69"/>
      <c r="CA286" s="69"/>
      <c r="CB286" s="69"/>
      <c r="CC286" s="69"/>
      <c r="CD286" s="69"/>
      <c r="CE286" s="69"/>
      <c r="CF286" s="69"/>
      <c r="CG286" s="69"/>
      <c r="CH286" s="69"/>
      <c r="CI286" s="69"/>
      <c r="CJ286" s="69"/>
      <c r="CK286" s="69"/>
      <c r="CL286" s="69"/>
      <c r="CM286" s="69"/>
      <c r="CN286" s="69"/>
      <c r="CO286" s="69"/>
      <c r="CP286" s="69"/>
      <c r="CQ286" s="69"/>
      <c r="CR286" s="69"/>
    </row>
    <row r="287" spans="1:96" ht="12.75" customHeight="1">
      <c r="A287" s="784"/>
      <c r="B287" s="69"/>
      <c r="C287" s="69"/>
      <c r="D287" s="69"/>
      <c r="E287" s="69"/>
      <c r="F287" s="69"/>
      <c r="G287" s="77"/>
      <c r="H287" s="77"/>
      <c r="I287" s="77"/>
      <c r="J287" s="366"/>
      <c r="K287" s="77"/>
      <c r="L287" s="77"/>
      <c r="M287" s="77"/>
      <c r="N287" s="77"/>
      <c r="O287" s="69"/>
      <c r="P287" s="69"/>
      <c r="Q287" s="69"/>
      <c r="R287" s="69"/>
      <c r="S287" s="77"/>
      <c r="T287" s="77"/>
      <c r="U287" s="69"/>
      <c r="V287" s="69"/>
      <c r="W287" s="69"/>
      <c r="X287" s="69"/>
      <c r="Y287" s="69"/>
      <c r="Z287" s="69"/>
      <c r="AA287" s="69"/>
      <c r="AB287" s="69"/>
      <c r="AC287" s="69"/>
      <c r="AD287" s="69"/>
      <c r="AE287" s="69"/>
      <c r="AF287" s="69"/>
      <c r="AG287" s="207"/>
      <c r="AH287" s="207"/>
      <c r="AI287" s="207"/>
      <c r="AJ287" s="207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  <c r="BP287" s="69"/>
      <c r="BQ287" s="69"/>
      <c r="BR287" s="69"/>
      <c r="BS287" s="69"/>
      <c r="BT287" s="69"/>
      <c r="BU287" s="69"/>
      <c r="BV287" s="69"/>
      <c r="BW287" s="69"/>
      <c r="BX287" s="69"/>
      <c r="BY287" s="69"/>
      <c r="BZ287" s="69"/>
      <c r="CA287" s="69"/>
      <c r="CB287" s="69"/>
      <c r="CC287" s="69"/>
      <c r="CD287" s="69"/>
      <c r="CE287" s="69"/>
      <c r="CF287" s="69"/>
      <c r="CG287" s="69"/>
      <c r="CH287" s="69"/>
      <c r="CI287" s="69"/>
      <c r="CJ287" s="69"/>
      <c r="CK287" s="69"/>
      <c r="CL287" s="69"/>
      <c r="CM287" s="69"/>
      <c r="CN287" s="69"/>
      <c r="CO287" s="69"/>
      <c r="CP287" s="69"/>
      <c r="CQ287" s="69"/>
      <c r="CR287" s="69"/>
    </row>
    <row r="288" spans="1:96" ht="12.75" customHeight="1">
      <c r="A288" s="784"/>
      <c r="B288" s="69"/>
      <c r="C288" s="69"/>
      <c r="D288" s="69"/>
      <c r="E288" s="69"/>
      <c r="F288" s="69"/>
      <c r="G288" s="77"/>
      <c r="H288" s="77"/>
      <c r="I288" s="77"/>
      <c r="J288" s="366"/>
      <c r="K288" s="77"/>
      <c r="L288" s="77"/>
      <c r="M288" s="77"/>
      <c r="N288" s="77"/>
      <c r="O288" s="69"/>
      <c r="P288" s="69"/>
      <c r="Q288" s="69"/>
      <c r="R288" s="69"/>
      <c r="S288" s="77"/>
      <c r="T288" s="77"/>
      <c r="U288" s="69"/>
      <c r="V288" s="69"/>
      <c r="W288" s="69"/>
      <c r="X288" s="69"/>
      <c r="Y288" s="69"/>
      <c r="Z288" s="69"/>
      <c r="AA288" s="69"/>
      <c r="AB288" s="69"/>
      <c r="AC288" s="69"/>
      <c r="AD288" s="69"/>
      <c r="AE288" s="69"/>
      <c r="AF288" s="69"/>
      <c r="AG288" s="207"/>
      <c r="AH288" s="207"/>
      <c r="AI288" s="207"/>
      <c r="AJ288" s="207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  <c r="BP288" s="69"/>
      <c r="BQ288" s="69"/>
      <c r="BR288" s="69"/>
      <c r="BS288" s="69"/>
      <c r="BT288" s="69"/>
      <c r="BU288" s="69"/>
      <c r="BV288" s="69"/>
      <c r="BW288" s="69"/>
      <c r="BX288" s="69"/>
      <c r="BY288" s="69"/>
      <c r="BZ288" s="69"/>
      <c r="CA288" s="69"/>
      <c r="CB288" s="69"/>
      <c r="CC288" s="69"/>
      <c r="CD288" s="69"/>
      <c r="CE288" s="69"/>
      <c r="CF288" s="69"/>
      <c r="CG288" s="69"/>
      <c r="CH288" s="69"/>
      <c r="CI288" s="69"/>
      <c r="CJ288" s="69"/>
      <c r="CK288" s="69"/>
      <c r="CL288" s="69"/>
      <c r="CM288" s="69"/>
      <c r="CN288" s="69"/>
      <c r="CO288" s="69"/>
      <c r="CP288" s="69"/>
      <c r="CQ288" s="69"/>
      <c r="CR288" s="69"/>
    </row>
    <row r="289" spans="1:96" ht="12.75" customHeight="1">
      <c r="A289" s="784"/>
      <c r="B289" s="69"/>
      <c r="C289" s="69"/>
      <c r="D289" s="69"/>
      <c r="E289" s="69"/>
      <c r="F289" s="69"/>
      <c r="G289" s="77"/>
      <c r="H289" s="77"/>
      <c r="I289" s="77"/>
      <c r="J289" s="366"/>
      <c r="K289" s="77"/>
      <c r="L289" s="77"/>
      <c r="M289" s="77"/>
      <c r="N289" s="77"/>
      <c r="O289" s="69"/>
      <c r="P289" s="69"/>
      <c r="Q289" s="69"/>
      <c r="R289" s="69"/>
      <c r="S289" s="77"/>
      <c r="T289" s="77"/>
      <c r="U289" s="69"/>
      <c r="V289" s="69"/>
      <c r="W289" s="69"/>
      <c r="X289" s="69"/>
      <c r="Y289" s="69"/>
      <c r="Z289" s="69"/>
      <c r="AA289" s="69"/>
      <c r="AB289" s="69"/>
      <c r="AC289" s="69"/>
      <c r="AD289" s="69"/>
      <c r="AE289" s="69"/>
      <c r="AF289" s="69"/>
      <c r="AG289" s="207"/>
      <c r="AH289" s="207"/>
      <c r="AI289" s="207"/>
      <c r="AJ289" s="207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  <c r="BP289" s="69"/>
      <c r="BQ289" s="69"/>
      <c r="BR289" s="69"/>
      <c r="BS289" s="69"/>
      <c r="BT289" s="69"/>
      <c r="BU289" s="69"/>
      <c r="BV289" s="69"/>
      <c r="BW289" s="69"/>
      <c r="BX289" s="69"/>
      <c r="BY289" s="69"/>
      <c r="BZ289" s="69"/>
      <c r="CA289" s="69"/>
      <c r="CB289" s="69"/>
      <c r="CC289" s="69"/>
      <c r="CD289" s="69"/>
      <c r="CE289" s="69"/>
      <c r="CF289" s="69"/>
      <c r="CG289" s="69"/>
      <c r="CH289" s="69"/>
      <c r="CI289" s="69"/>
      <c r="CJ289" s="69"/>
      <c r="CK289" s="69"/>
      <c r="CL289" s="69"/>
      <c r="CM289" s="69"/>
      <c r="CN289" s="69"/>
      <c r="CO289" s="69"/>
      <c r="CP289" s="69"/>
      <c r="CQ289" s="69"/>
      <c r="CR289" s="69"/>
    </row>
    <row r="290" spans="1:96" ht="12.75" customHeight="1">
      <c r="A290" s="784"/>
      <c r="B290" s="69"/>
      <c r="C290" s="69"/>
      <c r="D290" s="69"/>
      <c r="E290" s="69"/>
      <c r="F290" s="69"/>
      <c r="G290" s="77"/>
      <c r="H290" s="77"/>
      <c r="I290" s="77"/>
      <c r="J290" s="366"/>
      <c r="K290" s="77"/>
      <c r="L290" s="77"/>
      <c r="M290" s="77"/>
      <c r="N290" s="77"/>
      <c r="O290" s="69"/>
      <c r="P290" s="69"/>
      <c r="Q290" s="69"/>
      <c r="R290" s="69"/>
      <c r="S290" s="77"/>
      <c r="T290" s="77"/>
      <c r="U290" s="69"/>
      <c r="V290" s="69"/>
      <c r="W290" s="69"/>
      <c r="X290" s="69"/>
      <c r="Y290" s="69"/>
      <c r="Z290" s="69"/>
      <c r="AA290" s="69"/>
      <c r="AB290" s="69"/>
      <c r="AC290" s="69"/>
      <c r="AD290" s="69"/>
      <c r="AE290" s="69"/>
      <c r="AF290" s="69"/>
      <c r="AG290" s="207"/>
      <c r="AH290" s="207"/>
      <c r="AI290" s="207"/>
      <c r="AJ290" s="207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  <c r="BP290" s="69"/>
      <c r="BQ290" s="69"/>
      <c r="BR290" s="69"/>
      <c r="BS290" s="69"/>
      <c r="BT290" s="69"/>
      <c r="BU290" s="69"/>
      <c r="BV290" s="69"/>
      <c r="BW290" s="69"/>
      <c r="BX290" s="69"/>
      <c r="BY290" s="69"/>
      <c r="BZ290" s="69"/>
      <c r="CA290" s="69"/>
      <c r="CB290" s="69"/>
      <c r="CC290" s="69"/>
      <c r="CD290" s="69"/>
      <c r="CE290" s="69"/>
      <c r="CF290" s="69"/>
      <c r="CG290" s="69"/>
      <c r="CH290" s="69"/>
      <c r="CI290" s="69"/>
      <c r="CJ290" s="69"/>
      <c r="CK290" s="69"/>
      <c r="CL290" s="69"/>
      <c r="CM290" s="69"/>
      <c r="CN290" s="69"/>
      <c r="CO290" s="69"/>
      <c r="CP290" s="69"/>
      <c r="CQ290" s="69"/>
      <c r="CR290" s="69"/>
    </row>
    <row r="291" spans="1:96" ht="12.75" customHeight="1">
      <c r="A291" s="784"/>
      <c r="B291" s="69"/>
      <c r="C291" s="69"/>
      <c r="D291" s="69"/>
      <c r="E291" s="69"/>
      <c r="F291" s="69"/>
      <c r="G291" s="77"/>
      <c r="H291" s="77"/>
      <c r="I291" s="77"/>
      <c r="J291" s="366"/>
      <c r="K291" s="77"/>
      <c r="L291" s="77"/>
      <c r="M291" s="77"/>
      <c r="N291" s="77"/>
      <c r="O291" s="69"/>
      <c r="P291" s="69"/>
      <c r="Q291" s="69"/>
      <c r="R291" s="69"/>
      <c r="S291" s="77"/>
      <c r="T291" s="77"/>
      <c r="U291" s="69"/>
      <c r="V291" s="69"/>
      <c r="W291" s="69"/>
      <c r="X291" s="69"/>
      <c r="Y291" s="69"/>
      <c r="Z291" s="69"/>
      <c r="AA291" s="69"/>
      <c r="AB291" s="69"/>
      <c r="AC291" s="69"/>
      <c r="AD291" s="69"/>
      <c r="AE291" s="69"/>
      <c r="AF291" s="69"/>
      <c r="AG291" s="207"/>
      <c r="AH291" s="207"/>
      <c r="AI291" s="207"/>
      <c r="AJ291" s="207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  <c r="BP291" s="69"/>
      <c r="BQ291" s="69"/>
      <c r="BR291" s="69"/>
      <c r="BS291" s="69"/>
      <c r="BT291" s="69"/>
      <c r="BU291" s="69"/>
      <c r="BV291" s="69"/>
      <c r="BW291" s="69"/>
      <c r="BX291" s="69"/>
      <c r="BY291" s="69"/>
      <c r="BZ291" s="69"/>
      <c r="CA291" s="69"/>
      <c r="CB291" s="69"/>
      <c r="CC291" s="69"/>
      <c r="CD291" s="69"/>
      <c r="CE291" s="69"/>
      <c r="CF291" s="69"/>
      <c r="CG291" s="69"/>
      <c r="CH291" s="69"/>
      <c r="CI291" s="69"/>
      <c r="CJ291" s="69"/>
      <c r="CK291" s="69"/>
      <c r="CL291" s="69"/>
      <c r="CM291" s="69"/>
      <c r="CN291" s="69"/>
      <c r="CO291" s="69"/>
      <c r="CP291" s="69"/>
      <c r="CQ291" s="69"/>
      <c r="CR291" s="69"/>
    </row>
    <row r="292" spans="1:96" ht="12.75" customHeight="1">
      <c r="A292" s="784"/>
      <c r="B292" s="69"/>
      <c r="C292" s="69"/>
      <c r="D292" s="69"/>
      <c r="E292" s="69"/>
      <c r="F292" s="69"/>
      <c r="G292" s="77"/>
      <c r="H292" s="77"/>
      <c r="I292" s="77"/>
      <c r="J292" s="366"/>
      <c r="K292" s="77"/>
      <c r="L292" s="77"/>
      <c r="M292" s="77"/>
      <c r="N292" s="77"/>
      <c r="O292" s="69"/>
      <c r="P292" s="69"/>
      <c r="Q292" s="69"/>
      <c r="R292" s="69"/>
      <c r="S292" s="77"/>
      <c r="T292" s="77"/>
      <c r="U292" s="69"/>
      <c r="V292" s="69"/>
      <c r="W292" s="69"/>
      <c r="X292" s="69"/>
      <c r="Y292" s="69"/>
      <c r="Z292" s="69"/>
      <c r="AA292" s="69"/>
      <c r="AB292" s="69"/>
      <c r="AC292" s="69"/>
      <c r="AD292" s="69"/>
      <c r="AE292" s="69"/>
      <c r="AF292" s="69"/>
      <c r="AG292" s="207"/>
      <c r="AH292" s="207"/>
      <c r="AI292" s="207"/>
      <c r="AJ292" s="207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  <c r="BP292" s="69"/>
      <c r="BQ292" s="69"/>
      <c r="BR292" s="69"/>
      <c r="BS292" s="69"/>
      <c r="BT292" s="69"/>
      <c r="BU292" s="69"/>
      <c r="BV292" s="69"/>
      <c r="BW292" s="69"/>
      <c r="BX292" s="69"/>
      <c r="BY292" s="69"/>
      <c r="BZ292" s="69"/>
      <c r="CA292" s="69"/>
      <c r="CB292" s="69"/>
      <c r="CC292" s="69"/>
      <c r="CD292" s="69"/>
      <c r="CE292" s="69"/>
      <c r="CF292" s="69"/>
      <c r="CG292" s="69"/>
      <c r="CH292" s="69"/>
      <c r="CI292" s="69"/>
      <c r="CJ292" s="69"/>
      <c r="CK292" s="69"/>
      <c r="CL292" s="69"/>
      <c r="CM292" s="69"/>
      <c r="CN292" s="69"/>
      <c r="CO292" s="69"/>
      <c r="CP292" s="69"/>
      <c r="CQ292" s="69"/>
      <c r="CR292" s="69"/>
    </row>
    <row r="293" spans="1:96" ht="12.75" customHeight="1">
      <c r="A293" s="784"/>
      <c r="B293" s="69"/>
      <c r="C293" s="69"/>
      <c r="D293" s="69"/>
      <c r="E293" s="69"/>
      <c r="F293" s="69"/>
      <c r="G293" s="77"/>
      <c r="H293" s="77"/>
      <c r="I293" s="77"/>
      <c r="J293" s="366"/>
      <c r="K293" s="77"/>
      <c r="L293" s="77"/>
      <c r="M293" s="77"/>
      <c r="N293" s="77"/>
      <c r="O293" s="69"/>
      <c r="P293" s="69"/>
      <c r="Q293" s="69"/>
      <c r="R293" s="69"/>
      <c r="S293" s="77"/>
      <c r="T293" s="77"/>
      <c r="U293" s="69"/>
      <c r="V293" s="69"/>
      <c r="W293" s="69"/>
      <c r="X293" s="69"/>
      <c r="Y293" s="69"/>
      <c r="Z293" s="69"/>
      <c r="AA293" s="69"/>
      <c r="AB293" s="69"/>
      <c r="AC293" s="69"/>
      <c r="AD293" s="69"/>
      <c r="AE293" s="69"/>
      <c r="AF293" s="69"/>
      <c r="AG293" s="207"/>
      <c r="AH293" s="207"/>
      <c r="AI293" s="207"/>
      <c r="AJ293" s="207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  <c r="BP293" s="69"/>
      <c r="BQ293" s="69"/>
      <c r="BR293" s="69"/>
      <c r="BS293" s="69"/>
      <c r="BT293" s="69"/>
      <c r="BU293" s="69"/>
      <c r="BV293" s="69"/>
      <c r="BW293" s="69"/>
      <c r="BX293" s="69"/>
      <c r="BY293" s="69"/>
      <c r="BZ293" s="69"/>
      <c r="CA293" s="69"/>
      <c r="CB293" s="69"/>
      <c r="CC293" s="69"/>
      <c r="CD293" s="69"/>
      <c r="CE293" s="69"/>
      <c r="CF293" s="69"/>
      <c r="CG293" s="69"/>
      <c r="CH293" s="69"/>
      <c r="CI293" s="69"/>
      <c r="CJ293" s="69"/>
      <c r="CK293" s="69"/>
      <c r="CL293" s="69"/>
      <c r="CM293" s="69"/>
      <c r="CN293" s="69"/>
      <c r="CO293" s="69"/>
      <c r="CP293" s="69"/>
      <c r="CQ293" s="69"/>
      <c r="CR293" s="69"/>
    </row>
    <row r="294" spans="1:96" ht="12.75" customHeight="1">
      <c r="A294" s="784"/>
      <c r="B294" s="69"/>
      <c r="C294" s="69"/>
      <c r="D294" s="69"/>
      <c r="E294" s="69"/>
      <c r="F294" s="69"/>
      <c r="G294" s="77"/>
      <c r="H294" s="77"/>
      <c r="I294" s="77"/>
      <c r="J294" s="366"/>
      <c r="K294" s="77"/>
      <c r="L294" s="77"/>
      <c r="M294" s="77"/>
      <c r="N294" s="77"/>
      <c r="O294" s="69"/>
      <c r="P294" s="69"/>
      <c r="Q294" s="69"/>
      <c r="R294" s="69"/>
      <c r="S294" s="77"/>
      <c r="T294" s="77"/>
      <c r="U294" s="69"/>
      <c r="V294" s="69"/>
      <c r="W294" s="69"/>
      <c r="X294" s="69"/>
      <c r="Y294" s="69"/>
      <c r="Z294" s="69"/>
      <c r="AA294" s="69"/>
      <c r="AB294" s="69"/>
      <c r="AC294" s="69"/>
      <c r="AD294" s="69"/>
      <c r="AE294" s="69"/>
      <c r="AF294" s="69"/>
      <c r="AG294" s="207"/>
      <c r="AH294" s="207"/>
      <c r="AI294" s="207"/>
      <c r="AJ294" s="207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  <c r="BP294" s="69"/>
      <c r="BQ294" s="69"/>
      <c r="BR294" s="69"/>
      <c r="BS294" s="69"/>
      <c r="BT294" s="69"/>
      <c r="BU294" s="69"/>
      <c r="BV294" s="69"/>
      <c r="BW294" s="69"/>
      <c r="BX294" s="69"/>
      <c r="BY294" s="69"/>
      <c r="BZ294" s="69"/>
      <c r="CA294" s="69"/>
      <c r="CB294" s="69"/>
      <c r="CC294" s="69"/>
      <c r="CD294" s="69"/>
      <c r="CE294" s="69"/>
      <c r="CF294" s="69"/>
      <c r="CG294" s="69"/>
      <c r="CH294" s="69"/>
      <c r="CI294" s="69"/>
      <c r="CJ294" s="69"/>
      <c r="CK294" s="69"/>
      <c r="CL294" s="69"/>
      <c r="CM294" s="69"/>
      <c r="CN294" s="69"/>
      <c r="CO294" s="69"/>
      <c r="CP294" s="69"/>
      <c r="CQ294" s="69"/>
      <c r="CR294" s="69"/>
    </row>
    <row r="295" spans="1:96" ht="12.75" customHeight="1">
      <c r="A295" s="784"/>
      <c r="B295" s="69"/>
      <c r="C295" s="69"/>
      <c r="D295" s="69"/>
      <c r="E295" s="69"/>
      <c r="F295" s="69"/>
      <c r="G295" s="77"/>
      <c r="H295" s="77"/>
      <c r="I295" s="77"/>
      <c r="J295" s="366"/>
      <c r="K295" s="77"/>
      <c r="L295" s="77"/>
      <c r="M295" s="77"/>
      <c r="N295" s="77"/>
      <c r="O295" s="69"/>
      <c r="P295" s="69"/>
      <c r="Q295" s="69"/>
      <c r="R295" s="69"/>
      <c r="S295" s="77"/>
      <c r="T295" s="77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207"/>
      <c r="AH295" s="207"/>
      <c r="AI295" s="207"/>
      <c r="AJ295" s="207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  <c r="BP295" s="69"/>
      <c r="BQ295" s="69"/>
      <c r="BR295" s="69"/>
      <c r="BS295" s="69"/>
      <c r="BT295" s="69"/>
      <c r="BU295" s="69"/>
      <c r="BV295" s="69"/>
      <c r="BW295" s="69"/>
      <c r="BX295" s="69"/>
      <c r="BY295" s="69"/>
      <c r="BZ295" s="69"/>
      <c r="CA295" s="69"/>
      <c r="CB295" s="69"/>
      <c r="CC295" s="69"/>
      <c r="CD295" s="69"/>
      <c r="CE295" s="69"/>
      <c r="CF295" s="69"/>
      <c r="CG295" s="69"/>
      <c r="CH295" s="69"/>
      <c r="CI295" s="69"/>
      <c r="CJ295" s="69"/>
      <c r="CK295" s="69"/>
      <c r="CL295" s="69"/>
      <c r="CM295" s="69"/>
      <c r="CN295" s="69"/>
      <c r="CO295" s="69"/>
      <c r="CP295" s="69"/>
      <c r="CQ295" s="69"/>
      <c r="CR295" s="69"/>
    </row>
    <row r="296" spans="1:96" ht="12.75" customHeight="1">
      <c r="A296" s="784"/>
      <c r="B296" s="69"/>
      <c r="C296" s="69"/>
      <c r="D296" s="69"/>
      <c r="E296" s="69"/>
      <c r="F296" s="69"/>
      <c r="G296" s="77"/>
      <c r="H296" s="77"/>
      <c r="I296" s="77"/>
      <c r="J296" s="366"/>
      <c r="K296" s="77"/>
      <c r="L296" s="77"/>
      <c r="M296" s="77"/>
      <c r="N296" s="77"/>
      <c r="O296" s="69"/>
      <c r="P296" s="69"/>
      <c r="Q296" s="69"/>
      <c r="R296" s="69"/>
      <c r="S296" s="77"/>
      <c r="T296" s="77"/>
      <c r="U296" s="69"/>
      <c r="V296" s="69"/>
      <c r="W296" s="69"/>
      <c r="X296" s="69"/>
      <c r="Y296" s="69"/>
      <c r="Z296" s="69"/>
      <c r="AA296" s="69"/>
      <c r="AB296" s="69"/>
      <c r="AC296" s="69"/>
      <c r="AD296" s="69"/>
      <c r="AE296" s="69"/>
      <c r="AF296" s="69"/>
      <c r="AG296" s="207"/>
      <c r="AH296" s="207"/>
      <c r="AI296" s="207"/>
      <c r="AJ296" s="207"/>
      <c r="AK296" s="69"/>
      <c r="AL296" s="69"/>
      <c r="AM296" s="69"/>
      <c r="AN296" s="69"/>
      <c r="AO296" s="69"/>
      <c r="AP296" s="69"/>
      <c r="AQ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  <c r="BP296" s="69"/>
      <c r="BQ296" s="69"/>
      <c r="BR296" s="69"/>
      <c r="BS296" s="69"/>
      <c r="BT296" s="69"/>
      <c r="BU296" s="69"/>
      <c r="BV296" s="69"/>
      <c r="BW296" s="69"/>
      <c r="BX296" s="69"/>
      <c r="BY296" s="69"/>
      <c r="BZ296" s="69"/>
      <c r="CA296" s="69"/>
      <c r="CB296" s="69"/>
      <c r="CC296" s="69"/>
      <c r="CD296" s="69"/>
      <c r="CE296" s="69"/>
      <c r="CF296" s="69"/>
      <c r="CG296" s="69"/>
      <c r="CH296" s="69"/>
      <c r="CI296" s="69"/>
      <c r="CJ296" s="69"/>
      <c r="CK296" s="69"/>
      <c r="CL296" s="69"/>
      <c r="CM296" s="69"/>
      <c r="CN296" s="69"/>
      <c r="CO296" s="69"/>
      <c r="CP296" s="69"/>
      <c r="CQ296" s="69"/>
      <c r="CR296" s="69"/>
    </row>
    <row r="297" spans="1:96" ht="12.75" customHeight="1">
      <c r="A297" s="784"/>
      <c r="B297" s="69"/>
      <c r="C297" s="69"/>
      <c r="D297" s="69"/>
      <c r="E297" s="69"/>
      <c r="F297" s="69"/>
      <c r="G297" s="77"/>
      <c r="H297" s="77"/>
      <c r="I297" s="77"/>
      <c r="J297" s="366"/>
      <c r="K297" s="77"/>
      <c r="L297" s="77"/>
      <c r="M297" s="77"/>
      <c r="N297" s="77"/>
      <c r="O297" s="69"/>
      <c r="P297" s="69"/>
      <c r="Q297" s="69"/>
      <c r="R297" s="69"/>
      <c r="S297" s="77"/>
      <c r="T297" s="77"/>
      <c r="U297" s="69"/>
      <c r="V297" s="69"/>
      <c r="W297" s="69"/>
      <c r="X297" s="69"/>
      <c r="Y297" s="69"/>
      <c r="Z297" s="69"/>
      <c r="AA297" s="69"/>
      <c r="AB297" s="69"/>
      <c r="AC297" s="69"/>
      <c r="AD297" s="69"/>
      <c r="AE297" s="69"/>
      <c r="AF297" s="69"/>
      <c r="AG297" s="207"/>
      <c r="AH297" s="207"/>
      <c r="AI297" s="207"/>
      <c r="AJ297" s="207"/>
      <c r="AK297" s="69"/>
      <c r="AL297" s="69"/>
      <c r="AM297" s="69"/>
      <c r="AN297" s="69"/>
      <c r="AO297" s="69"/>
      <c r="AP297" s="69"/>
      <c r="AQ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  <c r="BP297" s="69"/>
      <c r="BQ297" s="69"/>
      <c r="BR297" s="69"/>
      <c r="BS297" s="69"/>
      <c r="BT297" s="69"/>
      <c r="BU297" s="69"/>
      <c r="BV297" s="69"/>
      <c r="BW297" s="69"/>
      <c r="BX297" s="69"/>
      <c r="BY297" s="69"/>
      <c r="BZ297" s="69"/>
      <c r="CA297" s="69"/>
      <c r="CB297" s="69"/>
      <c r="CC297" s="69"/>
      <c r="CD297" s="69"/>
      <c r="CE297" s="69"/>
      <c r="CF297" s="69"/>
      <c r="CG297" s="69"/>
      <c r="CH297" s="69"/>
      <c r="CI297" s="69"/>
      <c r="CJ297" s="69"/>
      <c r="CK297" s="69"/>
      <c r="CL297" s="69"/>
      <c r="CM297" s="69"/>
      <c r="CN297" s="69"/>
      <c r="CO297" s="69"/>
      <c r="CP297" s="69"/>
      <c r="CQ297" s="69"/>
      <c r="CR297" s="69"/>
    </row>
    <row r="298" spans="1:96" ht="12.75" customHeight="1">
      <c r="A298" s="784"/>
      <c r="B298" s="69"/>
      <c r="C298" s="69"/>
      <c r="D298" s="69"/>
      <c r="E298" s="69"/>
      <c r="F298" s="69"/>
      <c r="G298" s="77"/>
      <c r="H298" s="77"/>
      <c r="I298" s="77"/>
      <c r="J298" s="366"/>
      <c r="K298" s="77"/>
      <c r="L298" s="77"/>
      <c r="M298" s="77"/>
      <c r="N298" s="77"/>
      <c r="O298" s="69"/>
      <c r="P298" s="69"/>
      <c r="Q298" s="69"/>
      <c r="R298" s="69"/>
      <c r="S298" s="77"/>
      <c r="T298" s="77"/>
      <c r="U298" s="69"/>
      <c r="V298" s="69"/>
      <c r="W298" s="69"/>
      <c r="X298" s="69"/>
      <c r="Y298" s="69"/>
      <c r="Z298" s="69"/>
      <c r="AA298" s="69"/>
      <c r="AB298" s="69"/>
      <c r="AC298" s="69"/>
      <c r="AD298" s="69"/>
      <c r="AE298" s="69"/>
      <c r="AF298" s="69"/>
      <c r="AG298" s="207"/>
      <c r="AH298" s="207"/>
      <c r="AI298" s="207"/>
      <c r="AJ298" s="207"/>
      <c r="AK298" s="69"/>
      <c r="AL298" s="69"/>
      <c r="AM298" s="69"/>
      <c r="AN298" s="69"/>
      <c r="AO298" s="69"/>
      <c r="AP298" s="69"/>
      <c r="AQ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  <c r="BP298" s="69"/>
      <c r="BQ298" s="69"/>
      <c r="BR298" s="69"/>
      <c r="BS298" s="69"/>
      <c r="BT298" s="69"/>
      <c r="BU298" s="69"/>
      <c r="BV298" s="69"/>
      <c r="BW298" s="69"/>
      <c r="BX298" s="69"/>
      <c r="BY298" s="69"/>
      <c r="BZ298" s="69"/>
      <c r="CA298" s="69"/>
      <c r="CB298" s="69"/>
      <c r="CC298" s="69"/>
      <c r="CD298" s="69"/>
      <c r="CE298" s="69"/>
      <c r="CF298" s="69"/>
      <c r="CG298" s="69"/>
      <c r="CH298" s="69"/>
      <c r="CI298" s="69"/>
      <c r="CJ298" s="69"/>
      <c r="CK298" s="69"/>
      <c r="CL298" s="69"/>
      <c r="CM298" s="69"/>
      <c r="CN298" s="69"/>
      <c r="CO298" s="69"/>
      <c r="CP298" s="69"/>
      <c r="CQ298" s="69"/>
      <c r="CR298" s="69"/>
    </row>
    <row r="299" spans="1:96" ht="12.75" customHeight="1">
      <c r="A299" s="784"/>
      <c r="B299" s="69"/>
      <c r="C299" s="69"/>
      <c r="D299" s="69"/>
      <c r="E299" s="69"/>
      <c r="F299" s="69"/>
      <c r="G299" s="77"/>
      <c r="H299" s="77"/>
      <c r="I299" s="77"/>
      <c r="J299" s="366"/>
      <c r="K299" s="77"/>
      <c r="L299" s="77"/>
      <c r="M299" s="77"/>
      <c r="N299" s="77"/>
      <c r="O299" s="69"/>
      <c r="P299" s="69"/>
      <c r="Q299" s="69"/>
      <c r="R299" s="69"/>
      <c r="S299" s="77"/>
      <c r="T299" s="77"/>
      <c r="U299" s="69"/>
      <c r="V299" s="69"/>
      <c r="W299" s="69"/>
      <c r="X299" s="69"/>
      <c r="Y299" s="69"/>
      <c r="Z299" s="69"/>
      <c r="AA299" s="69"/>
      <c r="AB299" s="69"/>
      <c r="AC299" s="69"/>
      <c r="AD299" s="69"/>
      <c r="AE299" s="69"/>
      <c r="AF299" s="69"/>
      <c r="AG299" s="207"/>
      <c r="AH299" s="207"/>
      <c r="AI299" s="207"/>
      <c r="AJ299" s="207"/>
      <c r="AK299" s="69"/>
      <c r="AL299" s="69"/>
      <c r="AM299" s="69"/>
      <c r="AN299" s="69"/>
      <c r="AO299" s="69"/>
      <c r="AP299" s="69"/>
      <c r="AQ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  <c r="BP299" s="69"/>
      <c r="BQ299" s="69"/>
      <c r="BR299" s="69"/>
      <c r="BS299" s="69"/>
      <c r="BT299" s="69"/>
      <c r="BU299" s="69"/>
      <c r="BV299" s="69"/>
      <c r="BW299" s="69"/>
      <c r="BX299" s="69"/>
      <c r="BY299" s="69"/>
      <c r="BZ299" s="69"/>
      <c r="CA299" s="69"/>
      <c r="CB299" s="69"/>
      <c r="CC299" s="69"/>
      <c r="CD299" s="69"/>
      <c r="CE299" s="69"/>
      <c r="CF299" s="69"/>
      <c r="CG299" s="69"/>
      <c r="CH299" s="69"/>
      <c r="CI299" s="69"/>
      <c r="CJ299" s="69"/>
      <c r="CK299" s="69"/>
      <c r="CL299" s="69"/>
      <c r="CM299" s="69"/>
      <c r="CN299" s="69"/>
      <c r="CO299" s="69"/>
      <c r="CP299" s="69"/>
      <c r="CQ299" s="69"/>
      <c r="CR299" s="69"/>
    </row>
    <row r="300" spans="1:96" ht="12.75" customHeight="1">
      <c r="A300" s="784"/>
      <c r="B300" s="69"/>
      <c r="C300" s="69"/>
      <c r="D300" s="69"/>
      <c r="E300" s="69"/>
      <c r="F300" s="69"/>
      <c r="G300" s="77"/>
      <c r="H300" s="77"/>
      <c r="I300" s="77"/>
      <c r="J300" s="366"/>
      <c r="K300" s="77"/>
      <c r="L300" s="77"/>
      <c r="M300" s="77"/>
      <c r="N300" s="77"/>
      <c r="O300" s="69"/>
      <c r="P300" s="69"/>
      <c r="Q300" s="69"/>
      <c r="R300" s="69"/>
      <c r="S300" s="77"/>
      <c r="T300" s="77"/>
      <c r="U300" s="69"/>
      <c r="V300" s="69"/>
      <c r="W300" s="69"/>
      <c r="X300" s="69"/>
      <c r="Y300" s="69"/>
      <c r="Z300" s="69"/>
      <c r="AA300" s="69"/>
      <c r="AB300" s="69"/>
      <c r="AC300" s="69"/>
      <c r="AD300" s="69"/>
      <c r="AE300" s="69"/>
      <c r="AF300" s="69"/>
      <c r="AG300" s="207"/>
      <c r="AH300" s="207"/>
      <c r="AI300" s="207"/>
      <c r="AJ300" s="207"/>
      <c r="AK300" s="69"/>
      <c r="AL300" s="69"/>
      <c r="AM300" s="69"/>
      <c r="AN300" s="69"/>
      <c r="AO300" s="69"/>
      <c r="AP300" s="69"/>
      <c r="AQ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  <c r="BP300" s="69"/>
      <c r="BQ300" s="69"/>
      <c r="BR300" s="69"/>
      <c r="BS300" s="69"/>
      <c r="BT300" s="69"/>
      <c r="BU300" s="69"/>
      <c r="BV300" s="69"/>
      <c r="BW300" s="69"/>
      <c r="BX300" s="69"/>
      <c r="BY300" s="69"/>
      <c r="BZ300" s="69"/>
      <c r="CA300" s="69"/>
      <c r="CB300" s="69"/>
      <c r="CC300" s="69"/>
      <c r="CD300" s="69"/>
      <c r="CE300" s="69"/>
      <c r="CF300" s="69"/>
      <c r="CG300" s="69"/>
      <c r="CH300" s="69"/>
      <c r="CI300" s="69"/>
      <c r="CJ300" s="69"/>
      <c r="CK300" s="69"/>
      <c r="CL300" s="69"/>
      <c r="CM300" s="69"/>
      <c r="CN300" s="69"/>
      <c r="CO300" s="69"/>
      <c r="CP300" s="69"/>
      <c r="CQ300" s="69"/>
      <c r="CR300" s="69"/>
    </row>
    <row r="301" spans="1:96" ht="12.75" customHeight="1">
      <c r="A301" s="784"/>
      <c r="B301" s="69"/>
      <c r="C301" s="69"/>
      <c r="D301" s="69"/>
      <c r="E301" s="69"/>
      <c r="F301" s="69"/>
      <c r="G301" s="77"/>
      <c r="H301" s="77"/>
      <c r="I301" s="77"/>
      <c r="J301" s="366"/>
      <c r="K301" s="77"/>
      <c r="L301" s="77"/>
      <c r="M301" s="77"/>
      <c r="N301" s="77"/>
      <c r="O301" s="69"/>
      <c r="P301" s="69"/>
      <c r="Q301" s="69"/>
      <c r="R301" s="69"/>
      <c r="S301" s="77"/>
      <c r="T301" s="77"/>
      <c r="U301" s="69"/>
      <c r="V301" s="69"/>
      <c r="W301" s="69"/>
      <c r="X301" s="69"/>
      <c r="Y301" s="69"/>
      <c r="Z301" s="69"/>
      <c r="AA301" s="69"/>
      <c r="AB301" s="69"/>
      <c r="AC301" s="69"/>
      <c r="AD301" s="69"/>
      <c r="AE301" s="69"/>
      <c r="AF301" s="69"/>
      <c r="AG301" s="207"/>
      <c r="AH301" s="207"/>
      <c r="AI301" s="207"/>
      <c r="AJ301" s="207"/>
      <c r="AK301" s="69"/>
      <c r="AL301" s="69"/>
      <c r="AM301" s="69"/>
      <c r="AN301" s="69"/>
      <c r="AO301" s="69"/>
      <c r="AP301" s="69"/>
      <c r="AQ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  <c r="BP301" s="69"/>
      <c r="BQ301" s="69"/>
      <c r="BR301" s="69"/>
      <c r="BS301" s="69"/>
      <c r="BT301" s="69"/>
      <c r="BU301" s="69"/>
      <c r="BV301" s="69"/>
      <c r="BW301" s="69"/>
      <c r="BX301" s="69"/>
      <c r="BY301" s="69"/>
      <c r="BZ301" s="69"/>
      <c r="CA301" s="69"/>
      <c r="CB301" s="69"/>
      <c r="CC301" s="69"/>
      <c r="CD301" s="69"/>
      <c r="CE301" s="69"/>
      <c r="CF301" s="69"/>
      <c r="CG301" s="69"/>
      <c r="CH301" s="69"/>
      <c r="CI301" s="69"/>
      <c r="CJ301" s="69"/>
      <c r="CK301" s="69"/>
      <c r="CL301" s="69"/>
      <c r="CM301" s="69"/>
      <c r="CN301" s="69"/>
      <c r="CO301" s="69"/>
      <c r="CP301" s="69"/>
      <c r="CQ301" s="69"/>
      <c r="CR301" s="69"/>
    </row>
    <row r="302" spans="1:96" ht="12.75" customHeight="1">
      <c r="A302" s="784"/>
      <c r="B302" s="69"/>
      <c r="C302" s="69"/>
      <c r="D302" s="69"/>
      <c r="E302" s="69"/>
      <c r="F302" s="69"/>
      <c r="G302" s="77"/>
      <c r="H302" s="77"/>
      <c r="I302" s="77"/>
      <c r="J302" s="366"/>
      <c r="K302" s="77"/>
      <c r="L302" s="77"/>
      <c r="M302" s="77"/>
      <c r="N302" s="77"/>
      <c r="O302" s="69"/>
      <c r="P302" s="69"/>
      <c r="Q302" s="69"/>
      <c r="R302" s="69"/>
      <c r="S302" s="77"/>
      <c r="T302" s="77"/>
      <c r="U302" s="69"/>
      <c r="V302" s="69"/>
      <c r="W302" s="69"/>
      <c r="X302" s="69"/>
      <c r="Y302" s="69"/>
      <c r="Z302" s="69"/>
      <c r="AA302" s="69"/>
      <c r="AB302" s="69"/>
      <c r="AC302" s="69"/>
      <c r="AD302" s="69"/>
      <c r="AE302" s="69"/>
      <c r="AF302" s="69"/>
      <c r="AG302" s="207"/>
      <c r="AH302" s="207"/>
      <c r="AI302" s="207"/>
      <c r="AJ302" s="207"/>
      <c r="AK302" s="69"/>
      <c r="AL302" s="69"/>
      <c r="AM302" s="69"/>
      <c r="AN302" s="69"/>
      <c r="AO302" s="69"/>
      <c r="AP302" s="69"/>
      <c r="AQ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  <c r="BP302" s="69"/>
      <c r="BQ302" s="69"/>
      <c r="BR302" s="69"/>
      <c r="BS302" s="69"/>
      <c r="BT302" s="69"/>
      <c r="BU302" s="69"/>
      <c r="BV302" s="69"/>
      <c r="BW302" s="69"/>
      <c r="BX302" s="69"/>
      <c r="BY302" s="69"/>
      <c r="BZ302" s="69"/>
      <c r="CA302" s="69"/>
      <c r="CB302" s="69"/>
      <c r="CC302" s="69"/>
      <c r="CD302" s="69"/>
      <c r="CE302" s="69"/>
      <c r="CF302" s="69"/>
      <c r="CG302" s="69"/>
      <c r="CH302" s="69"/>
      <c r="CI302" s="69"/>
      <c r="CJ302" s="69"/>
      <c r="CK302" s="69"/>
      <c r="CL302" s="69"/>
      <c r="CM302" s="69"/>
      <c r="CN302" s="69"/>
      <c r="CO302" s="69"/>
      <c r="CP302" s="69"/>
      <c r="CQ302" s="69"/>
      <c r="CR302" s="69"/>
    </row>
    <row r="303" spans="1:96" ht="12.75" customHeight="1">
      <c r="A303" s="784"/>
      <c r="B303" s="69"/>
      <c r="C303" s="69"/>
      <c r="D303" s="69"/>
      <c r="E303" s="69"/>
      <c r="F303" s="69"/>
      <c r="G303" s="77"/>
      <c r="H303" s="77"/>
      <c r="I303" s="77"/>
      <c r="J303" s="366"/>
      <c r="K303" s="77"/>
      <c r="L303" s="77"/>
      <c r="M303" s="77"/>
      <c r="N303" s="77"/>
      <c r="O303" s="69"/>
      <c r="P303" s="69"/>
      <c r="Q303" s="69"/>
      <c r="R303" s="69"/>
      <c r="S303" s="77"/>
      <c r="T303" s="77"/>
      <c r="U303" s="69"/>
      <c r="V303" s="69"/>
      <c r="W303" s="69"/>
      <c r="X303" s="69"/>
      <c r="Y303" s="69"/>
      <c r="Z303" s="69"/>
      <c r="AA303" s="69"/>
      <c r="AB303" s="69"/>
      <c r="AC303" s="69"/>
      <c r="AD303" s="69"/>
      <c r="AE303" s="69"/>
      <c r="AF303" s="69"/>
      <c r="AG303" s="207"/>
      <c r="AH303" s="207"/>
      <c r="AI303" s="207"/>
      <c r="AJ303" s="207"/>
      <c r="AK303" s="69"/>
      <c r="AL303" s="69"/>
      <c r="AM303" s="69"/>
      <c r="AN303" s="69"/>
      <c r="AO303" s="69"/>
      <c r="AP303" s="69"/>
      <c r="AQ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  <c r="BP303" s="69"/>
      <c r="BQ303" s="69"/>
      <c r="BR303" s="69"/>
      <c r="BS303" s="69"/>
      <c r="BT303" s="69"/>
      <c r="BU303" s="69"/>
      <c r="BV303" s="69"/>
      <c r="BW303" s="69"/>
      <c r="BX303" s="69"/>
      <c r="BY303" s="69"/>
      <c r="BZ303" s="69"/>
      <c r="CA303" s="69"/>
      <c r="CB303" s="69"/>
      <c r="CC303" s="69"/>
      <c r="CD303" s="69"/>
      <c r="CE303" s="69"/>
      <c r="CF303" s="69"/>
      <c r="CG303" s="69"/>
      <c r="CH303" s="69"/>
      <c r="CI303" s="69"/>
      <c r="CJ303" s="69"/>
      <c r="CK303" s="69"/>
      <c r="CL303" s="69"/>
      <c r="CM303" s="69"/>
      <c r="CN303" s="69"/>
      <c r="CO303" s="69"/>
      <c r="CP303" s="69"/>
      <c r="CQ303" s="69"/>
      <c r="CR303" s="69"/>
    </row>
    <row r="304" spans="1:96" ht="12.75" customHeight="1">
      <c r="A304" s="784"/>
      <c r="B304" s="69"/>
      <c r="C304" s="69"/>
      <c r="D304" s="69"/>
      <c r="E304" s="69"/>
      <c r="F304" s="69"/>
      <c r="G304" s="77"/>
      <c r="H304" s="77"/>
      <c r="I304" s="77"/>
      <c r="J304" s="366"/>
      <c r="K304" s="77"/>
      <c r="L304" s="77"/>
      <c r="M304" s="77"/>
      <c r="N304" s="77"/>
      <c r="O304" s="69"/>
      <c r="P304" s="69"/>
      <c r="Q304" s="69"/>
      <c r="R304" s="69"/>
      <c r="S304" s="77"/>
      <c r="T304" s="77"/>
      <c r="U304" s="69"/>
      <c r="V304" s="69"/>
      <c r="W304" s="69"/>
      <c r="X304" s="69"/>
      <c r="Y304" s="69"/>
      <c r="Z304" s="69"/>
      <c r="AA304" s="69"/>
      <c r="AB304" s="69"/>
      <c r="AC304" s="69"/>
      <c r="AD304" s="69"/>
      <c r="AE304" s="69"/>
      <c r="AF304" s="69"/>
      <c r="AG304" s="207"/>
      <c r="AH304" s="207"/>
      <c r="AI304" s="207"/>
      <c r="AJ304" s="207"/>
      <c r="AK304" s="69"/>
      <c r="AL304" s="69"/>
      <c r="AM304" s="69"/>
      <c r="AN304" s="69"/>
      <c r="AO304" s="69"/>
      <c r="AP304" s="69"/>
      <c r="AQ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  <c r="BP304" s="69"/>
      <c r="BQ304" s="69"/>
      <c r="BR304" s="69"/>
      <c r="BS304" s="69"/>
      <c r="BT304" s="69"/>
      <c r="BU304" s="69"/>
      <c r="BV304" s="69"/>
      <c r="BW304" s="69"/>
      <c r="BX304" s="69"/>
      <c r="BY304" s="69"/>
      <c r="BZ304" s="69"/>
      <c r="CA304" s="69"/>
      <c r="CB304" s="69"/>
      <c r="CC304" s="69"/>
      <c r="CD304" s="69"/>
      <c r="CE304" s="69"/>
      <c r="CF304" s="69"/>
      <c r="CG304" s="69"/>
      <c r="CH304" s="69"/>
      <c r="CI304" s="69"/>
      <c r="CJ304" s="69"/>
      <c r="CK304" s="69"/>
      <c r="CL304" s="69"/>
      <c r="CM304" s="69"/>
      <c r="CN304" s="69"/>
      <c r="CO304" s="69"/>
      <c r="CP304" s="69"/>
      <c r="CQ304" s="69"/>
      <c r="CR304" s="69"/>
    </row>
    <row r="305" spans="1:96" ht="12.75" customHeight="1">
      <c r="A305" s="784"/>
      <c r="B305" s="69"/>
      <c r="C305" s="69"/>
      <c r="D305" s="69"/>
      <c r="E305" s="69"/>
      <c r="F305" s="69"/>
      <c r="G305" s="77"/>
      <c r="H305" s="77"/>
      <c r="I305" s="77"/>
      <c r="J305" s="366"/>
      <c r="K305" s="77"/>
      <c r="L305" s="77"/>
      <c r="M305" s="77"/>
      <c r="N305" s="77"/>
      <c r="O305" s="69"/>
      <c r="P305" s="69"/>
      <c r="Q305" s="69"/>
      <c r="R305" s="69"/>
      <c r="S305" s="77"/>
      <c r="T305" s="77"/>
      <c r="U305" s="69"/>
      <c r="V305" s="69"/>
      <c r="W305" s="69"/>
      <c r="X305" s="69"/>
      <c r="Y305" s="69"/>
      <c r="Z305" s="69"/>
      <c r="AA305" s="69"/>
      <c r="AB305" s="69"/>
      <c r="AC305" s="69"/>
      <c r="AD305" s="69"/>
      <c r="AE305" s="69"/>
      <c r="AF305" s="69"/>
      <c r="AG305" s="207"/>
      <c r="AH305" s="207"/>
      <c r="AI305" s="207"/>
      <c r="AJ305" s="207"/>
      <c r="AK305" s="69"/>
      <c r="AL305" s="69"/>
      <c r="AM305" s="69"/>
      <c r="AN305" s="69"/>
      <c r="AO305" s="69"/>
      <c r="AP305" s="69"/>
      <c r="AQ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  <c r="BM305" s="69"/>
      <c r="BN305" s="69"/>
      <c r="BO305" s="69"/>
      <c r="BP305" s="69"/>
      <c r="BQ305" s="69"/>
      <c r="BR305" s="69"/>
      <c r="BS305" s="69"/>
      <c r="BT305" s="69"/>
      <c r="BU305" s="69"/>
      <c r="BV305" s="69"/>
      <c r="BW305" s="69"/>
      <c r="BX305" s="69"/>
      <c r="BY305" s="69"/>
      <c r="BZ305" s="69"/>
      <c r="CA305" s="69"/>
      <c r="CB305" s="69"/>
      <c r="CC305" s="69"/>
      <c r="CD305" s="69"/>
      <c r="CE305" s="69"/>
      <c r="CF305" s="69"/>
      <c r="CG305" s="69"/>
      <c r="CH305" s="69"/>
      <c r="CI305" s="69"/>
      <c r="CJ305" s="69"/>
      <c r="CK305" s="69"/>
      <c r="CL305" s="69"/>
      <c r="CM305" s="69"/>
      <c r="CN305" s="69"/>
      <c r="CO305" s="69"/>
      <c r="CP305" s="69"/>
      <c r="CQ305" s="69"/>
      <c r="CR305" s="69"/>
    </row>
    <row r="306" spans="1:96" ht="12.75" customHeight="1">
      <c r="A306" s="784"/>
      <c r="B306" s="69"/>
      <c r="C306" s="69"/>
      <c r="D306" s="69"/>
      <c r="E306" s="69"/>
      <c r="F306" s="69"/>
      <c r="G306" s="77"/>
      <c r="H306" s="77"/>
      <c r="I306" s="77"/>
      <c r="J306" s="366"/>
      <c r="K306" s="77"/>
      <c r="L306" s="77"/>
      <c r="M306" s="77"/>
      <c r="N306" s="77"/>
      <c r="O306" s="69"/>
      <c r="P306" s="69"/>
      <c r="Q306" s="69"/>
      <c r="R306" s="69"/>
      <c r="S306" s="77"/>
      <c r="T306" s="77"/>
      <c r="U306" s="69"/>
      <c r="V306" s="69"/>
      <c r="W306" s="69"/>
      <c r="X306" s="69"/>
      <c r="Y306" s="69"/>
      <c r="Z306" s="69"/>
      <c r="AA306" s="69"/>
      <c r="AB306" s="69"/>
      <c r="AC306" s="69"/>
      <c r="AD306" s="69"/>
      <c r="AE306" s="69"/>
      <c r="AF306" s="69"/>
      <c r="AG306" s="207"/>
      <c r="AH306" s="207"/>
      <c r="AI306" s="207"/>
      <c r="AJ306" s="207"/>
      <c r="AK306" s="69"/>
      <c r="AL306" s="69"/>
      <c r="AM306" s="69"/>
      <c r="AN306" s="69"/>
      <c r="AO306" s="69"/>
      <c r="AP306" s="69"/>
      <c r="AQ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  <c r="BP306" s="69"/>
      <c r="BQ306" s="69"/>
      <c r="BR306" s="69"/>
      <c r="BS306" s="69"/>
      <c r="BT306" s="69"/>
      <c r="BU306" s="69"/>
      <c r="BV306" s="69"/>
      <c r="BW306" s="69"/>
      <c r="BX306" s="69"/>
      <c r="BY306" s="69"/>
      <c r="BZ306" s="69"/>
      <c r="CA306" s="69"/>
      <c r="CB306" s="69"/>
      <c r="CC306" s="69"/>
      <c r="CD306" s="69"/>
      <c r="CE306" s="69"/>
      <c r="CF306" s="69"/>
      <c r="CG306" s="69"/>
      <c r="CH306" s="69"/>
      <c r="CI306" s="69"/>
      <c r="CJ306" s="69"/>
      <c r="CK306" s="69"/>
      <c r="CL306" s="69"/>
      <c r="CM306" s="69"/>
      <c r="CN306" s="69"/>
      <c r="CO306" s="69"/>
      <c r="CP306" s="69"/>
      <c r="CQ306" s="69"/>
      <c r="CR306" s="69"/>
    </row>
    <row r="307" spans="1:96" ht="12.75" customHeight="1">
      <c r="A307" s="784"/>
      <c r="B307" s="69"/>
      <c r="C307" s="69"/>
      <c r="D307" s="69"/>
      <c r="E307" s="69"/>
      <c r="F307" s="69"/>
      <c r="G307" s="77"/>
      <c r="H307" s="77"/>
      <c r="I307" s="77"/>
      <c r="J307" s="366"/>
      <c r="K307" s="77"/>
      <c r="L307" s="77"/>
      <c r="M307" s="77"/>
      <c r="N307" s="77"/>
      <c r="O307" s="69"/>
      <c r="P307" s="69"/>
      <c r="Q307" s="69"/>
      <c r="R307" s="69"/>
      <c r="S307" s="77"/>
      <c r="T307" s="77"/>
      <c r="U307" s="69"/>
      <c r="V307" s="69"/>
      <c r="W307" s="69"/>
      <c r="X307" s="69"/>
      <c r="Y307" s="69"/>
      <c r="Z307" s="69"/>
      <c r="AA307" s="69"/>
      <c r="AB307" s="69"/>
      <c r="AC307" s="69"/>
      <c r="AD307" s="69"/>
      <c r="AE307" s="69"/>
      <c r="AF307" s="69"/>
      <c r="AG307" s="207"/>
      <c r="AH307" s="207"/>
      <c r="AI307" s="207"/>
      <c r="AJ307" s="207"/>
      <c r="AK307" s="69"/>
      <c r="AL307" s="69"/>
      <c r="AM307" s="69"/>
      <c r="AN307" s="69"/>
      <c r="AO307" s="69"/>
      <c r="AP307" s="69"/>
      <c r="AQ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  <c r="BP307" s="69"/>
      <c r="BQ307" s="69"/>
      <c r="BR307" s="69"/>
      <c r="BS307" s="69"/>
      <c r="BT307" s="69"/>
      <c r="BU307" s="69"/>
      <c r="BV307" s="69"/>
      <c r="BW307" s="69"/>
      <c r="BX307" s="69"/>
      <c r="BY307" s="69"/>
      <c r="BZ307" s="69"/>
      <c r="CA307" s="69"/>
      <c r="CB307" s="69"/>
      <c r="CC307" s="69"/>
      <c r="CD307" s="69"/>
      <c r="CE307" s="69"/>
      <c r="CF307" s="69"/>
      <c r="CG307" s="69"/>
      <c r="CH307" s="69"/>
      <c r="CI307" s="69"/>
      <c r="CJ307" s="69"/>
      <c r="CK307" s="69"/>
      <c r="CL307" s="69"/>
      <c r="CM307" s="69"/>
      <c r="CN307" s="69"/>
      <c r="CO307" s="69"/>
      <c r="CP307" s="69"/>
      <c r="CQ307" s="69"/>
      <c r="CR307" s="69"/>
    </row>
    <row r="308" spans="1:96" ht="12.75" customHeight="1">
      <c r="A308" s="784"/>
      <c r="B308" s="69"/>
      <c r="C308" s="69"/>
      <c r="D308" s="69"/>
      <c r="E308" s="69"/>
      <c r="F308" s="69"/>
      <c r="G308" s="77"/>
      <c r="H308" s="77"/>
      <c r="I308" s="77"/>
      <c r="J308" s="366"/>
      <c r="K308" s="77"/>
      <c r="L308" s="77"/>
      <c r="M308" s="77"/>
      <c r="N308" s="77"/>
      <c r="O308" s="69"/>
      <c r="P308" s="69"/>
      <c r="Q308" s="69"/>
      <c r="R308" s="69"/>
      <c r="S308" s="77"/>
      <c r="T308" s="77"/>
      <c r="U308" s="69"/>
      <c r="V308" s="69"/>
      <c r="W308" s="69"/>
      <c r="X308" s="69"/>
      <c r="Y308" s="69"/>
      <c r="Z308" s="69"/>
      <c r="AA308" s="69"/>
      <c r="AB308" s="69"/>
      <c r="AC308" s="69"/>
      <c r="AD308" s="69"/>
      <c r="AE308" s="69"/>
      <c r="AF308" s="69"/>
      <c r="AG308" s="207"/>
      <c r="AH308" s="207"/>
      <c r="AI308" s="207"/>
      <c r="AJ308" s="207"/>
      <c r="AK308" s="69"/>
      <c r="AL308" s="69"/>
      <c r="AM308" s="69"/>
      <c r="AN308" s="69"/>
      <c r="AO308" s="69"/>
      <c r="AP308" s="69"/>
      <c r="AQ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  <c r="BP308" s="69"/>
      <c r="BQ308" s="69"/>
      <c r="BR308" s="69"/>
      <c r="BS308" s="69"/>
      <c r="BT308" s="69"/>
      <c r="BU308" s="69"/>
      <c r="BV308" s="69"/>
      <c r="BW308" s="69"/>
      <c r="BX308" s="69"/>
      <c r="BY308" s="69"/>
      <c r="BZ308" s="69"/>
      <c r="CA308" s="69"/>
      <c r="CB308" s="69"/>
      <c r="CC308" s="69"/>
      <c r="CD308" s="69"/>
      <c r="CE308" s="69"/>
      <c r="CF308" s="69"/>
      <c r="CG308" s="69"/>
      <c r="CH308" s="69"/>
      <c r="CI308" s="69"/>
      <c r="CJ308" s="69"/>
      <c r="CK308" s="69"/>
      <c r="CL308" s="69"/>
      <c r="CM308" s="69"/>
      <c r="CN308" s="69"/>
      <c r="CO308" s="69"/>
      <c r="CP308" s="69"/>
      <c r="CQ308" s="69"/>
      <c r="CR308" s="69"/>
    </row>
    <row r="309" spans="1:96" ht="12.75" customHeight="1">
      <c r="A309" s="784"/>
      <c r="B309" s="69"/>
      <c r="C309" s="69"/>
      <c r="D309" s="69"/>
      <c r="E309" s="69"/>
      <c r="F309" s="69"/>
      <c r="G309" s="77"/>
      <c r="H309" s="77"/>
      <c r="I309" s="77"/>
      <c r="J309" s="366"/>
      <c r="K309" s="77"/>
      <c r="L309" s="77"/>
      <c r="M309" s="77"/>
      <c r="N309" s="77"/>
      <c r="O309" s="69"/>
      <c r="P309" s="69"/>
      <c r="Q309" s="69"/>
      <c r="R309" s="69"/>
      <c r="S309" s="77"/>
      <c r="T309" s="77"/>
      <c r="U309" s="69"/>
      <c r="V309" s="69"/>
      <c r="W309" s="69"/>
      <c r="X309" s="69"/>
      <c r="Y309" s="69"/>
      <c r="Z309" s="69"/>
      <c r="AA309" s="69"/>
      <c r="AB309" s="69"/>
      <c r="AC309" s="69"/>
      <c r="AD309" s="69"/>
      <c r="AE309" s="69"/>
      <c r="AF309" s="69"/>
      <c r="AG309" s="207"/>
      <c r="AH309" s="207"/>
      <c r="AI309" s="207"/>
      <c r="AJ309" s="207"/>
      <c r="AK309" s="69"/>
      <c r="AL309" s="69"/>
      <c r="AM309" s="69"/>
      <c r="AN309" s="69"/>
      <c r="AO309" s="69"/>
      <c r="AP309" s="69"/>
      <c r="AQ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  <c r="BP309" s="69"/>
      <c r="BQ309" s="69"/>
      <c r="BR309" s="69"/>
      <c r="BS309" s="69"/>
      <c r="BT309" s="69"/>
      <c r="BU309" s="69"/>
      <c r="BV309" s="69"/>
      <c r="BW309" s="69"/>
      <c r="BX309" s="69"/>
      <c r="BY309" s="69"/>
      <c r="BZ309" s="69"/>
      <c r="CA309" s="69"/>
      <c r="CB309" s="69"/>
      <c r="CC309" s="69"/>
      <c r="CD309" s="69"/>
      <c r="CE309" s="69"/>
      <c r="CF309" s="69"/>
      <c r="CG309" s="69"/>
      <c r="CH309" s="69"/>
      <c r="CI309" s="69"/>
      <c r="CJ309" s="69"/>
      <c r="CK309" s="69"/>
      <c r="CL309" s="69"/>
      <c r="CM309" s="69"/>
      <c r="CN309" s="69"/>
      <c r="CO309" s="69"/>
      <c r="CP309" s="69"/>
      <c r="CQ309" s="69"/>
      <c r="CR309" s="69"/>
    </row>
    <row r="310" spans="1:96" ht="12.75" customHeight="1">
      <c r="A310" s="784"/>
      <c r="B310" s="69"/>
      <c r="C310" s="69"/>
      <c r="D310" s="69"/>
      <c r="E310" s="69"/>
      <c r="F310" s="69"/>
      <c r="G310" s="77"/>
      <c r="H310" s="77"/>
      <c r="I310" s="77"/>
      <c r="J310" s="366"/>
      <c r="K310" s="77"/>
      <c r="L310" s="77"/>
      <c r="M310" s="77"/>
      <c r="N310" s="77"/>
      <c r="O310" s="69"/>
      <c r="P310" s="69"/>
      <c r="Q310" s="69"/>
      <c r="R310" s="69"/>
      <c r="S310" s="77"/>
      <c r="T310" s="77"/>
      <c r="U310" s="69"/>
      <c r="V310" s="69"/>
      <c r="W310" s="69"/>
      <c r="X310" s="69"/>
      <c r="Y310" s="69"/>
      <c r="Z310" s="69"/>
      <c r="AA310" s="69"/>
      <c r="AB310" s="69"/>
      <c r="AC310" s="69"/>
      <c r="AD310" s="69"/>
      <c r="AE310" s="69"/>
      <c r="AF310" s="69"/>
      <c r="AG310" s="207"/>
      <c r="AH310" s="207"/>
      <c r="AI310" s="207"/>
      <c r="AJ310" s="207"/>
      <c r="AK310" s="69"/>
      <c r="AL310" s="69"/>
      <c r="AM310" s="69"/>
      <c r="AN310" s="69"/>
      <c r="AO310" s="69"/>
      <c r="AP310" s="69"/>
      <c r="AQ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  <c r="BP310" s="69"/>
      <c r="BQ310" s="69"/>
      <c r="BR310" s="69"/>
      <c r="BS310" s="69"/>
      <c r="BT310" s="69"/>
      <c r="BU310" s="69"/>
      <c r="BV310" s="69"/>
      <c r="BW310" s="69"/>
      <c r="BX310" s="69"/>
      <c r="BY310" s="69"/>
      <c r="BZ310" s="69"/>
      <c r="CA310" s="69"/>
      <c r="CB310" s="69"/>
      <c r="CC310" s="69"/>
      <c r="CD310" s="69"/>
      <c r="CE310" s="69"/>
      <c r="CF310" s="69"/>
      <c r="CG310" s="69"/>
      <c r="CH310" s="69"/>
      <c r="CI310" s="69"/>
      <c r="CJ310" s="69"/>
      <c r="CK310" s="69"/>
      <c r="CL310" s="69"/>
      <c r="CM310" s="69"/>
      <c r="CN310" s="69"/>
      <c r="CO310" s="69"/>
      <c r="CP310" s="69"/>
      <c r="CQ310" s="69"/>
      <c r="CR310" s="69"/>
    </row>
    <row r="311" spans="1:96" ht="12.75" customHeight="1">
      <c r="A311" s="784"/>
      <c r="B311" s="69"/>
      <c r="C311" s="69"/>
      <c r="D311" s="69"/>
      <c r="E311" s="69"/>
      <c r="F311" s="69"/>
      <c r="G311" s="77"/>
      <c r="H311" s="77"/>
      <c r="I311" s="77"/>
      <c r="J311" s="366"/>
      <c r="K311" s="77"/>
      <c r="L311" s="77"/>
      <c r="M311" s="77"/>
      <c r="N311" s="77"/>
      <c r="O311" s="69"/>
      <c r="P311" s="69"/>
      <c r="Q311" s="69"/>
      <c r="R311" s="69"/>
      <c r="S311" s="77"/>
      <c r="T311" s="77"/>
      <c r="U311" s="69"/>
      <c r="V311" s="69"/>
      <c r="W311" s="69"/>
      <c r="X311" s="69"/>
      <c r="Y311" s="69"/>
      <c r="Z311" s="69"/>
      <c r="AA311" s="69"/>
      <c r="AB311" s="69"/>
      <c r="AC311" s="69"/>
      <c r="AD311" s="69"/>
      <c r="AE311" s="69"/>
      <c r="AF311" s="69"/>
      <c r="AG311" s="207"/>
      <c r="AH311" s="207"/>
      <c r="AI311" s="207"/>
      <c r="AJ311" s="207"/>
      <c r="AK311" s="69"/>
      <c r="AL311" s="69"/>
      <c r="AM311" s="69"/>
      <c r="AN311" s="69"/>
      <c r="AO311" s="69"/>
      <c r="AP311" s="69"/>
      <c r="AQ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  <c r="BN311" s="69"/>
      <c r="BO311" s="69"/>
      <c r="BP311" s="69"/>
      <c r="BQ311" s="69"/>
      <c r="BR311" s="69"/>
      <c r="BS311" s="69"/>
      <c r="BT311" s="69"/>
      <c r="BU311" s="69"/>
      <c r="BV311" s="69"/>
      <c r="BW311" s="69"/>
      <c r="BX311" s="69"/>
      <c r="BY311" s="69"/>
      <c r="BZ311" s="69"/>
      <c r="CA311" s="69"/>
      <c r="CB311" s="69"/>
      <c r="CC311" s="69"/>
      <c r="CD311" s="69"/>
      <c r="CE311" s="69"/>
      <c r="CF311" s="69"/>
      <c r="CG311" s="69"/>
      <c r="CH311" s="69"/>
      <c r="CI311" s="69"/>
      <c r="CJ311" s="69"/>
      <c r="CK311" s="69"/>
      <c r="CL311" s="69"/>
      <c r="CM311" s="69"/>
      <c r="CN311" s="69"/>
      <c r="CO311" s="69"/>
      <c r="CP311" s="69"/>
      <c r="CQ311" s="69"/>
      <c r="CR311" s="69"/>
    </row>
    <row r="312" spans="1:96" ht="12.75" customHeight="1">
      <c r="A312" s="784"/>
      <c r="B312" s="69"/>
      <c r="C312" s="69"/>
      <c r="D312" s="69"/>
      <c r="E312" s="69"/>
      <c r="F312" s="69"/>
      <c r="G312" s="77"/>
      <c r="H312" s="77"/>
      <c r="I312" s="77"/>
      <c r="J312" s="366"/>
      <c r="K312" s="77"/>
      <c r="L312" s="77"/>
      <c r="M312" s="77"/>
      <c r="N312" s="77"/>
      <c r="O312" s="69"/>
      <c r="P312" s="69"/>
      <c r="Q312" s="69"/>
      <c r="R312" s="69"/>
      <c r="S312" s="77"/>
      <c r="T312" s="77"/>
      <c r="U312" s="69"/>
      <c r="V312" s="69"/>
      <c r="W312" s="69"/>
      <c r="X312" s="69"/>
      <c r="Y312" s="69"/>
      <c r="Z312" s="69"/>
      <c r="AA312" s="69"/>
      <c r="AB312" s="69"/>
      <c r="AC312" s="69"/>
      <c r="AD312" s="69"/>
      <c r="AE312" s="69"/>
      <c r="AF312" s="69"/>
      <c r="AG312" s="207"/>
      <c r="AH312" s="207"/>
      <c r="AI312" s="207"/>
      <c r="AJ312" s="207"/>
      <c r="AK312" s="69"/>
      <c r="AL312" s="69"/>
      <c r="AM312" s="69"/>
      <c r="AN312" s="69"/>
      <c r="AO312" s="69"/>
      <c r="AP312" s="69"/>
      <c r="AQ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  <c r="BP312" s="69"/>
      <c r="BQ312" s="69"/>
      <c r="BR312" s="69"/>
      <c r="BS312" s="69"/>
      <c r="BT312" s="69"/>
      <c r="BU312" s="69"/>
      <c r="BV312" s="69"/>
      <c r="BW312" s="69"/>
      <c r="BX312" s="69"/>
      <c r="BY312" s="69"/>
      <c r="BZ312" s="69"/>
      <c r="CA312" s="69"/>
      <c r="CB312" s="69"/>
      <c r="CC312" s="69"/>
      <c r="CD312" s="69"/>
      <c r="CE312" s="69"/>
      <c r="CF312" s="69"/>
      <c r="CG312" s="69"/>
      <c r="CH312" s="69"/>
      <c r="CI312" s="69"/>
      <c r="CJ312" s="69"/>
      <c r="CK312" s="69"/>
      <c r="CL312" s="69"/>
      <c r="CM312" s="69"/>
      <c r="CN312" s="69"/>
      <c r="CO312" s="69"/>
      <c r="CP312" s="69"/>
      <c r="CQ312" s="69"/>
      <c r="CR312" s="69"/>
    </row>
    <row r="313" spans="1:96" ht="12.75" customHeight="1">
      <c r="A313" s="784"/>
      <c r="B313" s="69"/>
      <c r="C313" s="69"/>
      <c r="D313" s="69"/>
      <c r="E313" s="69"/>
      <c r="F313" s="69"/>
      <c r="G313" s="77"/>
      <c r="H313" s="77"/>
      <c r="I313" s="77"/>
      <c r="J313" s="366"/>
      <c r="K313" s="77"/>
      <c r="L313" s="77"/>
      <c r="M313" s="77"/>
      <c r="N313" s="77"/>
      <c r="O313" s="69"/>
      <c r="P313" s="69"/>
      <c r="Q313" s="69"/>
      <c r="R313" s="69"/>
      <c r="S313" s="77"/>
      <c r="T313" s="77"/>
      <c r="U313" s="69"/>
      <c r="V313" s="69"/>
      <c r="W313" s="69"/>
      <c r="X313" s="69"/>
      <c r="Y313" s="69"/>
      <c r="Z313" s="69"/>
      <c r="AA313" s="69"/>
      <c r="AB313" s="69"/>
      <c r="AC313" s="69"/>
      <c r="AD313" s="69"/>
      <c r="AE313" s="69"/>
      <c r="AF313" s="69"/>
      <c r="AG313" s="207"/>
      <c r="AH313" s="207"/>
      <c r="AI313" s="207"/>
      <c r="AJ313" s="207"/>
      <c r="AK313" s="69"/>
      <c r="AL313" s="69"/>
      <c r="AM313" s="69"/>
      <c r="AN313" s="69"/>
      <c r="AO313" s="69"/>
      <c r="AP313" s="69"/>
      <c r="AQ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  <c r="BM313" s="69"/>
      <c r="BN313" s="69"/>
      <c r="BO313" s="69"/>
      <c r="BP313" s="69"/>
      <c r="BQ313" s="69"/>
      <c r="BR313" s="69"/>
      <c r="BS313" s="69"/>
      <c r="BT313" s="69"/>
      <c r="BU313" s="69"/>
      <c r="BV313" s="69"/>
      <c r="BW313" s="69"/>
      <c r="BX313" s="69"/>
      <c r="BY313" s="69"/>
      <c r="BZ313" s="69"/>
      <c r="CA313" s="69"/>
      <c r="CB313" s="69"/>
      <c r="CC313" s="69"/>
      <c r="CD313" s="69"/>
      <c r="CE313" s="69"/>
      <c r="CF313" s="69"/>
      <c r="CG313" s="69"/>
      <c r="CH313" s="69"/>
      <c r="CI313" s="69"/>
      <c r="CJ313" s="69"/>
      <c r="CK313" s="69"/>
      <c r="CL313" s="69"/>
      <c r="CM313" s="69"/>
      <c r="CN313" s="69"/>
      <c r="CO313" s="69"/>
      <c r="CP313" s="69"/>
      <c r="CQ313" s="69"/>
      <c r="CR313" s="69"/>
    </row>
    <row r="314" spans="1:96" ht="12.75" customHeight="1">
      <c r="A314" s="784"/>
      <c r="B314" s="69"/>
      <c r="C314" s="69"/>
      <c r="D314" s="69"/>
      <c r="E314" s="69"/>
      <c r="F314" s="69"/>
      <c r="G314" s="77"/>
      <c r="H314" s="77"/>
      <c r="I314" s="77"/>
      <c r="J314" s="366"/>
      <c r="K314" s="77"/>
      <c r="L314" s="77"/>
      <c r="M314" s="77"/>
      <c r="N314" s="77"/>
      <c r="O314" s="69"/>
      <c r="P314" s="69"/>
      <c r="Q314" s="69"/>
      <c r="R314" s="69"/>
      <c r="S314" s="77"/>
      <c r="T314" s="77"/>
      <c r="U314" s="69"/>
      <c r="V314" s="69"/>
      <c r="W314" s="69"/>
      <c r="X314" s="69"/>
      <c r="Y314" s="69"/>
      <c r="Z314" s="69"/>
      <c r="AA314" s="69"/>
      <c r="AB314" s="69"/>
      <c r="AC314" s="69"/>
      <c r="AD314" s="69"/>
      <c r="AE314" s="69"/>
      <c r="AF314" s="69"/>
      <c r="AG314" s="207"/>
      <c r="AH314" s="207"/>
      <c r="AI314" s="207"/>
      <c r="AJ314" s="207"/>
      <c r="AK314" s="69"/>
      <c r="AL314" s="69"/>
      <c r="AM314" s="69"/>
      <c r="AN314" s="69"/>
      <c r="AO314" s="69"/>
      <c r="AP314" s="69"/>
      <c r="AQ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  <c r="BP314" s="69"/>
      <c r="BQ314" s="69"/>
      <c r="BR314" s="69"/>
      <c r="BS314" s="69"/>
      <c r="BT314" s="69"/>
      <c r="BU314" s="69"/>
      <c r="BV314" s="69"/>
      <c r="BW314" s="69"/>
      <c r="BX314" s="69"/>
      <c r="BY314" s="69"/>
      <c r="BZ314" s="69"/>
      <c r="CA314" s="69"/>
      <c r="CB314" s="69"/>
      <c r="CC314" s="69"/>
      <c r="CD314" s="69"/>
      <c r="CE314" s="69"/>
      <c r="CF314" s="69"/>
      <c r="CG314" s="69"/>
      <c r="CH314" s="69"/>
      <c r="CI314" s="69"/>
      <c r="CJ314" s="69"/>
      <c r="CK314" s="69"/>
      <c r="CL314" s="69"/>
      <c r="CM314" s="69"/>
      <c r="CN314" s="69"/>
      <c r="CO314" s="69"/>
      <c r="CP314" s="69"/>
      <c r="CQ314" s="69"/>
      <c r="CR314" s="69"/>
    </row>
    <row r="315" spans="1:96" ht="12.75" customHeight="1">
      <c r="A315" s="784"/>
      <c r="B315" s="69"/>
      <c r="C315" s="69"/>
      <c r="D315" s="69"/>
      <c r="E315" s="69"/>
      <c r="F315" s="69"/>
      <c r="G315" s="77"/>
      <c r="H315" s="77"/>
      <c r="I315" s="77"/>
      <c r="J315" s="366"/>
      <c r="K315" s="77"/>
      <c r="L315" s="77"/>
      <c r="M315" s="77"/>
      <c r="N315" s="77"/>
      <c r="O315" s="69"/>
      <c r="P315" s="69"/>
      <c r="Q315" s="69"/>
      <c r="R315" s="69"/>
      <c r="S315" s="77"/>
      <c r="T315" s="77"/>
      <c r="U315" s="69"/>
      <c r="V315" s="69"/>
      <c r="W315" s="69"/>
      <c r="X315" s="69"/>
      <c r="Y315" s="69"/>
      <c r="Z315" s="69"/>
      <c r="AA315" s="69"/>
      <c r="AB315" s="69"/>
      <c r="AC315" s="69"/>
      <c r="AD315" s="69"/>
      <c r="AE315" s="69"/>
      <c r="AF315" s="69"/>
      <c r="AG315" s="207"/>
      <c r="AH315" s="207"/>
      <c r="AI315" s="207"/>
      <c r="AJ315" s="207"/>
      <c r="AK315" s="69"/>
      <c r="AL315" s="69"/>
      <c r="AM315" s="69"/>
      <c r="AN315" s="69"/>
      <c r="AO315" s="69"/>
      <c r="AP315" s="69"/>
      <c r="AQ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  <c r="BP315" s="69"/>
      <c r="BQ315" s="69"/>
      <c r="BR315" s="69"/>
      <c r="BS315" s="69"/>
      <c r="BT315" s="69"/>
      <c r="BU315" s="69"/>
      <c r="BV315" s="69"/>
      <c r="BW315" s="69"/>
      <c r="BX315" s="69"/>
      <c r="BY315" s="69"/>
      <c r="BZ315" s="69"/>
      <c r="CA315" s="69"/>
      <c r="CB315" s="69"/>
      <c r="CC315" s="69"/>
      <c r="CD315" s="69"/>
      <c r="CE315" s="69"/>
      <c r="CF315" s="69"/>
      <c r="CG315" s="69"/>
      <c r="CH315" s="69"/>
      <c r="CI315" s="69"/>
      <c r="CJ315" s="69"/>
      <c r="CK315" s="69"/>
      <c r="CL315" s="69"/>
      <c r="CM315" s="69"/>
      <c r="CN315" s="69"/>
      <c r="CO315" s="69"/>
      <c r="CP315" s="69"/>
      <c r="CQ315" s="69"/>
      <c r="CR315" s="69"/>
    </row>
    <row r="316" spans="1:96" ht="12.75" customHeight="1">
      <c r="A316" s="784"/>
      <c r="B316" s="69"/>
      <c r="C316" s="69"/>
      <c r="D316" s="69"/>
      <c r="E316" s="69"/>
      <c r="F316" s="69"/>
      <c r="G316" s="77"/>
      <c r="H316" s="77"/>
      <c r="I316" s="77"/>
      <c r="J316" s="366"/>
      <c r="K316" s="77"/>
      <c r="L316" s="77"/>
      <c r="M316" s="77"/>
      <c r="N316" s="77"/>
      <c r="O316" s="69"/>
      <c r="P316" s="69"/>
      <c r="Q316" s="69"/>
      <c r="R316" s="69"/>
      <c r="S316" s="77"/>
      <c r="T316" s="77"/>
      <c r="U316" s="69"/>
      <c r="V316" s="69"/>
      <c r="W316" s="69"/>
      <c r="X316" s="69"/>
      <c r="Y316" s="69"/>
      <c r="Z316" s="69"/>
      <c r="AA316" s="69"/>
      <c r="AB316" s="69"/>
      <c r="AC316" s="69"/>
      <c r="AD316" s="69"/>
      <c r="AE316" s="69"/>
      <c r="AF316" s="69"/>
      <c r="AG316" s="207"/>
      <c r="AH316" s="207"/>
      <c r="AI316" s="207"/>
      <c r="AJ316" s="207"/>
      <c r="AK316" s="69"/>
      <c r="AL316" s="69"/>
      <c r="AM316" s="69"/>
      <c r="AN316" s="69"/>
      <c r="AO316" s="69"/>
      <c r="AP316" s="69"/>
      <c r="AQ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  <c r="BM316" s="69"/>
      <c r="BN316" s="69"/>
      <c r="BO316" s="69"/>
      <c r="BP316" s="69"/>
      <c r="BQ316" s="69"/>
      <c r="BR316" s="69"/>
      <c r="BS316" s="69"/>
      <c r="BT316" s="69"/>
      <c r="BU316" s="69"/>
      <c r="BV316" s="69"/>
      <c r="BW316" s="69"/>
      <c r="BX316" s="69"/>
      <c r="BY316" s="69"/>
      <c r="BZ316" s="69"/>
      <c r="CA316" s="69"/>
      <c r="CB316" s="69"/>
      <c r="CC316" s="69"/>
      <c r="CD316" s="69"/>
      <c r="CE316" s="69"/>
      <c r="CF316" s="69"/>
      <c r="CG316" s="69"/>
      <c r="CH316" s="69"/>
      <c r="CI316" s="69"/>
      <c r="CJ316" s="69"/>
      <c r="CK316" s="69"/>
      <c r="CL316" s="69"/>
      <c r="CM316" s="69"/>
      <c r="CN316" s="69"/>
      <c r="CO316" s="69"/>
      <c r="CP316" s="69"/>
      <c r="CQ316" s="69"/>
      <c r="CR316" s="69"/>
    </row>
    <row r="317" spans="1:96" ht="12.75" customHeight="1">
      <c r="A317" s="784"/>
      <c r="B317" s="69"/>
      <c r="C317" s="69"/>
      <c r="D317" s="69"/>
      <c r="E317" s="69"/>
      <c r="F317" s="69"/>
      <c r="G317" s="77"/>
      <c r="H317" s="77"/>
      <c r="I317" s="77"/>
      <c r="J317" s="366"/>
      <c r="K317" s="77"/>
      <c r="L317" s="77"/>
      <c r="M317" s="77"/>
      <c r="N317" s="77"/>
      <c r="O317" s="69"/>
      <c r="P317" s="69"/>
      <c r="Q317" s="69"/>
      <c r="R317" s="69"/>
      <c r="S317" s="77"/>
      <c r="T317" s="77"/>
      <c r="U317" s="69"/>
      <c r="V317" s="69"/>
      <c r="W317" s="69"/>
      <c r="X317" s="69"/>
      <c r="Y317" s="69"/>
      <c r="Z317" s="69"/>
      <c r="AA317" s="69"/>
      <c r="AB317" s="69"/>
      <c r="AC317" s="69"/>
      <c r="AD317" s="69"/>
      <c r="AE317" s="69"/>
      <c r="AF317" s="69"/>
      <c r="AG317" s="207"/>
      <c r="AH317" s="207"/>
      <c r="AI317" s="207"/>
      <c r="AJ317" s="207"/>
      <c r="AK317" s="69"/>
      <c r="AL317" s="69"/>
      <c r="AM317" s="69"/>
      <c r="AN317" s="69"/>
      <c r="AO317" s="69"/>
      <c r="AP317" s="69"/>
      <c r="AQ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  <c r="BM317" s="69"/>
      <c r="BN317" s="69"/>
      <c r="BO317" s="69"/>
      <c r="BP317" s="69"/>
      <c r="BQ317" s="69"/>
      <c r="BR317" s="69"/>
      <c r="BS317" s="69"/>
      <c r="BT317" s="69"/>
      <c r="BU317" s="69"/>
      <c r="BV317" s="69"/>
      <c r="BW317" s="69"/>
      <c r="BX317" s="69"/>
      <c r="BY317" s="69"/>
      <c r="BZ317" s="69"/>
      <c r="CA317" s="69"/>
      <c r="CB317" s="69"/>
      <c r="CC317" s="69"/>
      <c r="CD317" s="69"/>
      <c r="CE317" s="69"/>
      <c r="CF317" s="69"/>
      <c r="CG317" s="69"/>
      <c r="CH317" s="69"/>
      <c r="CI317" s="69"/>
      <c r="CJ317" s="69"/>
      <c r="CK317" s="69"/>
      <c r="CL317" s="69"/>
      <c r="CM317" s="69"/>
      <c r="CN317" s="69"/>
      <c r="CO317" s="69"/>
      <c r="CP317" s="69"/>
      <c r="CQ317" s="69"/>
      <c r="CR317" s="69"/>
    </row>
    <row r="318" spans="1:96" ht="15.75" customHeight="1">
      <c r="A318" s="8"/>
      <c r="B318" s="8"/>
      <c r="C318" s="8"/>
      <c r="D318" s="8"/>
      <c r="E318" s="8"/>
      <c r="F318" s="8"/>
      <c r="G318" s="789"/>
      <c r="H318" s="789"/>
      <c r="I318" s="789"/>
      <c r="J318" s="790"/>
      <c r="K318" s="789"/>
      <c r="L318" s="789"/>
      <c r="M318" s="789"/>
      <c r="N318" s="789"/>
      <c r="O318" s="8"/>
      <c r="P318" s="8"/>
      <c r="Q318" s="8"/>
      <c r="R318" s="8"/>
      <c r="S318" s="789"/>
      <c r="T318" s="789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</row>
    <row r="319" spans="1:96" ht="15.75" customHeight="1">
      <c r="A319" s="8"/>
      <c r="B319" s="8"/>
      <c r="C319" s="8"/>
      <c r="D319" s="8"/>
      <c r="E319" s="8"/>
      <c r="F319" s="8"/>
      <c r="G319" s="789"/>
      <c r="H319" s="789"/>
      <c r="I319" s="789"/>
      <c r="J319" s="790"/>
      <c r="K319" s="789"/>
      <c r="L319" s="789"/>
      <c r="M319" s="789"/>
      <c r="N319" s="789"/>
      <c r="O319" s="8"/>
      <c r="P319" s="8"/>
      <c r="Q319" s="8"/>
      <c r="R319" s="8"/>
      <c r="S319" s="789"/>
      <c r="T319" s="789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</row>
    <row r="320" spans="1:96" ht="15.75" customHeight="1">
      <c r="A320" s="8"/>
      <c r="B320" s="8"/>
      <c r="C320" s="8"/>
      <c r="D320" s="8"/>
      <c r="E320" s="8"/>
      <c r="F320" s="8"/>
      <c r="G320" s="789"/>
      <c r="H320" s="789"/>
      <c r="I320" s="789"/>
      <c r="J320" s="790"/>
      <c r="K320" s="789"/>
      <c r="L320" s="789"/>
      <c r="M320" s="789"/>
      <c r="N320" s="789"/>
      <c r="O320" s="8"/>
      <c r="P320" s="8"/>
      <c r="Q320" s="8"/>
      <c r="R320" s="8"/>
      <c r="S320" s="789"/>
      <c r="T320" s="789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</row>
    <row r="321" spans="1:96" ht="15.75" customHeight="1">
      <c r="A321" s="8"/>
      <c r="B321" s="8"/>
      <c r="C321" s="8"/>
      <c r="D321" s="8"/>
      <c r="E321" s="8"/>
      <c r="F321" s="8"/>
      <c r="G321" s="789"/>
      <c r="H321" s="789"/>
      <c r="I321" s="789"/>
      <c r="J321" s="790"/>
      <c r="K321" s="789"/>
      <c r="L321" s="789"/>
      <c r="M321" s="789"/>
      <c r="N321" s="789"/>
      <c r="O321" s="8"/>
      <c r="P321" s="8"/>
      <c r="Q321" s="8"/>
      <c r="R321" s="8"/>
      <c r="S321" s="789"/>
      <c r="T321" s="789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</row>
    <row r="322" spans="1:96" ht="15.75" customHeight="1">
      <c r="A322" s="8"/>
      <c r="B322" s="8"/>
      <c r="C322" s="8"/>
      <c r="D322" s="8"/>
      <c r="E322" s="8"/>
      <c r="F322" s="8"/>
      <c r="G322" s="789"/>
      <c r="H322" s="789"/>
      <c r="I322" s="789"/>
      <c r="J322" s="790"/>
      <c r="K322" s="789"/>
      <c r="L322" s="789"/>
      <c r="M322" s="789"/>
      <c r="N322" s="789"/>
      <c r="O322" s="8"/>
      <c r="P322" s="8"/>
      <c r="Q322" s="8"/>
      <c r="R322" s="8"/>
      <c r="S322" s="789"/>
      <c r="T322" s="789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</row>
    <row r="323" spans="1:96" ht="15.75" customHeight="1">
      <c r="A323" s="8"/>
      <c r="B323" s="8"/>
      <c r="C323" s="8"/>
      <c r="D323" s="8"/>
      <c r="E323" s="8"/>
      <c r="F323" s="8"/>
      <c r="G323" s="789"/>
      <c r="H323" s="789"/>
      <c r="I323" s="789"/>
      <c r="J323" s="790"/>
      <c r="K323" s="789"/>
      <c r="L323" s="789"/>
      <c r="M323" s="789"/>
      <c r="N323" s="789"/>
      <c r="O323" s="8"/>
      <c r="P323" s="8"/>
      <c r="Q323" s="8"/>
      <c r="R323" s="8"/>
      <c r="S323" s="789"/>
      <c r="T323" s="789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</row>
    <row r="324" spans="1:96" ht="15.75" customHeight="1">
      <c r="A324" s="8"/>
      <c r="B324" s="8"/>
      <c r="C324" s="8"/>
      <c r="D324" s="8"/>
      <c r="E324" s="8"/>
      <c r="F324" s="8"/>
      <c r="G324" s="789"/>
      <c r="H324" s="789"/>
      <c r="I324" s="789"/>
      <c r="J324" s="790"/>
      <c r="K324" s="789"/>
      <c r="L324" s="789"/>
      <c r="M324" s="789"/>
      <c r="N324" s="789"/>
      <c r="O324" s="8"/>
      <c r="P324" s="8"/>
      <c r="Q324" s="8"/>
      <c r="R324" s="8"/>
      <c r="S324" s="789"/>
      <c r="T324" s="789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</row>
    <row r="325" spans="1:96" ht="15.75" customHeight="1">
      <c r="A325" s="8"/>
      <c r="B325" s="8"/>
      <c r="C325" s="8"/>
      <c r="D325" s="8"/>
      <c r="E325" s="8"/>
      <c r="F325" s="8"/>
      <c r="G325" s="789"/>
      <c r="H325" s="789"/>
      <c r="I325" s="789"/>
      <c r="J325" s="790"/>
      <c r="K325" s="789"/>
      <c r="L325" s="789"/>
      <c r="M325" s="789"/>
      <c r="N325" s="789"/>
      <c r="O325" s="8"/>
      <c r="P325" s="8"/>
      <c r="Q325" s="8"/>
      <c r="R325" s="8"/>
      <c r="S325" s="789"/>
      <c r="T325" s="789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</row>
    <row r="326" spans="1:96" ht="15.75" customHeight="1">
      <c r="A326" s="8"/>
      <c r="B326" s="8"/>
      <c r="C326" s="8"/>
      <c r="D326" s="8"/>
      <c r="E326" s="8"/>
      <c r="F326" s="8"/>
      <c r="G326" s="789"/>
      <c r="H326" s="789"/>
      <c r="I326" s="789"/>
      <c r="J326" s="790"/>
      <c r="K326" s="789"/>
      <c r="L326" s="789"/>
      <c r="M326" s="789"/>
      <c r="N326" s="789"/>
      <c r="O326" s="8"/>
      <c r="P326" s="8"/>
      <c r="Q326" s="8"/>
      <c r="R326" s="8"/>
      <c r="S326" s="789"/>
      <c r="T326" s="789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</row>
    <row r="327" spans="1:96" ht="15.75" customHeight="1">
      <c r="A327" s="8"/>
      <c r="B327" s="8"/>
      <c r="C327" s="8"/>
      <c r="D327" s="8"/>
      <c r="E327" s="8"/>
      <c r="F327" s="8"/>
      <c r="G327" s="789"/>
      <c r="H327" s="789"/>
      <c r="I327" s="789"/>
      <c r="J327" s="790"/>
      <c r="K327" s="789"/>
      <c r="L327" s="789"/>
      <c r="M327" s="789"/>
      <c r="N327" s="789"/>
      <c r="O327" s="8"/>
      <c r="P327" s="8"/>
      <c r="Q327" s="8"/>
      <c r="R327" s="8"/>
      <c r="S327" s="789"/>
      <c r="T327" s="789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</row>
    <row r="328" spans="1:96" ht="15.75" customHeight="1">
      <c r="A328" s="8"/>
      <c r="B328" s="8"/>
      <c r="C328" s="8"/>
      <c r="D328" s="8"/>
      <c r="E328" s="8"/>
      <c r="F328" s="8"/>
      <c r="G328" s="789"/>
      <c r="H328" s="789"/>
      <c r="I328" s="789"/>
      <c r="J328" s="790"/>
      <c r="K328" s="789"/>
      <c r="L328" s="789"/>
      <c r="M328" s="789"/>
      <c r="N328" s="789"/>
      <c r="O328" s="8"/>
      <c r="P328" s="8"/>
      <c r="Q328" s="8"/>
      <c r="R328" s="8"/>
      <c r="S328" s="789"/>
      <c r="T328" s="789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</row>
    <row r="329" spans="1:96" ht="15.75" customHeight="1">
      <c r="A329" s="8"/>
      <c r="B329" s="8"/>
      <c r="C329" s="8"/>
      <c r="D329" s="8"/>
      <c r="E329" s="8"/>
      <c r="F329" s="8"/>
      <c r="G329" s="789"/>
      <c r="H329" s="789"/>
      <c r="I329" s="789"/>
      <c r="J329" s="790"/>
      <c r="K329" s="789"/>
      <c r="L329" s="789"/>
      <c r="M329" s="789"/>
      <c r="N329" s="789"/>
      <c r="O329" s="8"/>
      <c r="P329" s="8"/>
      <c r="Q329" s="8"/>
      <c r="R329" s="8"/>
      <c r="S329" s="789"/>
      <c r="T329" s="789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</row>
    <row r="330" spans="1:96" ht="15.75" customHeight="1">
      <c r="A330" s="8"/>
      <c r="B330" s="8"/>
      <c r="C330" s="8"/>
      <c r="D330" s="8"/>
      <c r="E330" s="8"/>
      <c r="F330" s="8"/>
      <c r="G330" s="789"/>
      <c r="H330" s="789"/>
      <c r="I330" s="789"/>
      <c r="J330" s="790"/>
      <c r="K330" s="789"/>
      <c r="L330" s="789"/>
      <c r="M330" s="789"/>
      <c r="N330" s="789"/>
      <c r="O330" s="8"/>
      <c r="P330" s="8"/>
      <c r="Q330" s="8"/>
      <c r="R330" s="8"/>
      <c r="S330" s="789"/>
      <c r="T330" s="789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</row>
    <row r="331" spans="1:96" ht="15.75" customHeight="1">
      <c r="A331" s="8"/>
      <c r="B331" s="8"/>
      <c r="C331" s="8"/>
      <c r="D331" s="8"/>
      <c r="E331" s="8"/>
      <c r="F331" s="8"/>
      <c r="G331" s="789"/>
      <c r="H331" s="789"/>
      <c r="I331" s="789"/>
      <c r="J331" s="790"/>
      <c r="K331" s="789"/>
      <c r="L331" s="789"/>
      <c r="M331" s="789"/>
      <c r="N331" s="789"/>
      <c r="O331" s="8"/>
      <c r="P331" s="8"/>
      <c r="Q331" s="8"/>
      <c r="R331" s="8"/>
      <c r="S331" s="789"/>
      <c r="T331" s="789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</row>
    <row r="332" spans="1:96" ht="15.75" customHeight="1">
      <c r="A332" s="8"/>
      <c r="B332" s="8"/>
      <c r="C332" s="8"/>
      <c r="D332" s="8"/>
      <c r="E332" s="8"/>
      <c r="F332" s="8"/>
      <c r="G332" s="789"/>
      <c r="H332" s="789"/>
      <c r="I332" s="789"/>
      <c r="J332" s="790"/>
      <c r="K332" s="789"/>
      <c r="L332" s="789"/>
      <c r="M332" s="789"/>
      <c r="N332" s="789"/>
      <c r="O332" s="8"/>
      <c r="P332" s="8"/>
      <c r="Q332" s="8"/>
      <c r="R332" s="8"/>
      <c r="S332" s="789"/>
      <c r="T332" s="789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</row>
    <row r="333" spans="1:96" ht="15.75" customHeight="1">
      <c r="A333" s="8"/>
      <c r="B333" s="8"/>
      <c r="C333" s="8"/>
      <c r="D333" s="8"/>
      <c r="E333" s="8"/>
      <c r="F333" s="8"/>
      <c r="G333" s="789"/>
      <c r="H333" s="789"/>
      <c r="I333" s="789"/>
      <c r="J333" s="790"/>
      <c r="K333" s="789"/>
      <c r="L333" s="789"/>
      <c r="M333" s="789"/>
      <c r="N333" s="789"/>
      <c r="O333" s="8"/>
      <c r="P333" s="8"/>
      <c r="Q333" s="8"/>
      <c r="R333" s="8"/>
      <c r="S333" s="789"/>
      <c r="T333" s="789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</row>
    <row r="334" spans="1:96" ht="15.75" customHeight="1">
      <c r="A334" s="8"/>
      <c r="B334" s="8"/>
      <c r="C334" s="8"/>
      <c r="D334" s="8"/>
      <c r="E334" s="8"/>
      <c r="F334" s="8"/>
      <c r="G334" s="789"/>
      <c r="H334" s="789"/>
      <c r="I334" s="789"/>
      <c r="J334" s="790"/>
      <c r="K334" s="789"/>
      <c r="L334" s="789"/>
      <c r="M334" s="789"/>
      <c r="N334" s="789"/>
      <c r="O334" s="8"/>
      <c r="P334" s="8"/>
      <c r="Q334" s="8"/>
      <c r="R334" s="8"/>
      <c r="S334" s="789"/>
      <c r="T334" s="789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</row>
    <row r="335" spans="1:96" ht="15.75" customHeight="1">
      <c r="A335" s="8"/>
      <c r="B335" s="8"/>
      <c r="C335" s="8"/>
      <c r="D335" s="8"/>
      <c r="E335" s="8"/>
      <c r="F335" s="8"/>
      <c r="G335" s="789"/>
      <c r="H335" s="789"/>
      <c r="I335" s="789"/>
      <c r="J335" s="790"/>
      <c r="K335" s="789"/>
      <c r="L335" s="789"/>
      <c r="M335" s="789"/>
      <c r="N335" s="789"/>
      <c r="O335" s="8"/>
      <c r="P335" s="8"/>
      <c r="Q335" s="8"/>
      <c r="R335" s="8"/>
      <c r="S335" s="789"/>
      <c r="T335" s="789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</row>
    <row r="336" spans="1:96" ht="15.75" customHeight="1">
      <c r="A336" s="8"/>
      <c r="B336" s="8"/>
      <c r="C336" s="8"/>
      <c r="D336" s="8"/>
      <c r="E336" s="8"/>
      <c r="F336" s="8"/>
      <c r="G336" s="789"/>
      <c r="H336" s="789"/>
      <c r="I336" s="789"/>
      <c r="J336" s="790"/>
      <c r="K336" s="789"/>
      <c r="L336" s="789"/>
      <c r="M336" s="789"/>
      <c r="N336" s="789"/>
      <c r="O336" s="8"/>
      <c r="P336" s="8"/>
      <c r="Q336" s="8"/>
      <c r="R336" s="8"/>
      <c r="S336" s="789"/>
      <c r="T336" s="789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</row>
    <row r="337" spans="1:96" ht="15.75" customHeight="1">
      <c r="A337" s="8"/>
      <c r="B337" s="8"/>
      <c r="C337" s="8"/>
      <c r="D337" s="8"/>
      <c r="E337" s="8"/>
      <c r="F337" s="8"/>
      <c r="G337" s="789"/>
      <c r="H337" s="789"/>
      <c r="I337" s="789"/>
      <c r="J337" s="790"/>
      <c r="K337" s="789"/>
      <c r="L337" s="789"/>
      <c r="M337" s="789"/>
      <c r="N337" s="789"/>
      <c r="O337" s="8"/>
      <c r="P337" s="8"/>
      <c r="Q337" s="8"/>
      <c r="R337" s="8"/>
      <c r="S337" s="789"/>
      <c r="T337" s="789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</row>
    <row r="338" spans="1:96" ht="15.75" customHeight="1">
      <c r="A338" s="8"/>
      <c r="B338" s="8"/>
      <c r="C338" s="8"/>
      <c r="D338" s="8"/>
      <c r="E338" s="8"/>
      <c r="F338" s="8"/>
      <c r="G338" s="789"/>
      <c r="H338" s="789"/>
      <c r="I338" s="789"/>
      <c r="J338" s="790"/>
      <c r="K338" s="789"/>
      <c r="L338" s="789"/>
      <c r="M338" s="789"/>
      <c r="N338" s="789"/>
      <c r="O338" s="8"/>
      <c r="P338" s="8"/>
      <c r="Q338" s="8"/>
      <c r="R338" s="8"/>
      <c r="S338" s="789"/>
      <c r="T338" s="789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</row>
    <row r="339" spans="1:96" ht="15.75" customHeight="1">
      <c r="A339" s="8"/>
      <c r="B339" s="8"/>
      <c r="C339" s="8"/>
      <c r="D339" s="8"/>
      <c r="E339" s="8"/>
      <c r="F339" s="8"/>
      <c r="G339" s="789"/>
      <c r="H339" s="789"/>
      <c r="I339" s="789"/>
      <c r="J339" s="790"/>
      <c r="K339" s="789"/>
      <c r="L339" s="789"/>
      <c r="M339" s="789"/>
      <c r="N339" s="789"/>
      <c r="O339" s="8"/>
      <c r="P339" s="8"/>
      <c r="Q339" s="8"/>
      <c r="R339" s="8"/>
      <c r="S339" s="789"/>
      <c r="T339" s="789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</row>
    <row r="340" spans="1:96" ht="15.75" customHeight="1">
      <c r="A340" s="8"/>
      <c r="B340" s="8"/>
      <c r="C340" s="8"/>
      <c r="D340" s="8"/>
      <c r="E340" s="8"/>
      <c r="F340" s="8"/>
      <c r="G340" s="789"/>
      <c r="H340" s="789"/>
      <c r="I340" s="789"/>
      <c r="J340" s="790"/>
      <c r="K340" s="789"/>
      <c r="L340" s="789"/>
      <c r="M340" s="789"/>
      <c r="N340" s="789"/>
      <c r="O340" s="8"/>
      <c r="P340" s="8"/>
      <c r="Q340" s="8"/>
      <c r="R340" s="8"/>
      <c r="S340" s="789"/>
      <c r="T340" s="789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</row>
    <row r="341" spans="1:96" ht="15.75" customHeight="1">
      <c r="A341" s="8"/>
      <c r="B341" s="8"/>
      <c r="C341" s="8"/>
      <c r="D341" s="8"/>
      <c r="E341" s="8"/>
      <c r="F341" s="8"/>
      <c r="G341" s="789"/>
      <c r="H341" s="789"/>
      <c r="I341" s="789"/>
      <c r="J341" s="790"/>
      <c r="K341" s="789"/>
      <c r="L341" s="789"/>
      <c r="M341" s="789"/>
      <c r="N341" s="789"/>
      <c r="O341" s="8"/>
      <c r="P341" s="8"/>
      <c r="Q341" s="8"/>
      <c r="R341" s="8"/>
      <c r="S341" s="789"/>
      <c r="T341" s="789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</row>
    <row r="342" spans="1:96" ht="15.75" customHeight="1">
      <c r="A342" s="8"/>
      <c r="B342" s="8"/>
      <c r="C342" s="8"/>
      <c r="D342" s="8"/>
      <c r="E342" s="8"/>
      <c r="F342" s="8"/>
      <c r="G342" s="789"/>
      <c r="H342" s="789"/>
      <c r="I342" s="789"/>
      <c r="J342" s="790"/>
      <c r="K342" s="789"/>
      <c r="L342" s="789"/>
      <c r="M342" s="789"/>
      <c r="N342" s="789"/>
      <c r="O342" s="8"/>
      <c r="P342" s="8"/>
      <c r="Q342" s="8"/>
      <c r="R342" s="8"/>
      <c r="S342" s="789"/>
      <c r="T342" s="789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</row>
    <row r="343" spans="1:96" ht="15.75" customHeight="1">
      <c r="A343" s="8"/>
      <c r="B343" s="8"/>
      <c r="C343" s="8"/>
      <c r="D343" s="8"/>
      <c r="E343" s="8"/>
      <c r="F343" s="8"/>
      <c r="G343" s="789"/>
      <c r="H343" s="789"/>
      <c r="I343" s="789"/>
      <c r="J343" s="790"/>
      <c r="K343" s="789"/>
      <c r="L343" s="789"/>
      <c r="M343" s="789"/>
      <c r="N343" s="789"/>
      <c r="O343" s="8"/>
      <c r="P343" s="8"/>
      <c r="Q343" s="8"/>
      <c r="R343" s="8"/>
      <c r="S343" s="789"/>
      <c r="T343" s="789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</row>
    <row r="344" spans="1:96" ht="15.75" customHeight="1">
      <c r="A344" s="8"/>
      <c r="B344" s="8"/>
      <c r="C344" s="8"/>
      <c r="D344" s="8"/>
      <c r="E344" s="8"/>
      <c r="F344" s="8"/>
      <c r="G344" s="789"/>
      <c r="H344" s="789"/>
      <c r="I344" s="789"/>
      <c r="J344" s="790"/>
      <c r="K344" s="789"/>
      <c r="L344" s="789"/>
      <c r="M344" s="789"/>
      <c r="N344" s="789"/>
      <c r="O344" s="8"/>
      <c r="P344" s="8"/>
      <c r="Q344" s="8"/>
      <c r="R344" s="8"/>
      <c r="S344" s="789"/>
      <c r="T344" s="789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</row>
    <row r="345" spans="1:96" ht="15.75" customHeight="1">
      <c r="A345" s="8"/>
      <c r="B345" s="8"/>
      <c r="C345" s="8"/>
      <c r="D345" s="8"/>
      <c r="E345" s="8"/>
      <c r="F345" s="8"/>
      <c r="G345" s="789"/>
      <c r="H345" s="789"/>
      <c r="I345" s="789"/>
      <c r="J345" s="790"/>
      <c r="K345" s="789"/>
      <c r="L345" s="789"/>
      <c r="M345" s="789"/>
      <c r="N345" s="789"/>
      <c r="O345" s="8"/>
      <c r="P345" s="8"/>
      <c r="Q345" s="8"/>
      <c r="R345" s="8"/>
      <c r="S345" s="789"/>
      <c r="T345" s="789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</row>
    <row r="346" spans="1:96" ht="15.75" customHeight="1">
      <c r="A346" s="8"/>
      <c r="B346" s="8"/>
      <c r="C346" s="8"/>
      <c r="D346" s="8"/>
      <c r="E346" s="8"/>
      <c r="F346" s="8"/>
      <c r="G346" s="789"/>
      <c r="H346" s="789"/>
      <c r="I346" s="789"/>
      <c r="J346" s="790"/>
      <c r="K346" s="789"/>
      <c r="L346" s="789"/>
      <c r="M346" s="789"/>
      <c r="N346" s="789"/>
      <c r="O346" s="8"/>
      <c r="P346" s="8"/>
      <c r="Q346" s="8"/>
      <c r="R346" s="8"/>
      <c r="S346" s="789"/>
      <c r="T346" s="789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</row>
    <row r="347" spans="1:96" ht="15.75" customHeight="1">
      <c r="A347" s="8"/>
      <c r="B347" s="8"/>
      <c r="C347" s="8"/>
      <c r="D347" s="8"/>
      <c r="E347" s="8"/>
      <c r="F347" s="8"/>
      <c r="G347" s="789"/>
      <c r="H347" s="789"/>
      <c r="I347" s="789"/>
      <c r="J347" s="790"/>
      <c r="K347" s="789"/>
      <c r="L347" s="789"/>
      <c r="M347" s="789"/>
      <c r="N347" s="789"/>
      <c r="O347" s="8"/>
      <c r="P347" s="8"/>
      <c r="Q347" s="8"/>
      <c r="R347" s="8"/>
      <c r="S347" s="789"/>
      <c r="T347" s="789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</row>
    <row r="348" spans="1:96" ht="15.75" customHeight="1">
      <c r="A348" s="8"/>
      <c r="B348" s="8"/>
      <c r="C348" s="8"/>
      <c r="D348" s="8"/>
      <c r="E348" s="8"/>
      <c r="F348" s="8"/>
      <c r="G348" s="789"/>
      <c r="H348" s="789"/>
      <c r="I348" s="789"/>
      <c r="J348" s="790"/>
      <c r="K348" s="789"/>
      <c r="L348" s="789"/>
      <c r="M348" s="789"/>
      <c r="N348" s="789"/>
      <c r="O348" s="8"/>
      <c r="P348" s="8"/>
      <c r="Q348" s="8"/>
      <c r="R348" s="8"/>
      <c r="S348" s="789"/>
      <c r="T348" s="789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</row>
    <row r="349" spans="1:96" ht="15.75" customHeight="1">
      <c r="A349" s="8"/>
      <c r="B349" s="8"/>
      <c r="C349" s="8"/>
      <c r="D349" s="8"/>
      <c r="E349" s="8"/>
      <c r="F349" s="8"/>
      <c r="G349" s="789"/>
      <c r="H349" s="789"/>
      <c r="I349" s="789"/>
      <c r="J349" s="790"/>
      <c r="K349" s="789"/>
      <c r="L349" s="789"/>
      <c r="M349" s="789"/>
      <c r="N349" s="789"/>
      <c r="O349" s="8"/>
      <c r="P349" s="8"/>
      <c r="Q349" s="8"/>
      <c r="R349" s="8"/>
      <c r="S349" s="789"/>
      <c r="T349" s="789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</row>
    <row r="350" spans="1:96" ht="15.75" customHeight="1">
      <c r="A350" s="8"/>
      <c r="B350" s="8"/>
      <c r="C350" s="8"/>
      <c r="D350" s="8"/>
      <c r="E350" s="8"/>
      <c r="F350" s="8"/>
      <c r="G350" s="789"/>
      <c r="H350" s="789"/>
      <c r="I350" s="789"/>
      <c r="J350" s="790"/>
      <c r="K350" s="789"/>
      <c r="L350" s="789"/>
      <c r="M350" s="789"/>
      <c r="N350" s="789"/>
      <c r="O350" s="8"/>
      <c r="P350" s="8"/>
      <c r="Q350" s="8"/>
      <c r="R350" s="8"/>
      <c r="S350" s="789"/>
      <c r="T350" s="789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</row>
    <row r="351" spans="1:96" ht="15.75" customHeight="1">
      <c r="A351" s="8"/>
      <c r="B351" s="8"/>
      <c r="C351" s="8"/>
      <c r="D351" s="8"/>
      <c r="E351" s="8"/>
      <c r="F351" s="8"/>
      <c r="G351" s="789"/>
      <c r="H351" s="789"/>
      <c r="I351" s="789"/>
      <c r="J351" s="790"/>
      <c r="K351" s="789"/>
      <c r="L351" s="789"/>
      <c r="M351" s="789"/>
      <c r="N351" s="789"/>
      <c r="O351" s="8"/>
      <c r="P351" s="8"/>
      <c r="Q351" s="8"/>
      <c r="R351" s="8"/>
      <c r="S351" s="789"/>
      <c r="T351" s="789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</row>
    <row r="352" spans="1:96" ht="15.75" customHeight="1">
      <c r="A352" s="8"/>
      <c r="B352" s="8"/>
      <c r="C352" s="8"/>
      <c r="D352" s="8"/>
      <c r="E352" s="8"/>
      <c r="F352" s="8"/>
      <c r="G352" s="789"/>
      <c r="H352" s="789"/>
      <c r="I352" s="789"/>
      <c r="J352" s="790"/>
      <c r="K352" s="789"/>
      <c r="L352" s="789"/>
      <c r="M352" s="789"/>
      <c r="N352" s="789"/>
      <c r="O352" s="8"/>
      <c r="P352" s="8"/>
      <c r="Q352" s="8"/>
      <c r="R352" s="8"/>
      <c r="S352" s="789"/>
      <c r="T352" s="789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</row>
    <row r="353" spans="1:96" ht="15.75" customHeight="1">
      <c r="A353" s="8"/>
      <c r="B353" s="8"/>
      <c r="C353" s="8"/>
      <c r="D353" s="8"/>
      <c r="E353" s="8"/>
      <c r="F353" s="8"/>
      <c r="G353" s="789"/>
      <c r="H353" s="789"/>
      <c r="I353" s="789"/>
      <c r="J353" s="790"/>
      <c r="K353" s="789"/>
      <c r="L353" s="789"/>
      <c r="M353" s="789"/>
      <c r="N353" s="789"/>
      <c r="O353" s="8"/>
      <c r="P353" s="8"/>
      <c r="Q353" s="8"/>
      <c r="R353" s="8"/>
      <c r="S353" s="789"/>
      <c r="T353" s="789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</row>
    <row r="354" spans="1:96" ht="15.75" customHeight="1">
      <c r="A354" s="8"/>
      <c r="B354" s="8"/>
      <c r="C354" s="8"/>
      <c r="D354" s="8"/>
      <c r="E354" s="8"/>
      <c r="F354" s="8"/>
      <c r="G354" s="789"/>
      <c r="H354" s="789"/>
      <c r="I354" s="789"/>
      <c r="J354" s="790"/>
      <c r="K354" s="789"/>
      <c r="L354" s="789"/>
      <c r="M354" s="789"/>
      <c r="N354" s="789"/>
      <c r="O354" s="8"/>
      <c r="P354" s="8"/>
      <c r="Q354" s="8"/>
      <c r="R354" s="8"/>
      <c r="S354" s="789"/>
      <c r="T354" s="789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</row>
    <row r="355" spans="1:96" ht="15.75" customHeight="1">
      <c r="A355" s="8"/>
      <c r="B355" s="8"/>
      <c r="C355" s="8"/>
      <c r="D355" s="8"/>
      <c r="E355" s="8"/>
      <c r="F355" s="8"/>
      <c r="G355" s="789"/>
      <c r="H355" s="789"/>
      <c r="I355" s="789"/>
      <c r="J355" s="790"/>
      <c r="K355" s="789"/>
      <c r="L355" s="789"/>
      <c r="M355" s="789"/>
      <c r="N355" s="789"/>
      <c r="O355" s="8"/>
      <c r="P355" s="8"/>
      <c r="Q355" s="8"/>
      <c r="R355" s="8"/>
      <c r="S355" s="789"/>
      <c r="T355" s="789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</row>
    <row r="356" spans="1:96" ht="15.75" customHeight="1">
      <c r="A356" s="8"/>
      <c r="B356" s="8"/>
      <c r="C356" s="8"/>
      <c r="D356" s="8"/>
      <c r="E356" s="8"/>
      <c r="F356" s="8"/>
      <c r="G356" s="789"/>
      <c r="H356" s="789"/>
      <c r="I356" s="789"/>
      <c r="J356" s="790"/>
      <c r="K356" s="789"/>
      <c r="L356" s="789"/>
      <c r="M356" s="789"/>
      <c r="N356" s="789"/>
      <c r="O356" s="8"/>
      <c r="P356" s="8"/>
      <c r="Q356" s="8"/>
      <c r="R356" s="8"/>
      <c r="S356" s="789"/>
      <c r="T356" s="789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</row>
    <row r="357" spans="1:96" ht="15.75" customHeight="1">
      <c r="A357" s="8"/>
      <c r="B357" s="8"/>
      <c r="C357" s="8"/>
      <c r="D357" s="8"/>
      <c r="E357" s="8"/>
      <c r="F357" s="8"/>
      <c r="G357" s="789"/>
      <c r="H357" s="789"/>
      <c r="I357" s="789"/>
      <c r="J357" s="790"/>
      <c r="K357" s="789"/>
      <c r="L357" s="789"/>
      <c r="M357" s="789"/>
      <c r="N357" s="789"/>
      <c r="O357" s="8"/>
      <c r="P357" s="8"/>
      <c r="Q357" s="8"/>
      <c r="R357" s="8"/>
      <c r="S357" s="789"/>
      <c r="T357" s="789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</row>
    <row r="358" spans="1:96" ht="15.75" customHeight="1">
      <c r="A358" s="8"/>
      <c r="B358" s="8"/>
      <c r="C358" s="8"/>
      <c r="D358" s="8"/>
      <c r="E358" s="8"/>
      <c r="F358" s="8"/>
      <c r="G358" s="789"/>
      <c r="H358" s="789"/>
      <c r="I358" s="789"/>
      <c r="J358" s="790"/>
      <c r="K358" s="789"/>
      <c r="L358" s="789"/>
      <c r="M358" s="789"/>
      <c r="N358" s="789"/>
      <c r="O358" s="8"/>
      <c r="P358" s="8"/>
      <c r="Q358" s="8"/>
      <c r="R358" s="8"/>
      <c r="S358" s="789"/>
      <c r="T358" s="789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</row>
    <row r="359" spans="1:96" ht="15.75" customHeight="1">
      <c r="A359" s="8"/>
      <c r="B359" s="8"/>
      <c r="C359" s="8"/>
      <c r="D359" s="8"/>
      <c r="E359" s="8"/>
      <c r="F359" s="8"/>
      <c r="G359" s="789"/>
      <c r="H359" s="789"/>
      <c r="I359" s="789"/>
      <c r="J359" s="790"/>
      <c r="K359" s="789"/>
      <c r="L359" s="789"/>
      <c r="M359" s="789"/>
      <c r="N359" s="789"/>
      <c r="O359" s="8"/>
      <c r="P359" s="8"/>
      <c r="Q359" s="8"/>
      <c r="R359" s="8"/>
      <c r="S359" s="789"/>
      <c r="T359" s="789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</row>
    <row r="360" spans="1:96" ht="15.75" customHeight="1">
      <c r="A360" s="8"/>
      <c r="B360" s="8"/>
      <c r="C360" s="8"/>
      <c r="D360" s="8"/>
      <c r="E360" s="8"/>
      <c r="F360" s="8"/>
      <c r="G360" s="789"/>
      <c r="H360" s="789"/>
      <c r="I360" s="789"/>
      <c r="J360" s="790"/>
      <c r="K360" s="789"/>
      <c r="L360" s="789"/>
      <c r="M360" s="789"/>
      <c r="N360" s="789"/>
      <c r="O360" s="8"/>
      <c r="P360" s="8"/>
      <c r="Q360" s="8"/>
      <c r="R360" s="8"/>
      <c r="S360" s="789"/>
      <c r="T360" s="789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</row>
    <row r="361" spans="1:96" ht="15.75" customHeight="1">
      <c r="A361" s="8"/>
      <c r="B361" s="8"/>
      <c r="C361" s="8"/>
      <c r="D361" s="8"/>
      <c r="E361" s="8"/>
      <c r="F361" s="8"/>
      <c r="G361" s="789"/>
      <c r="H361" s="789"/>
      <c r="I361" s="789"/>
      <c r="J361" s="790"/>
      <c r="K361" s="789"/>
      <c r="L361" s="789"/>
      <c r="M361" s="789"/>
      <c r="N361" s="789"/>
      <c r="O361" s="8"/>
      <c r="P361" s="8"/>
      <c r="Q361" s="8"/>
      <c r="R361" s="8"/>
      <c r="S361" s="789"/>
      <c r="T361" s="789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</row>
    <row r="362" spans="1:96" ht="15.75" customHeight="1">
      <c r="A362" s="8"/>
      <c r="B362" s="8"/>
      <c r="C362" s="8"/>
      <c r="D362" s="8"/>
      <c r="E362" s="8"/>
      <c r="F362" s="8"/>
      <c r="G362" s="789"/>
      <c r="H362" s="789"/>
      <c r="I362" s="789"/>
      <c r="J362" s="790"/>
      <c r="K362" s="789"/>
      <c r="L362" s="789"/>
      <c r="M362" s="789"/>
      <c r="N362" s="789"/>
      <c r="O362" s="8"/>
      <c r="P362" s="8"/>
      <c r="Q362" s="8"/>
      <c r="R362" s="8"/>
      <c r="S362" s="789"/>
      <c r="T362" s="789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</row>
    <row r="363" spans="1:96" ht="15.75" customHeight="1">
      <c r="A363" s="8"/>
      <c r="B363" s="8"/>
      <c r="C363" s="8"/>
      <c r="D363" s="8"/>
      <c r="E363" s="8"/>
      <c r="F363" s="8"/>
      <c r="G363" s="789"/>
      <c r="H363" s="789"/>
      <c r="I363" s="789"/>
      <c r="J363" s="790"/>
      <c r="K363" s="789"/>
      <c r="L363" s="789"/>
      <c r="M363" s="789"/>
      <c r="N363" s="789"/>
      <c r="O363" s="8"/>
      <c r="P363" s="8"/>
      <c r="Q363" s="8"/>
      <c r="R363" s="8"/>
      <c r="S363" s="789"/>
      <c r="T363" s="789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</row>
    <row r="364" spans="1:96" ht="15.75" customHeight="1">
      <c r="A364" s="8"/>
      <c r="B364" s="8"/>
      <c r="C364" s="8"/>
      <c r="D364" s="8"/>
      <c r="E364" s="8"/>
      <c r="F364" s="8"/>
      <c r="G364" s="789"/>
      <c r="H364" s="789"/>
      <c r="I364" s="789"/>
      <c r="J364" s="790"/>
      <c r="K364" s="789"/>
      <c r="L364" s="789"/>
      <c r="M364" s="789"/>
      <c r="N364" s="789"/>
      <c r="O364" s="8"/>
      <c r="P364" s="8"/>
      <c r="Q364" s="8"/>
      <c r="R364" s="8"/>
      <c r="S364" s="789"/>
      <c r="T364" s="789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</row>
    <row r="365" spans="1:96" ht="15.75" customHeight="1">
      <c r="A365" s="8"/>
      <c r="B365" s="8"/>
      <c r="C365" s="8"/>
      <c r="D365" s="8"/>
      <c r="E365" s="8"/>
      <c r="F365" s="8"/>
      <c r="G365" s="789"/>
      <c r="H365" s="789"/>
      <c r="I365" s="789"/>
      <c r="J365" s="790"/>
      <c r="K365" s="789"/>
      <c r="L365" s="789"/>
      <c r="M365" s="789"/>
      <c r="N365" s="789"/>
      <c r="O365" s="8"/>
      <c r="P365" s="8"/>
      <c r="Q365" s="8"/>
      <c r="R365" s="8"/>
      <c r="S365" s="789"/>
      <c r="T365" s="789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</row>
    <row r="366" spans="1:96" ht="15.75" customHeight="1">
      <c r="A366" s="8"/>
      <c r="B366" s="8"/>
      <c r="C366" s="8"/>
      <c r="D366" s="8"/>
      <c r="E366" s="8"/>
      <c r="F366" s="8"/>
      <c r="G366" s="789"/>
      <c r="H366" s="789"/>
      <c r="I366" s="789"/>
      <c r="J366" s="790"/>
      <c r="K366" s="789"/>
      <c r="L366" s="789"/>
      <c r="M366" s="789"/>
      <c r="N366" s="789"/>
      <c r="O366" s="8"/>
      <c r="P366" s="8"/>
      <c r="Q366" s="8"/>
      <c r="R366" s="8"/>
      <c r="S366" s="789"/>
      <c r="T366" s="789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</row>
    <row r="367" spans="1:96" ht="15.75" customHeight="1">
      <c r="A367" s="8"/>
      <c r="B367" s="8"/>
      <c r="C367" s="8"/>
      <c r="D367" s="8"/>
      <c r="E367" s="8"/>
      <c r="F367" s="8"/>
      <c r="G367" s="789"/>
      <c r="H367" s="789"/>
      <c r="I367" s="789"/>
      <c r="J367" s="790"/>
      <c r="K367" s="789"/>
      <c r="L367" s="789"/>
      <c r="M367" s="789"/>
      <c r="N367" s="789"/>
      <c r="O367" s="8"/>
      <c r="P367" s="8"/>
      <c r="Q367" s="8"/>
      <c r="R367" s="8"/>
      <c r="S367" s="789"/>
      <c r="T367" s="789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</row>
    <row r="368" spans="1:96" ht="15.75" customHeight="1">
      <c r="A368" s="8"/>
      <c r="B368" s="8"/>
      <c r="C368" s="8"/>
      <c r="D368" s="8"/>
      <c r="E368" s="8"/>
      <c r="F368" s="8"/>
      <c r="G368" s="789"/>
      <c r="H368" s="789"/>
      <c r="I368" s="789"/>
      <c r="J368" s="790"/>
      <c r="K368" s="789"/>
      <c r="L368" s="789"/>
      <c r="M368" s="789"/>
      <c r="N368" s="789"/>
      <c r="O368" s="8"/>
      <c r="P368" s="8"/>
      <c r="Q368" s="8"/>
      <c r="R368" s="8"/>
      <c r="S368" s="789"/>
      <c r="T368" s="789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</row>
    <row r="369" spans="1:96" ht="15.75" customHeight="1">
      <c r="A369" s="8"/>
      <c r="B369" s="8"/>
      <c r="C369" s="8"/>
      <c r="D369" s="8"/>
      <c r="E369" s="8"/>
      <c r="F369" s="8"/>
      <c r="G369" s="789"/>
      <c r="H369" s="789"/>
      <c r="I369" s="789"/>
      <c r="J369" s="790"/>
      <c r="K369" s="789"/>
      <c r="L369" s="789"/>
      <c r="M369" s="789"/>
      <c r="N369" s="789"/>
      <c r="O369" s="8"/>
      <c r="P369" s="8"/>
      <c r="Q369" s="8"/>
      <c r="R369" s="8"/>
      <c r="S369" s="789"/>
      <c r="T369" s="789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</row>
    <row r="370" spans="1:96" ht="15.75" customHeight="1">
      <c r="A370" s="8"/>
      <c r="B370" s="8"/>
      <c r="C370" s="8"/>
      <c r="D370" s="8"/>
      <c r="E370" s="8"/>
      <c r="F370" s="8"/>
      <c r="G370" s="789"/>
      <c r="H370" s="789"/>
      <c r="I370" s="789"/>
      <c r="J370" s="790"/>
      <c r="K370" s="789"/>
      <c r="L370" s="789"/>
      <c r="M370" s="789"/>
      <c r="N370" s="789"/>
      <c r="O370" s="8"/>
      <c r="P370" s="8"/>
      <c r="Q370" s="8"/>
      <c r="R370" s="8"/>
      <c r="S370" s="789"/>
      <c r="T370" s="789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</row>
    <row r="371" spans="1:96" ht="15.75" customHeight="1">
      <c r="A371" s="8"/>
      <c r="B371" s="8"/>
      <c r="C371" s="8"/>
      <c r="D371" s="8"/>
      <c r="E371" s="8"/>
      <c r="F371" s="8"/>
      <c r="G371" s="789"/>
      <c r="H371" s="789"/>
      <c r="I371" s="789"/>
      <c r="J371" s="790"/>
      <c r="K371" s="789"/>
      <c r="L371" s="789"/>
      <c r="M371" s="789"/>
      <c r="N371" s="789"/>
      <c r="O371" s="8"/>
      <c r="P371" s="8"/>
      <c r="Q371" s="8"/>
      <c r="R371" s="8"/>
      <c r="S371" s="789"/>
      <c r="T371" s="789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</row>
    <row r="372" spans="1:96" ht="15.75" customHeight="1">
      <c r="A372" s="8"/>
      <c r="B372" s="8"/>
      <c r="C372" s="8"/>
      <c r="D372" s="8"/>
      <c r="E372" s="8"/>
      <c r="F372" s="8"/>
      <c r="G372" s="789"/>
      <c r="H372" s="789"/>
      <c r="I372" s="789"/>
      <c r="J372" s="790"/>
      <c r="K372" s="789"/>
      <c r="L372" s="789"/>
      <c r="M372" s="789"/>
      <c r="N372" s="789"/>
      <c r="O372" s="8"/>
      <c r="P372" s="8"/>
      <c r="Q372" s="8"/>
      <c r="R372" s="8"/>
      <c r="S372" s="789"/>
      <c r="T372" s="789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</row>
    <row r="373" spans="1:96" ht="15.75" customHeight="1">
      <c r="A373" s="8"/>
      <c r="B373" s="8"/>
      <c r="C373" s="8"/>
      <c r="D373" s="8"/>
      <c r="E373" s="8"/>
      <c r="F373" s="8"/>
      <c r="G373" s="789"/>
      <c r="H373" s="789"/>
      <c r="I373" s="789"/>
      <c r="J373" s="790"/>
      <c r="K373" s="789"/>
      <c r="L373" s="789"/>
      <c r="M373" s="789"/>
      <c r="N373" s="789"/>
      <c r="O373" s="8"/>
      <c r="P373" s="8"/>
      <c r="Q373" s="8"/>
      <c r="R373" s="8"/>
      <c r="S373" s="789"/>
      <c r="T373" s="789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</row>
    <row r="374" spans="1:96" ht="15.75" customHeight="1">
      <c r="A374" s="8"/>
      <c r="B374" s="8"/>
      <c r="C374" s="8"/>
      <c r="D374" s="8"/>
      <c r="E374" s="8"/>
      <c r="F374" s="8"/>
      <c r="G374" s="789"/>
      <c r="H374" s="789"/>
      <c r="I374" s="789"/>
      <c r="J374" s="790"/>
      <c r="K374" s="789"/>
      <c r="L374" s="789"/>
      <c r="M374" s="789"/>
      <c r="N374" s="789"/>
      <c r="O374" s="8"/>
      <c r="P374" s="8"/>
      <c r="Q374" s="8"/>
      <c r="R374" s="8"/>
      <c r="S374" s="789"/>
      <c r="T374" s="789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</row>
    <row r="375" spans="1:96" ht="15.75" customHeight="1">
      <c r="A375" s="8"/>
      <c r="B375" s="8"/>
      <c r="C375" s="8"/>
      <c r="D375" s="8"/>
      <c r="E375" s="8"/>
      <c r="F375" s="8"/>
      <c r="G375" s="789"/>
      <c r="H375" s="789"/>
      <c r="I375" s="789"/>
      <c r="J375" s="790"/>
      <c r="K375" s="789"/>
      <c r="L375" s="789"/>
      <c r="M375" s="789"/>
      <c r="N375" s="789"/>
      <c r="O375" s="8"/>
      <c r="P375" s="8"/>
      <c r="Q375" s="8"/>
      <c r="R375" s="8"/>
      <c r="S375" s="789"/>
      <c r="T375" s="789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</row>
    <row r="376" spans="1:96" ht="15.75" customHeight="1">
      <c r="A376" s="8"/>
      <c r="B376" s="8"/>
      <c r="C376" s="8"/>
      <c r="D376" s="8"/>
      <c r="E376" s="8"/>
      <c r="F376" s="8"/>
      <c r="G376" s="789"/>
      <c r="H376" s="789"/>
      <c r="I376" s="789"/>
      <c r="J376" s="790"/>
      <c r="K376" s="789"/>
      <c r="L376" s="789"/>
      <c r="M376" s="789"/>
      <c r="N376" s="789"/>
      <c r="O376" s="8"/>
      <c r="P376" s="8"/>
      <c r="Q376" s="8"/>
      <c r="R376" s="8"/>
      <c r="S376" s="789"/>
      <c r="T376" s="789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</row>
    <row r="377" spans="1:96" ht="15.75" customHeight="1">
      <c r="A377" s="8"/>
      <c r="B377" s="8"/>
      <c r="C377" s="8"/>
      <c r="D377" s="8"/>
      <c r="E377" s="8"/>
      <c r="F377" s="8"/>
      <c r="G377" s="789"/>
      <c r="H377" s="789"/>
      <c r="I377" s="789"/>
      <c r="J377" s="790"/>
      <c r="K377" s="789"/>
      <c r="L377" s="789"/>
      <c r="M377" s="789"/>
      <c r="N377" s="789"/>
      <c r="O377" s="8"/>
      <c r="P377" s="8"/>
      <c r="Q377" s="8"/>
      <c r="R377" s="8"/>
      <c r="S377" s="789"/>
      <c r="T377" s="789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</row>
    <row r="378" spans="1:96" ht="15.75" customHeight="1">
      <c r="A378" s="8"/>
      <c r="B378" s="8"/>
      <c r="C378" s="8"/>
      <c r="D378" s="8"/>
      <c r="E378" s="8"/>
      <c r="F378" s="8"/>
      <c r="G378" s="789"/>
      <c r="H378" s="789"/>
      <c r="I378" s="789"/>
      <c r="J378" s="790"/>
      <c r="K378" s="789"/>
      <c r="L378" s="789"/>
      <c r="M378" s="789"/>
      <c r="N378" s="789"/>
      <c r="O378" s="8"/>
      <c r="P378" s="8"/>
      <c r="Q378" s="8"/>
      <c r="R378" s="8"/>
      <c r="S378" s="789"/>
      <c r="T378" s="789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</row>
    <row r="379" spans="1:96" ht="15.75" customHeight="1">
      <c r="A379" s="8"/>
      <c r="B379" s="8"/>
      <c r="C379" s="8"/>
      <c r="D379" s="8"/>
      <c r="E379" s="8"/>
      <c r="F379" s="8"/>
      <c r="G379" s="789"/>
      <c r="H379" s="789"/>
      <c r="I379" s="789"/>
      <c r="J379" s="790"/>
      <c r="K379" s="789"/>
      <c r="L379" s="789"/>
      <c r="M379" s="789"/>
      <c r="N379" s="789"/>
      <c r="O379" s="8"/>
      <c r="P379" s="8"/>
      <c r="Q379" s="8"/>
      <c r="R379" s="8"/>
      <c r="S379" s="789"/>
      <c r="T379" s="789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</row>
    <row r="380" spans="1:96" ht="15.75" customHeight="1">
      <c r="A380" s="8"/>
      <c r="B380" s="8"/>
      <c r="C380" s="8"/>
      <c r="D380" s="8"/>
      <c r="E380" s="8"/>
      <c r="F380" s="8"/>
      <c r="G380" s="789"/>
      <c r="H380" s="789"/>
      <c r="I380" s="789"/>
      <c r="J380" s="790"/>
      <c r="K380" s="789"/>
      <c r="L380" s="789"/>
      <c r="M380" s="789"/>
      <c r="N380" s="789"/>
      <c r="O380" s="8"/>
      <c r="P380" s="8"/>
      <c r="Q380" s="8"/>
      <c r="R380" s="8"/>
      <c r="S380" s="789"/>
      <c r="T380" s="789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</row>
    <row r="381" spans="1:96" ht="15.75" customHeight="1">
      <c r="A381" s="8"/>
      <c r="B381" s="8"/>
      <c r="C381" s="8"/>
      <c r="D381" s="8"/>
      <c r="E381" s="8"/>
      <c r="F381" s="8"/>
      <c r="G381" s="789"/>
      <c r="H381" s="789"/>
      <c r="I381" s="789"/>
      <c r="J381" s="790"/>
      <c r="K381" s="789"/>
      <c r="L381" s="789"/>
      <c r="M381" s="789"/>
      <c r="N381" s="789"/>
      <c r="O381" s="8"/>
      <c r="P381" s="8"/>
      <c r="Q381" s="8"/>
      <c r="R381" s="8"/>
      <c r="S381" s="789"/>
      <c r="T381" s="789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</row>
    <row r="382" spans="1:96" ht="15.75" customHeight="1">
      <c r="A382" s="8"/>
      <c r="B382" s="8"/>
      <c r="C382" s="8"/>
      <c r="D382" s="8"/>
      <c r="E382" s="8"/>
      <c r="F382" s="8"/>
      <c r="G382" s="789"/>
      <c r="H382" s="789"/>
      <c r="I382" s="789"/>
      <c r="J382" s="790"/>
      <c r="K382" s="789"/>
      <c r="L382" s="789"/>
      <c r="M382" s="789"/>
      <c r="N382" s="789"/>
      <c r="O382" s="8"/>
      <c r="P382" s="8"/>
      <c r="Q382" s="8"/>
      <c r="R382" s="8"/>
      <c r="S382" s="789"/>
      <c r="T382" s="789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</row>
    <row r="383" spans="1:96" ht="15.75" customHeight="1">
      <c r="A383" s="8"/>
      <c r="B383" s="8"/>
      <c r="C383" s="8"/>
      <c r="D383" s="8"/>
      <c r="E383" s="8"/>
      <c r="F383" s="8"/>
      <c r="G383" s="789"/>
      <c r="H383" s="789"/>
      <c r="I383" s="789"/>
      <c r="J383" s="790"/>
      <c r="K383" s="789"/>
      <c r="L383" s="789"/>
      <c r="M383" s="789"/>
      <c r="N383" s="789"/>
      <c r="O383" s="8"/>
      <c r="P383" s="8"/>
      <c r="Q383" s="8"/>
      <c r="R383" s="8"/>
      <c r="S383" s="789"/>
      <c r="T383" s="789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</row>
    <row r="384" spans="1:96" ht="15.75" customHeight="1">
      <c r="A384" s="8"/>
      <c r="B384" s="8"/>
      <c r="C384" s="8"/>
      <c r="D384" s="8"/>
      <c r="E384" s="8"/>
      <c r="F384" s="8"/>
      <c r="G384" s="789"/>
      <c r="H384" s="789"/>
      <c r="I384" s="789"/>
      <c r="J384" s="790"/>
      <c r="K384" s="789"/>
      <c r="L384" s="789"/>
      <c r="M384" s="789"/>
      <c r="N384" s="789"/>
      <c r="O384" s="8"/>
      <c r="P384" s="8"/>
      <c r="Q384" s="8"/>
      <c r="R384" s="8"/>
      <c r="S384" s="789"/>
      <c r="T384" s="789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</row>
    <row r="385" spans="1:96" ht="15.75" customHeight="1">
      <c r="A385" s="8"/>
      <c r="B385" s="8"/>
      <c r="C385" s="8"/>
      <c r="D385" s="8"/>
      <c r="E385" s="8"/>
      <c r="F385" s="8"/>
      <c r="G385" s="789"/>
      <c r="H385" s="789"/>
      <c r="I385" s="789"/>
      <c r="J385" s="790"/>
      <c r="K385" s="789"/>
      <c r="L385" s="789"/>
      <c r="M385" s="789"/>
      <c r="N385" s="789"/>
      <c r="O385" s="8"/>
      <c r="P385" s="8"/>
      <c r="Q385" s="8"/>
      <c r="R385" s="8"/>
      <c r="S385" s="789"/>
      <c r="T385" s="789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</row>
    <row r="386" spans="1:96" ht="15.75" customHeight="1">
      <c r="A386" s="8"/>
      <c r="B386" s="8"/>
      <c r="C386" s="8"/>
      <c r="D386" s="8"/>
      <c r="E386" s="8"/>
      <c r="F386" s="8"/>
      <c r="G386" s="789"/>
      <c r="H386" s="789"/>
      <c r="I386" s="789"/>
      <c r="J386" s="790"/>
      <c r="K386" s="789"/>
      <c r="L386" s="789"/>
      <c r="M386" s="789"/>
      <c r="N386" s="789"/>
      <c r="O386" s="8"/>
      <c r="P386" s="8"/>
      <c r="Q386" s="8"/>
      <c r="R386" s="8"/>
      <c r="S386" s="789"/>
      <c r="T386" s="789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</row>
    <row r="387" spans="1:96" ht="15.75" customHeight="1">
      <c r="A387" s="8"/>
      <c r="B387" s="8"/>
      <c r="C387" s="8"/>
      <c r="D387" s="8"/>
      <c r="E387" s="8"/>
      <c r="F387" s="8"/>
      <c r="G387" s="789"/>
      <c r="H387" s="789"/>
      <c r="I387" s="789"/>
      <c r="J387" s="790"/>
      <c r="K387" s="789"/>
      <c r="L387" s="789"/>
      <c r="M387" s="789"/>
      <c r="N387" s="789"/>
      <c r="O387" s="8"/>
      <c r="P387" s="8"/>
      <c r="Q387" s="8"/>
      <c r="R387" s="8"/>
      <c r="S387" s="789"/>
      <c r="T387" s="789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</row>
    <row r="388" spans="1:96" ht="15.75" customHeight="1">
      <c r="A388" s="8"/>
      <c r="B388" s="8"/>
      <c r="C388" s="8"/>
      <c r="D388" s="8"/>
      <c r="E388" s="8"/>
      <c r="F388" s="8"/>
      <c r="G388" s="789"/>
      <c r="H388" s="789"/>
      <c r="I388" s="789"/>
      <c r="J388" s="790"/>
      <c r="K388" s="789"/>
      <c r="L388" s="789"/>
      <c r="M388" s="789"/>
      <c r="N388" s="789"/>
      <c r="O388" s="8"/>
      <c r="P388" s="8"/>
      <c r="Q388" s="8"/>
      <c r="R388" s="8"/>
      <c r="S388" s="789"/>
      <c r="T388" s="789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</row>
    <row r="389" spans="1:96" ht="15.75" customHeight="1">
      <c r="A389" s="8"/>
      <c r="B389" s="8"/>
      <c r="C389" s="8"/>
      <c r="D389" s="8"/>
      <c r="E389" s="8"/>
      <c r="F389" s="8"/>
      <c r="G389" s="789"/>
      <c r="H389" s="789"/>
      <c r="I389" s="789"/>
      <c r="J389" s="790"/>
      <c r="K389" s="789"/>
      <c r="L389" s="789"/>
      <c r="M389" s="789"/>
      <c r="N389" s="789"/>
      <c r="O389" s="8"/>
      <c r="P389" s="8"/>
      <c r="Q389" s="8"/>
      <c r="R389" s="8"/>
      <c r="S389" s="789"/>
      <c r="T389" s="789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</row>
    <row r="390" spans="1:96" ht="15.75" customHeight="1">
      <c r="A390" s="8"/>
      <c r="B390" s="8"/>
      <c r="C390" s="8"/>
      <c r="D390" s="8"/>
      <c r="E390" s="8"/>
      <c r="F390" s="8"/>
      <c r="G390" s="789"/>
      <c r="H390" s="789"/>
      <c r="I390" s="789"/>
      <c r="J390" s="790"/>
      <c r="K390" s="789"/>
      <c r="L390" s="789"/>
      <c r="M390" s="789"/>
      <c r="N390" s="789"/>
      <c r="O390" s="8"/>
      <c r="P390" s="8"/>
      <c r="Q390" s="8"/>
      <c r="R390" s="8"/>
      <c r="S390" s="789"/>
      <c r="T390" s="789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</row>
    <row r="391" spans="1:96" ht="15.75" customHeight="1">
      <c r="A391" s="8"/>
      <c r="B391" s="8"/>
      <c r="C391" s="8"/>
      <c r="D391" s="8"/>
      <c r="E391" s="8"/>
      <c r="F391" s="8"/>
      <c r="G391" s="789"/>
      <c r="H391" s="789"/>
      <c r="I391" s="789"/>
      <c r="J391" s="790"/>
      <c r="K391" s="789"/>
      <c r="L391" s="789"/>
      <c r="M391" s="789"/>
      <c r="N391" s="789"/>
      <c r="O391" s="8"/>
      <c r="P391" s="8"/>
      <c r="Q391" s="8"/>
      <c r="R391" s="8"/>
      <c r="S391" s="789"/>
      <c r="T391" s="789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</row>
    <row r="392" spans="1:96" ht="15.75" customHeight="1">
      <c r="A392" s="8"/>
      <c r="B392" s="8"/>
      <c r="C392" s="8"/>
      <c r="D392" s="8"/>
      <c r="E392" s="8"/>
      <c r="F392" s="8"/>
      <c r="G392" s="789"/>
      <c r="H392" s="789"/>
      <c r="I392" s="789"/>
      <c r="J392" s="790"/>
      <c r="K392" s="789"/>
      <c r="L392" s="789"/>
      <c r="M392" s="789"/>
      <c r="N392" s="789"/>
      <c r="O392" s="8"/>
      <c r="P392" s="8"/>
      <c r="Q392" s="8"/>
      <c r="R392" s="8"/>
      <c r="S392" s="789"/>
      <c r="T392" s="789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</row>
    <row r="393" spans="1:96" ht="15.75" customHeight="1">
      <c r="A393" s="8"/>
      <c r="B393" s="8"/>
      <c r="C393" s="8"/>
      <c r="D393" s="8"/>
      <c r="E393" s="8"/>
      <c r="F393" s="8"/>
      <c r="G393" s="789"/>
      <c r="H393" s="789"/>
      <c r="I393" s="789"/>
      <c r="J393" s="790"/>
      <c r="K393" s="789"/>
      <c r="L393" s="789"/>
      <c r="M393" s="789"/>
      <c r="N393" s="789"/>
      <c r="O393" s="8"/>
      <c r="P393" s="8"/>
      <c r="Q393" s="8"/>
      <c r="R393" s="8"/>
      <c r="S393" s="789"/>
      <c r="T393" s="789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</row>
    <row r="394" spans="1:96" ht="15.75" customHeight="1">
      <c r="A394" s="8"/>
      <c r="B394" s="8"/>
      <c r="C394" s="8"/>
      <c r="D394" s="8"/>
      <c r="E394" s="8"/>
      <c r="F394" s="8"/>
      <c r="G394" s="789"/>
      <c r="H394" s="789"/>
      <c r="I394" s="789"/>
      <c r="J394" s="790"/>
      <c r="K394" s="789"/>
      <c r="L394" s="789"/>
      <c r="M394" s="789"/>
      <c r="N394" s="789"/>
      <c r="O394" s="8"/>
      <c r="P394" s="8"/>
      <c r="Q394" s="8"/>
      <c r="R394" s="8"/>
      <c r="S394" s="789"/>
      <c r="T394" s="789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</row>
    <row r="395" spans="1:96" ht="15.75" customHeight="1">
      <c r="A395" s="8"/>
      <c r="B395" s="8"/>
      <c r="C395" s="8"/>
      <c r="D395" s="8"/>
      <c r="E395" s="8"/>
      <c r="F395" s="8"/>
      <c r="G395" s="789"/>
      <c r="H395" s="789"/>
      <c r="I395" s="789"/>
      <c r="J395" s="790"/>
      <c r="K395" s="789"/>
      <c r="L395" s="789"/>
      <c r="M395" s="789"/>
      <c r="N395" s="789"/>
      <c r="O395" s="8"/>
      <c r="P395" s="8"/>
      <c r="Q395" s="8"/>
      <c r="R395" s="8"/>
      <c r="S395" s="789"/>
      <c r="T395" s="789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</row>
    <row r="396" spans="1:96" ht="15.75" customHeight="1">
      <c r="A396" s="8"/>
      <c r="B396" s="8"/>
      <c r="C396" s="8"/>
      <c r="D396" s="8"/>
      <c r="E396" s="8"/>
      <c r="F396" s="8"/>
      <c r="G396" s="789"/>
      <c r="H396" s="789"/>
      <c r="I396" s="789"/>
      <c r="J396" s="790"/>
      <c r="K396" s="789"/>
      <c r="L396" s="789"/>
      <c r="M396" s="789"/>
      <c r="N396" s="789"/>
      <c r="O396" s="8"/>
      <c r="P396" s="8"/>
      <c r="Q396" s="8"/>
      <c r="R396" s="8"/>
      <c r="S396" s="789"/>
      <c r="T396" s="789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</row>
    <row r="397" spans="1:96" ht="15.75" customHeight="1">
      <c r="A397" s="8"/>
      <c r="B397" s="8"/>
      <c r="C397" s="8"/>
      <c r="D397" s="8"/>
      <c r="E397" s="8"/>
      <c r="F397" s="8"/>
      <c r="G397" s="789"/>
      <c r="H397" s="789"/>
      <c r="I397" s="789"/>
      <c r="J397" s="790"/>
      <c r="K397" s="789"/>
      <c r="L397" s="789"/>
      <c r="M397" s="789"/>
      <c r="N397" s="789"/>
      <c r="O397" s="8"/>
      <c r="P397" s="8"/>
      <c r="Q397" s="8"/>
      <c r="R397" s="8"/>
      <c r="S397" s="789"/>
      <c r="T397" s="789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</row>
    <row r="398" spans="1:96" ht="15.75" customHeight="1">
      <c r="A398" s="8"/>
      <c r="B398" s="8"/>
      <c r="C398" s="8"/>
      <c r="D398" s="8"/>
      <c r="E398" s="8"/>
      <c r="F398" s="8"/>
      <c r="G398" s="789"/>
      <c r="H398" s="789"/>
      <c r="I398" s="789"/>
      <c r="J398" s="790"/>
      <c r="K398" s="789"/>
      <c r="L398" s="789"/>
      <c r="M398" s="789"/>
      <c r="N398" s="789"/>
      <c r="O398" s="8"/>
      <c r="P398" s="8"/>
      <c r="Q398" s="8"/>
      <c r="R398" s="8"/>
      <c r="S398" s="789"/>
      <c r="T398" s="789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</row>
    <row r="399" spans="1:96" ht="15.75" customHeight="1">
      <c r="A399" s="8"/>
      <c r="B399" s="8"/>
      <c r="C399" s="8"/>
      <c r="D399" s="8"/>
      <c r="E399" s="8"/>
      <c r="F399" s="8"/>
      <c r="G399" s="789"/>
      <c r="H399" s="789"/>
      <c r="I399" s="789"/>
      <c r="J399" s="790"/>
      <c r="K399" s="789"/>
      <c r="L399" s="789"/>
      <c r="M399" s="789"/>
      <c r="N399" s="789"/>
      <c r="O399" s="8"/>
      <c r="P399" s="8"/>
      <c r="Q399" s="8"/>
      <c r="R399" s="8"/>
      <c r="S399" s="789"/>
      <c r="T399" s="789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</row>
    <row r="400" spans="1:96" ht="15.75" customHeight="1">
      <c r="A400" s="8"/>
      <c r="B400" s="8"/>
      <c r="C400" s="8"/>
      <c r="D400" s="8"/>
      <c r="E400" s="8"/>
      <c r="F400" s="8"/>
      <c r="G400" s="789"/>
      <c r="H400" s="789"/>
      <c r="I400" s="789"/>
      <c r="J400" s="790"/>
      <c r="K400" s="789"/>
      <c r="L400" s="789"/>
      <c r="M400" s="789"/>
      <c r="N400" s="789"/>
      <c r="O400" s="8"/>
      <c r="P400" s="8"/>
      <c r="Q400" s="8"/>
      <c r="R400" s="8"/>
      <c r="S400" s="789"/>
      <c r="T400" s="789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</row>
    <row r="401" spans="1:96" ht="15.75" customHeight="1">
      <c r="A401" s="8"/>
      <c r="B401" s="8"/>
      <c r="C401" s="8"/>
      <c r="D401" s="8"/>
      <c r="E401" s="8"/>
      <c r="F401" s="8"/>
      <c r="G401" s="789"/>
      <c r="H401" s="789"/>
      <c r="I401" s="789"/>
      <c r="J401" s="790"/>
      <c r="K401" s="789"/>
      <c r="L401" s="789"/>
      <c r="M401" s="789"/>
      <c r="N401" s="789"/>
      <c r="O401" s="8"/>
      <c r="P401" s="8"/>
      <c r="Q401" s="8"/>
      <c r="R401" s="8"/>
      <c r="S401" s="789"/>
      <c r="T401" s="789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</row>
    <row r="402" spans="1:96" ht="15.75" customHeight="1">
      <c r="A402" s="8"/>
      <c r="B402" s="8"/>
      <c r="C402" s="8"/>
      <c r="D402" s="8"/>
      <c r="E402" s="8"/>
      <c r="F402" s="8"/>
      <c r="G402" s="789"/>
      <c r="H402" s="789"/>
      <c r="I402" s="789"/>
      <c r="J402" s="790"/>
      <c r="K402" s="789"/>
      <c r="L402" s="789"/>
      <c r="M402" s="789"/>
      <c r="N402" s="789"/>
      <c r="O402" s="8"/>
      <c r="P402" s="8"/>
      <c r="Q402" s="8"/>
      <c r="R402" s="8"/>
      <c r="S402" s="789"/>
      <c r="T402" s="789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</row>
    <row r="403" spans="1:96" ht="15.75" customHeight="1">
      <c r="A403" s="8"/>
      <c r="B403" s="8"/>
      <c r="C403" s="8"/>
      <c r="D403" s="8"/>
      <c r="E403" s="8"/>
      <c r="F403" s="8"/>
      <c r="G403" s="789"/>
      <c r="H403" s="789"/>
      <c r="I403" s="789"/>
      <c r="J403" s="790"/>
      <c r="K403" s="789"/>
      <c r="L403" s="789"/>
      <c r="M403" s="789"/>
      <c r="N403" s="789"/>
      <c r="O403" s="8"/>
      <c r="P403" s="8"/>
      <c r="Q403" s="8"/>
      <c r="R403" s="8"/>
      <c r="S403" s="789"/>
      <c r="T403" s="789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</row>
    <row r="404" spans="1:96" ht="15.75" customHeight="1">
      <c r="A404" s="8"/>
      <c r="B404" s="8"/>
      <c r="C404" s="8"/>
      <c r="D404" s="8"/>
      <c r="E404" s="8"/>
      <c r="F404" s="8"/>
      <c r="G404" s="789"/>
      <c r="H404" s="789"/>
      <c r="I404" s="789"/>
      <c r="J404" s="790"/>
      <c r="K404" s="789"/>
      <c r="L404" s="789"/>
      <c r="M404" s="789"/>
      <c r="N404" s="789"/>
      <c r="O404" s="8"/>
      <c r="P404" s="8"/>
      <c r="Q404" s="8"/>
      <c r="R404" s="8"/>
      <c r="S404" s="789"/>
      <c r="T404" s="789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</row>
    <row r="405" spans="1:96" ht="15.75" customHeight="1">
      <c r="A405" s="8"/>
      <c r="B405" s="8"/>
      <c r="C405" s="8"/>
      <c r="D405" s="8"/>
      <c r="E405" s="8"/>
      <c r="F405" s="8"/>
      <c r="G405" s="789"/>
      <c r="H405" s="789"/>
      <c r="I405" s="789"/>
      <c r="J405" s="790"/>
      <c r="K405" s="789"/>
      <c r="L405" s="789"/>
      <c r="M405" s="789"/>
      <c r="N405" s="789"/>
      <c r="O405" s="8"/>
      <c r="P405" s="8"/>
      <c r="Q405" s="8"/>
      <c r="R405" s="8"/>
      <c r="S405" s="789"/>
      <c r="T405" s="789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</row>
    <row r="406" spans="1:96" ht="15.75" customHeight="1">
      <c r="A406" s="8"/>
      <c r="B406" s="8"/>
      <c r="C406" s="8"/>
      <c r="D406" s="8"/>
      <c r="E406" s="8"/>
      <c r="F406" s="8"/>
      <c r="G406" s="789"/>
      <c r="H406" s="789"/>
      <c r="I406" s="789"/>
      <c r="J406" s="790"/>
      <c r="K406" s="789"/>
      <c r="L406" s="789"/>
      <c r="M406" s="789"/>
      <c r="N406" s="789"/>
      <c r="O406" s="8"/>
      <c r="P406" s="8"/>
      <c r="Q406" s="8"/>
      <c r="R406" s="8"/>
      <c r="S406" s="789"/>
      <c r="T406" s="789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</row>
    <row r="407" spans="1:96" ht="15.75" customHeight="1">
      <c r="A407" s="8"/>
      <c r="B407" s="8"/>
      <c r="C407" s="8"/>
      <c r="D407" s="8"/>
      <c r="E407" s="8"/>
      <c r="F407" s="8"/>
      <c r="G407" s="789"/>
      <c r="H407" s="789"/>
      <c r="I407" s="789"/>
      <c r="J407" s="790"/>
      <c r="K407" s="789"/>
      <c r="L407" s="789"/>
      <c r="M407" s="789"/>
      <c r="N407" s="789"/>
      <c r="O407" s="8"/>
      <c r="P407" s="8"/>
      <c r="Q407" s="8"/>
      <c r="R407" s="8"/>
      <c r="S407" s="789"/>
      <c r="T407" s="789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</row>
    <row r="408" spans="1:96" ht="15.75" customHeight="1">
      <c r="A408" s="8"/>
      <c r="B408" s="8"/>
      <c r="C408" s="8"/>
      <c r="D408" s="8"/>
      <c r="E408" s="8"/>
      <c r="F408" s="8"/>
      <c r="G408" s="789"/>
      <c r="H408" s="789"/>
      <c r="I408" s="789"/>
      <c r="J408" s="790"/>
      <c r="K408" s="789"/>
      <c r="L408" s="789"/>
      <c r="M408" s="789"/>
      <c r="N408" s="789"/>
      <c r="O408" s="8"/>
      <c r="P408" s="8"/>
      <c r="Q408" s="8"/>
      <c r="R408" s="8"/>
      <c r="S408" s="789"/>
      <c r="T408" s="789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</row>
    <row r="409" spans="1:96" ht="15.75" customHeight="1">
      <c r="A409" s="8"/>
      <c r="B409" s="8"/>
      <c r="C409" s="8"/>
      <c r="D409" s="8"/>
      <c r="E409" s="8"/>
      <c r="F409" s="8"/>
      <c r="G409" s="789"/>
      <c r="H409" s="789"/>
      <c r="I409" s="789"/>
      <c r="J409" s="790"/>
      <c r="K409" s="789"/>
      <c r="L409" s="789"/>
      <c r="M409" s="789"/>
      <c r="N409" s="789"/>
      <c r="O409" s="8"/>
      <c r="P409" s="8"/>
      <c r="Q409" s="8"/>
      <c r="R409" s="8"/>
      <c r="S409" s="789"/>
      <c r="T409" s="789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</row>
    <row r="410" spans="1:96" ht="15.75" customHeight="1">
      <c r="A410" s="8"/>
      <c r="B410" s="8"/>
      <c r="C410" s="8"/>
      <c r="D410" s="8"/>
      <c r="E410" s="8"/>
      <c r="F410" s="8"/>
      <c r="G410" s="789"/>
      <c r="H410" s="789"/>
      <c r="I410" s="789"/>
      <c r="J410" s="790"/>
      <c r="K410" s="789"/>
      <c r="L410" s="789"/>
      <c r="M410" s="789"/>
      <c r="N410" s="789"/>
      <c r="O410" s="8"/>
      <c r="P410" s="8"/>
      <c r="Q410" s="8"/>
      <c r="R410" s="8"/>
      <c r="S410" s="789"/>
      <c r="T410" s="789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</row>
    <row r="411" spans="1:96" ht="15.75" customHeight="1">
      <c r="A411" s="8"/>
      <c r="B411" s="8"/>
      <c r="C411" s="8"/>
      <c r="D411" s="8"/>
      <c r="E411" s="8"/>
      <c r="F411" s="8"/>
      <c r="G411" s="789"/>
      <c r="H411" s="789"/>
      <c r="I411" s="789"/>
      <c r="J411" s="790"/>
      <c r="K411" s="789"/>
      <c r="L411" s="789"/>
      <c r="M411" s="789"/>
      <c r="N411" s="789"/>
      <c r="O411" s="8"/>
      <c r="P411" s="8"/>
      <c r="Q411" s="8"/>
      <c r="R411" s="8"/>
      <c r="S411" s="789"/>
      <c r="T411" s="789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</row>
    <row r="412" spans="1:96" ht="15.75" customHeight="1">
      <c r="A412" s="8"/>
      <c r="B412" s="8"/>
      <c r="C412" s="8"/>
      <c r="D412" s="8"/>
      <c r="E412" s="8"/>
      <c r="F412" s="8"/>
      <c r="G412" s="789"/>
      <c r="H412" s="789"/>
      <c r="I412" s="789"/>
      <c r="J412" s="790"/>
      <c r="K412" s="789"/>
      <c r="L412" s="789"/>
      <c r="M412" s="789"/>
      <c r="N412" s="789"/>
      <c r="O412" s="8"/>
      <c r="P412" s="8"/>
      <c r="Q412" s="8"/>
      <c r="R412" s="8"/>
      <c r="S412" s="789"/>
      <c r="T412" s="789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</row>
    <row r="413" spans="1:96" ht="15.75" customHeight="1">
      <c r="A413" s="8"/>
      <c r="B413" s="8"/>
      <c r="C413" s="8"/>
      <c r="D413" s="8"/>
      <c r="E413" s="8"/>
      <c r="F413" s="8"/>
      <c r="G413" s="789"/>
      <c r="H413" s="789"/>
      <c r="I413" s="789"/>
      <c r="J413" s="790"/>
      <c r="K413" s="789"/>
      <c r="L413" s="789"/>
      <c r="M413" s="789"/>
      <c r="N413" s="789"/>
      <c r="O413" s="8"/>
      <c r="P413" s="8"/>
      <c r="Q413" s="8"/>
      <c r="R413" s="8"/>
      <c r="S413" s="789"/>
      <c r="T413" s="789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</row>
    <row r="414" spans="1:96" ht="15.75" customHeight="1">
      <c r="A414" s="8"/>
      <c r="B414" s="8"/>
      <c r="C414" s="8"/>
      <c r="D414" s="8"/>
      <c r="E414" s="8"/>
      <c r="F414" s="8"/>
      <c r="G414" s="789"/>
      <c r="H414" s="789"/>
      <c r="I414" s="789"/>
      <c r="J414" s="790"/>
      <c r="K414" s="789"/>
      <c r="L414" s="789"/>
      <c r="M414" s="789"/>
      <c r="N414" s="789"/>
      <c r="O414" s="8"/>
      <c r="P414" s="8"/>
      <c r="Q414" s="8"/>
      <c r="R414" s="8"/>
      <c r="S414" s="789"/>
      <c r="T414" s="789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</row>
    <row r="415" spans="1:96" ht="15.75" customHeight="1">
      <c r="A415" s="8"/>
      <c r="B415" s="8"/>
      <c r="C415" s="8"/>
      <c r="D415" s="8"/>
      <c r="E415" s="8"/>
      <c r="F415" s="8"/>
      <c r="G415" s="789"/>
      <c r="H415" s="789"/>
      <c r="I415" s="789"/>
      <c r="J415" s="790"/>
      <c r="K415" s="789"/>
      <c r="L415" s="789"/>
      <c r="M415" s="789"/>
      <c r="N415" s="789"/>
      <c r="O415" s="8"/>
      <c r="P415" s="8"/>
      <c r="Q415" s="8"/>
      <c r="R415" s="8"/>
      <c r="S415" s="789"/>
      <c r="T415" s="789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</row>
    <row r="416" spans="1:96" ht="15.75" customHeight="1">
      <c r="A416" s="8"/>
      <c r="B416" s="8"/>
      <c r="C416" s="8"/>
      <c r="D416" s="8"/>
      <c r="E416" s="8"/>
      <c r="F416" s="8"/>
      <c r="G416" s="789"/>
      <c r="H416" s="789"/>
      <c r="I416" s="789"/>
      <c r="J416" s="790"/>
      <c r="K416" s="789"/>
      <c r="L416" s="789"/>
      <c r="M416" s="789"/>
      <c r="N416" s="789"/>
      <c r="O416" s="8"/>
      <c r="P416" s="8"/>
      <c r="Q416" s="8"/>
      <c r="R416" s="8"/>
      <c r="S416" s="789"/>
      <c r="T416" s="789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</row>
    <row r="417" spans="1:96" ht="15.75" customHeight="1">
      <c r="A417" s="8"/>
      <c r="B417" s="8"/>
      <c r="C417" s="8"/>
      <c r="D417" s="8"/>
      <c r="E417" s="8"/>
      <c r="F417" s="8"/>
      <c r="G417" s="789"/>
      <c r="H417" s="789"/>
      <c r="I417" s="789"/>
      <c r="J417" s="790"/>
      <c r="K417" s="789"/>
      <c r="L417" s="789"/>
      <c r="M417" s="789"/>
      <c r="N417" s="789"/>
      <c r="O417" s="8"/>
      <c r="P417" s="8"/>
      <c r="Q417" s="8"/>
      <c r="R417" s="8"/>
      <c r="S417" s="789"/>
      <c r="T417" s="789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</row>
    <row r="418" spans="1:96" ht="15.75" customHeight="1">
      <c r="A418" s="8"/>
      <c r="B418" s="8"/>
      <c r="C418" s="8"/>
      <c r="D418" s="8"/>
      <c r="E418" s="8"/>
      <c r="F418" s="8"/>
      <c r="G418" s="789"/>
      <c r="H418" s="789"/>
      <c r="I418" s="789"/>
      <c r="J418" s="790"/>
      <c r="K418" s="789"/>
      <c r="L418" s="789"/>
      <c r="M418" s="789"/>
      <c r="N418" s="789"/>
      <c r="O418" s="8"/>
      <c r="P418" s="8"/>
      <c r="Q418" s="8"/>
      <c r="R418" s="8"/>
      <c r="S418" s="789"/>
      <c r="T418" s="789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</row>
    <row r="419" spans="1:96" ht="15.75" customHeight="1">
      <c r="A419" s="8"/>
      <c r="B419" s="8"/>
      <c r="C419" s="8"/>
      <c r="D419" s="8"/>
      <c r="E419" s="8"/>
      <c r="F419" s="8"/>
      <c r="G419" s="789"/>
      <c r="H419" s="789"/>
      <c r="I419" s="789"/>
      <c r="J419" s="790"/>
      <c r="K419" s="789"/>
      <c r="L419" s="789"/>
      <c r="M419" s="789"/>
      <c r="N419" s="789"/>
      <c r="O419" s="8"/>
      <c r="P419" s="8"/>
      <c r="Q419" s="8"/>
      <c r="R419" s="8"/>
      <c r="S419" s="789"/>
      <c r="T419" s="789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</row>
    <row r="420" spans="1:96" ht="15.75" customHeight="1">
      <c r="A420" s="8"/>
      <c r="B420" s="8"/>
      <c r="C420" s="8"/>
      <c r="D420" s="8"/>
      <c r="E420" s="8"/>
      <c r="F420" s="8"/>
      <c r="G420" s="789"/>
      <c r="H420" s="789"/>
      <c r="I420" s="789"/>
      <c r="J420" s="790"/>
      <c r="K420" s="789"/>
      <c r="L420" s="789"/>
      <c r="M420" s="789"/>
      <c r="N420" s="789"/>
      <c r="O420" s="8"/>
      <c r="P420" s="8"/>
      <c r="Q420" s="8"/>
      <c r="R420" s="8"/>
      <c r="S420" s="789"/>
      <c r="T420" s="789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</row>
    <row r="421" spans="1:96" ht="15.75" customHeight="1">
      <c r="A421" s="8"/>
      <c r="B421" s="8"/>
      <c r="C421" s="8"/>
      <c r="D421" s="8"/>
      <c r="E421" s="8"/>
      <c r="F421" s="8"/>
      <c r="G421" s="789"/>
      <c r="H421" s="789"/>
      <c r="I421" s="789"/>
      <c r="J421" s="790"/>
      <c r="K421" s="789"/>
      <c r="L421" s="789"/>
      <c r="M421" s="789"/>
      <c r="N421" s="789"/>
      <c r="O421" s="8"/>
      <c r="P421" s="8"/>
      <c r="Q421" s="8"/>
      <c r="R421" s="8"/>
      <c r="S421" s="789"/>
      <c r="T421" s="789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</row>
    <row r="422" spans="1:96" ht="15.75" customHeight="1">
      <c r="A422" s="8"/>
      <c r="B422" s="8"/>
      <c r="C422" s="8"/>
      <c r="D422" s="8"/>
      <c r="E422" s="8"/>
      <c r="F422" s="8"/>
      <c r="G422" s="789"/>
      <c r="H422" s="789"/>
      <c r="I422" s="789"/>
      <c r="J422" s="790"/>
      <c r="K422" s="789"/>
      <c r="L422" s="789"/>
      <c r="M422" s="789"/>
      <c r="N422" s="789"/>
      <c r="O422" s="8"/>
      <c r="P422" s="8"/>
      <c r="Q422" s="8"/>
      <c r="R422" s="8"/>
      <c r="S422" s="789"/>
      <c r="T422" s="789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</row>
    <row r="423" spans="1:96" ht="15.75" customHeight="1">
      <c r="A423" s="8"/>
      <c r="B423" s="8"/>
      <c r="C423" s="8"/>
      <c r="D423" s="8"/>
      <c r="E423" s="8"/>
      <c r="F423" s="8"/>
      <c r="G423" s="789"/>
      <c r="H423" s="789"/>
      <c r="I423" s="789"/>
      <c r="J423" s="790"/>
      <c r="K423" s="789"/>
      <c r="L423" s="789"/>
      <c r="M423" s="789"/>
      <c r="N423" s="789"/>
      <c r="O423" s="8"/>
      <c r="P423" s="8"/>
      <c r="Q423" s="8"/>
      <c r="R423" s="8"/>
      <c r="S423" s="789"/>
      <c r="T423" s="789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</row>
    <row r="424" spans="1:96" ht="15.75" customHeight="1">
      <c r="A424" s="8"/>
      <c r="B424" s="8"/>
      <c r="C424" s="8"/>
      <c r="D424" s="8"/>
      <c r="E424" s="8"/>
      <c r="F424" s="8"/>
      <c r="G424" s="789"/>
      <c r="H424" s="789"/>
      <c r="I424" s="789"/>
      <c r="J424" s="790"/>
      <c r="K424" s="789"/>
      <c r="L424" s="789"/>
      <c r="M424" s="789"/>
      <c r="N424" s="789"/>
      <c r="O424" s="8"/>
      <c r="P424" s="8"/>
      <c r="Q424" s="8"/>
      <c r="R424" s="8"/>
      <c r="S424" s="789"/>
      <c r="T424" s="789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</row>
    <row r="425" spans="1:96" ht="15.75" customHeight="1">
      <c r="A425" s="8"/>
      <c r="B425" s="8"/>
      <c r="C425" s="8"/>
      <c r="D425" s="8"/>
      <c r="E425" s="8"/>
      <c r="F425" s="8"/>
      <c r="G425" s="789"/>
      <c r="H425" s="789"/>
      <c r="I425" s="789"/>
      <c r="J425" s="790"/>
      <c r="K425" s="789"/>
      <c r="L425" s="789"/>
      <c r="M425" s="789"/>
      <c r="N425" s="789"/>
      <c r="O425" s="8"/>
      <c r="P425" s="8"/>
      <c r="Q425" s="8"/>
      <c r="R425" s="8"/>
      <c r="S425" s="789"/>
      <c r="T425" s="789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</row>
    <row r="426" spans="1:96" ht="15.75" customHeight="1">
      <c r="A426" s="8"/>
      <c r="B426" s="8"/>
      <c r="C426" s="8"/>
      <c r="D426" s="8"/>
      <c r="E426" s="8"/>
      <c r="F426" s="8"/>
      <c r="G426" s="789"/>
      <c r="H426" s="789"/>
      <c r="I426" s="789"/>
      <c r="J426" s="790"/>
      <c r="K426" s="789"/>
      <c r="L426" s="789"/>
      <c r="M426" s="789"/>
      <c r="N426" s="789"/>
      <c r="O426" s="8"/>
      <c r="P426" s="8"/>
      <c r="Q426" s="8"/>
      <c r="R426" s="8"/>
      <c r="S426" s="789"/>
      <c r="T426" s="789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</row>
    <row r="427" spans="1:96" ht="15.75" customHeight="1">
      <c r="A427" s="8"/>
      <c r="B427" s="8"/>
      <c r="C427" s="8"/>
      <c r="D427" s="8"/>
      <c r="E427" s="8"/>
      <c r="F427" s="8"/>
      <c r="G427" s="789"/>
      <c r="H427" s="789"/>
      <c r="I427" s="789"/>
      <c r="J427" s="790"/>
      <c r="K427" s="789"/>
      <c r="L427" s="789"/>
      <c r="M427" s="789"/>
      <c r="N427" s="789"/>
      <c r="O427" s="8"/>
      <c r="P427" s="8"/>
      <c r="Q427" s="8"/>
      <c r="R427" s="8"/>
      <c r="S427" s="789"/>
      <c r="T427" s="789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</row>
    <row r="428" spans="1:96" ht="15.75" customHeight="1">
      <c r="A428" s="8"/>
      <c r="B428" s="8"/>
      <c r="C428" s="8"/>
      <c r="D428" s="8"/>
      <c r="E428" s="8"/>
      <c r="F428" s="8"/>
      <c r="G428" s="789"/>
      <c r="H428" s="789"/>
      <c r="I428" s="789"/>
      <c r="J428" s="790"/>
      <c r="K428" s="789"/>
      <c r="L428" s="789"/>
      <c r="M428" s="789"/>
      <c r="N428" s="789"/>
      <c r="O428" s="8"/>
      <c r="P428" s="8"/>
      <c r="Q428" s="8"/>
      <c r="R428" s="8"/>
      <c r="S428" s="789"/>
      <c r="T428" s="789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</row>
    <row r="429" spans="1:96" ht="15.75" customHeight="1">
      <c r="A429" s="8"/>
      <c r="B429" s="8"/>
      <c r="C429" s="8"/>
      <c r="D429" s="8"/>
      <c r="E429" s="8"/>
      <c r="F429" s="8"/>
      <c r="G429" s="789"/>
      <c r="H429" s="789"/>
      <c r="I429" s="789"/>
      <c r="J429" s="790"/>
      <c r="K429" s="789"/>
      <c r="L429" s="789"/>
      <c r="M429" s="789"/>
      <c r="N429" s="789"/>
      <c r="O429" s="8"/>
      <c r="P429" s="8"/>
      <c r="Q429" s="8"/>
      <c r="R429" s="8"/>
      <c r="S429" s="789"/>
      <c r="T429" s="789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</row>
    <row r="430" spans="1:96" ht="15.75" customHeight="1">
      <c r="A430" s="8"/>
      <c r="B430" s="8"/>
      <c r="C430" s="8"/>
      <c r="D430" s="8"/>
      <c r="E430" s="8"/>
      <c r="F430" s="8"/>
      <c r="G430" s="789"/>
      <c r="H430" s="789"/>
      <c r="I430" s="789"/>
      <c r="J430" s="790"/>
      <c r="K430" s="789"/>
      <c r="L430" s="789"/>
      <c r="M430" s="789"/>
      <c r="N430" s="789"/>
      <c r="O430" s="8"/>
      <c r="P430" s="8"/>
      <c r="Q430" s="8"/>
      <c r="R430" s="8"/>
      <c r="S430" s="789"/>
      <c r="T430" s="789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</row>
    <row r="431" spans="1:96" ht="15.75" customHeight="1">
      <c r="A431" s="8"/>
      <c r="B431" s="8"/>
      <c r="C431" s="8"/>
      <c r="D431" s="8"/>
      <c r="E431" s="8"/>
      <c r="F431" s="8"/>
      <c r="G431" s="789"/>
      <c r="H431" s="789"/>
      <c r="I431" s="789"/>
      <c r="J431" s="790"/>
      <c r="K431" s="789"/>
      <c r="L431" s="789"/>
      <c r="M431" s="789"/>
      <c r="N431" s="789"/>
      <c r="O431" s="8"/>
      <c r="P431" s="8"/>
      <c r="Q431" s="8"/>
      <c r="R431" s="8"/>
      <c r="S431" s="789"/>
      <c r="T431" s="789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</row>
    <row r="432" spans="1:96" ht="15.75" customHeight="1">
      <c r="A432" s="8"/>
      <c r="B432" s="8"/>
      <c r="C432" s="8"/>
      <c r="D432" s="8"/>
      <c r="E432" s="8"/>
      <c r="F432" s="8"/>
      <c r="G432" s="789"/>
      <c r="H432" s="789"/>
      <c r="I432" s="789"/>
      <c r="J432" s="790"/>
      <c r="K432" s="789"/>
      <c r="L432" s="789"/>
      <c r="M432" s="789"/>
      <c r="N432" s="789"/>
      <c r="O432" s="8"/>
      <c r="P432" s="8"/>
      <c r="Q432" s="8"/>
      <c r="R432" s="8"/>
      <c r="S432" s="789"/>
      <c r="T432" s="789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</row>
    <row r="433" spans="1:96" ht="15.75" customHeight="1">
      <c r="A433" s="8"/>
      <c r="B433" s="8"/>
      <c r="C433" s="8"/>
      <c r="D433" s="8"/>
      <c r="E433" s="8"/>
      <c r="F433" s="8"/>
      <c r="G433" s="789"/>
      <c r="H433" s="789"/>
      <c r="I433" s="789"/>
      <c r="J433" s="790"/>
      <c r="K433" s="789"/>
      <c r="L433" s="789"/>
      <c r="M433" s="789"/>
      <c r="N433" s="789"/>
      <c r="O433" s="8"/>
      <c r="P433" s="8"/>
      <c r="Q433" s="8"/>
      <c r="R433" s="8"/>
      <c r="S433" s="789"/>
      <c r="T433" s="789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</row>
    <row r="434" spans="1:96" ht="15.75" customHeight="1">
      <c r="A434" s="8"/>
      <c r="B434" s="8"/>
      <c r="C434" s="8"/>
      <c r="D434" s="8"/>
      <c r="E434" s="8"/>
      <c r="F434" s="8"/>
      <c r="G434" s="789"/>
      <c r="H434" s="789"/>
      <c r="I434" s="789"/>
      <c r="J434" s="790"/>
      <c r="K434" s="789"/>
      <c r="L434" s="789"/>
      <c r="M434" s="789"/>
      <c r="N434" s="789"/>
      <c r="O434" s="8"/>
      <c r="P434" s="8"/>
      <c r="Q434" s="8"/>
      <c r="R434" s="8"/>
      <c r="S434" s="789"/>
      <c r="T434" s="789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</row>
    <row r="435" spans="1:96" ht="15.75" customHeight="1">
      <c r="A435" s="8"/>
      <c r="B435" s="8"/>
      <c r="C435" s="8"/>
      <c r="D435" s="8"/>
      <c r="E435" s="8"/>
      <c r="F435" s="8"/>
      <c r="G435" s="789"/>
      <c r="H435" s="789"/>
      <c r="I435" s="789"/>
      <c r="J435" s="790"/>
      <c r="K435" s="789"/>
      <c r="L435" s="789"/>
      <c r="M435" s="789"/>
      <c r="N435" s="789"/>
      <c r="O435" s="8"/>
      <c r="P435" s="8"/>
      <c r="Q435" s="8"/>
      <c r="R435" s="8"/>
      <c r="S435" s="789"/>
      <c r="T435" s="789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</row>
    <row r="436" spans="1:96" ht="15.75" customHeight="1">
      <c r="A436" s="8"/>
      <c r="B436" s="8"/>
      <c r="C436" s="8"/>
      <c r="D436" s="8"/>
      <c r="E436" s="8"/>
      <c r="F436" s="8"/>
      <c r="G436" s="789"/>
      <c r="H436" s="789"/>
      <c r="I436" s="789"/>
      <c r="J436" s="790"/>
      <c r="K436" s="789"/>
      <c r="L436" s="789"/>
      <c r="M436" s="789"/>
      <c r="N436" s="789"/>
      <c r="O436" s="8"/>
      <c r="P436" s="8"/>
      <c r="Q436" s="8"/>
      <c r="R436" s="8"/>
      <c r="S436" s="789"/>
      <c r="T436" s="789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</row>
    <row r="437" spans="1:96" ht="15.75" customHeight="1">
      <c r="A437" s="8"/>
      <c r="B437" s="8"/>
      <c r="C437" s="8"/>
      <c r="D437" s="8"/>
      <c r="E437" s="8"/>
      <c r="F437" s="8"/>
      <c r="G437" s="789"/>
      <c r="H437" s="789"/>
      <c r="I437" s="789"/>
      <c r="J437" s="790"/>
      <c r="K437" s="789"/>
      <c r="L437" s="789"/>
      <c r="M437" s="789"/>
      <c r="N437" s="789"/>
      <c r="O437" s="8"/>
      <c r="P437" s="8"/>
      <c r="Q437" s="8"/>
      <c r="R437" s="8"/>
      <c r="S437" s="789"/>
      <c r="T437" s="789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</row>
    <row r="438" spans="1:96" ht="15.75" customHeight="1">
      <c r="A438" s="8"/>
      <c r="B438" s="8"/>
      <c r="C438" s="8"/>
      <c r="D438" s="8"/>
      <c r="E438" s="8"/>
      <c r="F438" s="8"/>
      <c r="G438" s="789"/>
      <c r="H438" s="789"/>
      <c r="I438" s="789"/>
      <c r="J438" s="790"/>
      <c r="K438" s="789"/>
      <c r="L438" s="789"/>
      <c r="M438" s="789"/>
      <c r="N438" s="789"/>
      <c r="O438" s="8"/>
      <c r="P438" s="8"/>
      <c r="Q438" s="8"/>
      <c r="R438" s="8"/>
      <c r="S438" s="789"/>
      <c r="T438" s="789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</row>
    <row r="439" spans="1:96" ht="15.75" customHeight="1">
      <c r="A439" s="8"/>
      <c r="B439" s="8"/>
      <c r="C439" s="8"/>
      <c r="D439" s="8"/>
      <c r="E439" s="8"/>
      <c r="F439" s="8"/>
      <c r="G439" s="789"/>
      <c r="H439" s="789"/>
      <c r="I439" s="789"/>
      <c r="J439" s="790"/>
      <c r="K439" s="789"/>
      <c r="L439" s="789"/>
      <c r="M439" s="789"/>
      <c r="N439" s="789"/>
      <c r="O439" s="8"/>
      <c r="P439" s="8"/>
      <c r="Q439" s="8"/>
      <c r="R439" s="8"/>
      <c r="S439" s="789"/>
      <c r="T439" s="789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</row>
    <row r="440" spans="1:96" ht="15.75" customHeight="1">
      <c r="A440" s="8"/>
      <c r="B440" s="8"/>
      <c r="C440" s="8"/>
      <c r="D440" s="8"/>
      <c r="E440" s="8"/>
      <c r="F440" s="8"/>
      <c r="G440" s="789"/>
      <c r="H440" s="789"/>
      <c r="I440" s="789"/>
      <c r="J440" s="790"/>
      <c r="K440" s="789"/>
      <c r="L440" s="789"/>
      <c r="M440" s="789"/>
      <c r="N440" s="789"/>
      <c r="O440" s="8"/>
      <c r="P440" s="8"/>
      <c r="Q440" s="8"/>
      <c r="R440" s="8"/>
      <c r="S440" s="789"/>
      <c r="T440" s="789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</row>
    <row r="441" spans="1:96" ht="15.75" customHeight="1">
      <c r="A441" s="8"/>
      <c r="B441" s="8"/>
      <c r="C441" s="8"/>
      <c r="D441" s="8"/>
      <c r="E441" s="8"/>
      <c r="F441" s="8"/>
      <c r="G441" s="789"/>
      <c r="H441" s="789"/>
      <c r="I441" s="789"/>
      <c r="J441" s="790"/>
      <c r="K441" s="789"/>
      <c r="L441" s="789"/>
      <c r="M441" s="789"/>
      <c r="N441" s="789"/>
      <c r="O441" s="8"/>
      <c r="P441" s="8"/>
      <c r="Q441" s="8"/>
      <c r="R441" s="8"/>
      <c r="S441" s="789"/>
      <c r="T441" s="789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</row>
    <row r="442" spans="1:96" ht="15.75" customHeight="1">
      <c r="A442" s="8"/>
      <c r="B442" s="8"/>
      <c r="C442" s="8"/>
      <c r="D442" s="8"/>
      <c r="E442" s="8"/>
      <c r="F442" s="8"/>
      <c r="G442" s="789"/>
      <c r="H442" s="789"/>
      <c r="I442" s="789"/>
      <c r="J442" s="790"/>
      <c r="K442" s="789"/>
      <c r="L442" s="789"/>
      <c r="M442" s="789"/>
      <c r="N442" s="789"/>
      <c r="O442" s="8"/>
      <c r="P442" s="8"/>
      <c r="Q442" s="8"/>
      <c r="R442" s="8"/>
      <c r="S442" s="789"/>
      <c r="T442" s="789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</row>
    <row r="443" spans="1:96" ht="15.75" customHeight="1">
      <c r="A443" s="8"/>
      <c r="B443" s="8"/>
      <c r="C443" s="8"/>
      <c r="D443" s="8"/>
      <c r="E443" s="8"/>
      <c r="F443" s="8"/>
      <c r="G443" s="789"/>
      <c r="H443" s="789"/>
      <c r="I443" s="789"/>
      <c r="J443" s="790"/>
      <c r="K443" s="789"/>
      <c r="L443" s="789"/>
      <c r="M443" s="789"/>
      <c r="N443" s="789"/>
      <c r="O443" s="8"/>
      <c r="P443" s="8"/>
      <c r="Q443" s="8"/>
      <c r="R443" s="8"/>
      <c r="S443" s="789"/>
      <c r="T443" s="789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</row>
    <row r="444" spans="1:96" ht="15.75" customHeight="1">
      <c r="A444" s="8"/>
      <c r="B444" s="8"/>
      <c r="C444" s="8"/>
      <c r="D444" s="8"/>
      <c r="E444" s="8"/>
      <c r="F444" s="8"/>
      <c r="G444" s="789"/>
      <c r="H444" s="789"/>
      <c r="I444" s="789"/>
      <c r="J444" s="790"/>
      <c r="K444" s="789"/>
      <c r="L444" s="789"/>
      <c r="M444" s="789"/>
      <c r="N444" s="789"/>
      <c r="O444" s="8"/>
      <c r="P444" s="8"/>
      <c r="Q444" s="8"/>
      <c r="R444" s="8"/>
      <c r="S444" s="789"/>
      <c r="T444" s="789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</row>
    <row r="445" spans="1:96" ht="15.75" customHeight="1">
      <c r="A445" s="8"/>
      <c r="B445" s="8"/>
      <c r="C445" s="8"/>
      <c r="D445" s="8"/>
      <c r="E445" s="8"/>
      <c r="F445" s="8"/>
      <c r="G445" s="789"/>
      <c r="H445" s="789"/>
      <c r="I445" s="789"/>
      <c r="J445" s="790"/>
      <c r="K445" s="789"/>
      <c r="L445" s="789"/>
      <c r="M445" s="789"/>
      <c r="N445" s="789"/>
      <c r="O445" s="8"/>
      <c r="P445" s="8"/>
      <c r="Q445" s="8"/>
      <c r="R445" s="8"/>
      <c r="S445" s="789"/>
      <c r="T445" s="789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</row>
    <row r="446" spans="1:96" ht="15.75" customHeight="1">
      <c r="A446" s="8"/>
      <c r="B446" s="8"/>
      <c r="C446" s="8"/>
      <c r="D446" s="8"/>
      <c r="E446" s="8"/>
      <c r="F446" s="8"/>
      <c r="G446" s="789"/>
      <c r="H446" s="789"/>
      <c r="I446" s="789"/>
      <c r="J446" s="790"/>
      <c r="K446" s="789"/>
      <c r="L446" s="789"/>
      <c r="M446" s="789"/>
      <c r="N446" s="789"/>
      <c r="O446" s="8"/>
      <c r="P446" s="8"/>
      <c r="Q446" s="8"/>
      <c r="R446" s="8"/>
      <c r="S446" s="789"/>
      <c r="T446" s="789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</row>
    <row r="447" spans="1:96" ht="15.75" customHeight="1">
      <c r="A447" s="8"/>
      <c r="B447" s="8"/>
      <c r="C447" s="8"/>
      <c r="D447" s="8"/>
      <c r="E447" s="8"/>
      <c r="F447" s="8"/>
      <c r="G447" s="789"/>
      <c r="H447" s="789"/>
      <c r="I447" s="789"/>
      <c r="J447" s="790"/>
      <c r="K447" s="789"/>
      <c r="L447" s="789"/>
      <c r="M447" s="789"/>
      <c r="N447" s="789"/>
      <c r="O447" s="8"/>
      <c r="P447" s="8"/>
      <c r="Q447" s="8"/>
      <c r="R447" s="8"/>
      <c r="S447" s="789"/>
      <c r="T447" s="789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</row>
    <row r="448" spans="1:96" ht="15.75" customHeight="1">
      <c r="A448" s="8"/>
      <c r="B448" s="8"/>
      <c r="C448" s="8"/>
      <c r="D448" s="8"/>
      <c r="E448" s="8"/>
      <c r="F448" s="8"/>
      <c r="G448" s="789"/>
      <c r="H448" s="789"/>
      <c r="I448" s="789"/>
      <c r="J448" s="790"/>
      <c r="K448" s="789"/>
      <c r="L448" s="789"/>
      <c r="M448" s="789"/>
      <c r="N448" s="789"/>
      <c r="O448" s="8"/>
      <c r="P448" s="8"/>
      <c r="Q448" s="8"/>
      <c r="R448" s="8"/>
      <c r="S448" s="789"/>
      <c r="T448" s="789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</row>
    <row r="449" spans="1:96" ht="15.75" customHeight="1">
      <c r="A449" s="8"/>
      <c r="B449" s="8"/>
      <c r="C449" s="8"/>
      <c r="D449" s="8"/>
      <c r="E449" s="8"/>
      <c r="F449" s="8"/>
      <c r="G449" s="789"/>
      <c r="H449" s="789"/>
      <c r="I449" s="789"/>
      <c r="J449" s="790"/>
      <c r="K449" s="789"/>
      <c r="L449" s="789"/>
      <c r="M449" s="789"/>
      <c r="N449" s="789"/>
      <c r="O449" s="8"/>
      <c r="P449" s="8"/>
      <c r="Q449" s="8"/>
      <c r="R449" s="8"/>
      <c r="S449" s="789"/>
      <c r="T449" s="789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</row>
    <row r="450" spans="1:96" ht="15.75" customHeight="1">
      <c r="A450" s="8"/>
      <c r="B450" s="8"/>
      <c r="C450" s="8"/>
      <c r="D450" s="8"/>
      <c r="E450" s="8"/>
      <c r="F450" s="8"/>
      <c r="G450" s="789"/>
      <c r="H450" s="789"/>
      <c r="I450" s="789"/>
      <c r="J450" s="790"/>
      <c r="K450" s="789"/>
      <c r="L450" s="789"/>
      <c r="M450" s="789"/>
      <c r="N450" s="789"/>
      <c r="O450" s="8"/>
      <c r="P450" s="8"/>
      <c r="Q450" s="8"/>
      <c r="R450" s="8"/>
      <c r="S450" s="789"/>
      <c r="T450" s="789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</row>
    <row r="451" spans="1:96" ht="15.75" customHeight="1">
      <c r="A451" s="8"/>
      <c r="B451" s="8"/>
      <c r="C451" s="8"/>
      <c r="D451" s="8"/>
      <c r="E451" s="8"/>
      <c r="F451" s="8"/>
      <c r="G451" s="789"/>
      <c r="H451" s="789"/>
      <c r="I451" s="789"/>
      <c r="J451" s="790"/>
      <c r="K451" s="789"/>
      <c r="L451" s="789"/>
      <c r="M451" s="789"/>
      <c r="N451" s="789"/>
      <c r="O451" s="8"/>
      <c r="P451" s="8"/>
      <c r="Q451" s="8"/>
      <c r="R451" s="8"/>
      <c r="S451" s="789"/>
      <c r="T451" s="789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</row>
    <row r="452" spans="1:96" ht="15.75" customHeight="1">
      <c r="A452" s="8"/>
      <c r="B452" s="8"/>
      <c r="C452" s="8"/>
      <c r="D452" s="8"/>
      <c r="E452" s="8"/>
      <c r="F452" s="8"/>
      <c r="G452" s="789"/>
      <c r="H452" s="789"/>
      <c r="I452" s="789"/>
      <c r="J452" s="790"/>
      <c r="K452" s="789"/>
      <c r="L452" s="789"/>
      <c r="M452" s="789"/>
      <c r="N452" s="789"/>
      <c r="O452" s="8"/>
      <c r="P452" s="8"/>
      <c r="Q452" s="8"/>
      <c r="R452" s="8"/>
      <c r="S452" s="789"/>
      <c r="T452" s="789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</row>
    <row r="453" spans="1:96" ht="15.75" customHeight="1">
      <c r="A453" s="8"/>
      <c r="B453" s="8"/>
      <c r="C453" s="8"/>
      <c r="D453" s="8"/>
      <c r="E453" s="8"/>
      <c r="F453" s="8"/>
      <c r="G453" s="789"/>
      <c r="H453" s="789"/>
      <c r="I453" s="789"/>
      <c r="J453" s="790"/>
      <c r="K453" s="789"/>
      <c r="L453" s="789"/>
      <c r="M453" s="789"/>
      <c r="N453" s="789"/>
      <c r="O453" s="8"/>
      <c r="P453" s="8"/>
      <c r="Q453" s="8"/>
      <c r="R453" s="8"/>
      <c r="S453" s="789"/>
      <c r="T453" s="789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</row>
    <row r="454" spans="1:96" ht="15.75" customHeight="1">
      <c r="A454" s="8"/>
      <c r="B454" s="8"/>
      <c r="C454" s="8"/>
      <c r="D454" s="8"/>
      <c r="E454" s="8"/>
      <c r="F454" s="8"/>
      <c r="G454" s="789"/>
      <c r="H454" s="789"/>
      <c r="I454" s="789"/>
      <c r="J454" s="790"/>
      <c r="K454" s="789"/>
      <c r="L454" s="789"/>
      <c r="M454" s="789"/>
      <c r="N454" s="789"/>
      <c r="O454" s="8"/>
      <c r="P454" s="8"/>
      <c r="Q454" s="8"/>
      <c r="R454" s="8"/>
      <c r="S454" s="789"/>
      <c r="T454" s="789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</row>
    <row r="455" spans="1:96" ht="15.75" customHeight="1">
      <c r="A455" s="8"/>
      <c r="B455" s="8"/>
      <c r="C455" s="8"/>
      <c r="D455" s="8"/>
      <c r="E455" s="8"/>
      <c r="F455" s="8"/>
      <c r="G455" s="789"/>
      <c r="H455" s="789"/>
      <c r="I455" s="789"/>
      <c r="J455" s="790"/>
      <c r="K455" s="789"/>
      <c r="L455" s="789"/>
      <c r="M455" s="789"/>
      <c r="N455" s="789"/>
      <c r="O455" s="8"/>
      <c r="P455" s="8"/>
      <c r="Q455" s="8"/>
      <c r="R455" s="8"/>
      <c r="S455" s="789"/>
      <c r="T455" s="789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</row>
    <row r="456" spans="1:96" ht="15.75" customHeight="1">
      <c r="A456" s="8"/>
      <c r="B456" s="8"/>
      <c r="C456" s="8"/>
      <c r="D456" s="8"/>
      <c r="E456" s="8"/>
      <c r="F456" s="8"/>
      <c r="G456" s="789"/>
      <c r="H456" s="789"/>
      <c r="I456" s="789"/>
      <c r="J456" s="790"/>
      <c r="K456" s="789"/>
      <c r="L456" s="789"/>
      <c r="M456" s="789"/>
      <c r="N456" s="789"/>
      <c r="O456" s="8"/>
      <c r="P456" s="8"/>
      <c r="Q456" s="8"/>
      <c r="R456" s="8"/>
      <c r="S456" s="789"/>
      <c r="T456" s="789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</row>
    <row r="457" spans="1:96" ht="15.75" customHeight="1">
      <c r="A457" s="8"/>
      <c r="B457" s="8"/>
      <c r="C457" s="8"/>
      <c r="D457" s="8"/>
      <c r="E457" s="8"/>
      <c r="F457" s="8"/>
      <c r="G457" s="789"/>
      <c r="H457" s="789"/>
      <c r="I457" s="789"/>
      <c r="J457" s="790"/>
      <c r="K457" s="789"/>
      <c r="L457" s="789"/>
      <c r="M457" s="789"/>
      <c r="N457" s="789"/>
      <c r="O457" s="8"/>
      <c r="P457" s="8"/>
      <c r="Q457" s="8"/>
      <c r="R457" s="8"/>
      <c r="S457" s="789"/>
      <c r="T457" s="789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</row>
    <row r="458" spans="1:96" ht="15.75" customHeight="1">
      <c r="A458" s="8"/>
      <c r="B458" s="8"/>
      <c r="C458" s="8"/>
      <c r="D458" s="8"/>
      <c r="E458" s="8"/>
      <c r="F458" s="8"/>
      <c r="G458" s="789"/>
      <c r="H458" s="789"/>
      <c r="I458" s="789"/>
      <c r="J458" s="790"/>
      <c r="K458" s="789"/>
      <c r="L458" s="789"/>
      <c r="M458" s="789"/>
      <c r="N458" s="789"/>
      <c r="O458" s="8"/>
      <c r="P458" s="8"/>
      <c r="Q458" s="8"/>
      <c r="R458" s="8"/>
      <c r="S458" s="789"/>
      <c r="T458" s="789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</row>
    <row r="459" spans="1:96" ht="15.75" customHeight="1">
      <c r="A459" s="8"/>
      <c r="B459" s="8"/>
      <c r="C459" s="8"/>
      <c r="D459" s="8"/>
      <c r="E459" s="8"/>
      <c r="F459" s="8"/>
      <c r="G459" s="789"/>
      <c r="H459" s="789"/>
      <c r="I459" s="789"/>
      <c r="J459" s="790"/>
      <c r="K459" s="789"/>
      <c r="L459" s="789"/>
      <c r="M459" s="789"/>
      <c r="N459" s="789"/>
      <c r="O459" s="8"/>
      <c r="P459" s="8"/>
      <c r="Q459" s="8"/>
      <c r="R459" s="8"/>
      <c r="S459" s="789"/>
      <c r="T459" s="789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</row>
    <row r="460" spans="1:96" ht="15.75" customHeight="1">
      <c r="A460" s="8"/>
      <c r="B460" s="8"/>
      <c r="C460" s="8"/>
      <c r="D460" s="8"/>
      <c r="E460" s="8"/>
      <c r="F460" s="8"/>
      <c r="G460" s="789"/>
      <c r="H460" s="789"/>
      <c r="I460" s="789"/>
      <c r="J460" s="790"/>
      <c r="K460" s="789"/>
      <c r="L460" s="789"/>
      <c r="M460" s="789"/>
      <c r="N460" s="789"/>
      <c r="O460" s="8"/>
      <c r="P460" s="8"/>
      <c r="Q460" s="8"/>
      <c r="R460" s="8"/>
      <c r="S460" s="789"/>
      <c r="T460" s="789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</row>
    <row r="461" spans="1:96" ht="15.75" customHeight="1">
      <c r="A461" s="8"/>
      <c r="B461" s="8"/>
      <c r="C461" s="8"/>
      <c r="D461" s="8"/>
      <c r="E461" s="8"/>
      <c r="F461" s="8"/>
      <c r="G461" s="789"/>
      <c r="H461" s="789"/>
      <c r="I461" s="789"/>
      <c r="J461" s="790"/>
      <c r="K461" s="789"/>
      <c r="L461" s="789"/>
      <c r="M461" s="789"/>
      <c r="N461" s="789"/>
      <c r="O461" s="8"/>
      <c r="P461" s="8"/>
      <c r="Q461" s="8"/>
      <c r="R461" s="8"/>
      <c r="S461" s="789"/>
      <c r="T461" s="789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</row>
    <row r="462" spans="1:96" ht="15.75" customHeight="1">
      <c r="A462" s="8"/>
      <c r="B462" s="8"/>
      <c r="C462" s="8"/>
      <c r="D462" s="8"/>
      <c r="E462" s="8"/>
      <c r="F462" s="8"/>
      <c r="G462" s="789"/>
      <c r="H462" s="789"/>
      <c r="I462" s="789"/>
      <c r="J462" s="790"/>
      <c r="K462" s="789"/>
      <c r="L462" s="789"/>
      <c r="M462" s="789"/>
      <c r="N462" s="789"/>
      <c r="O462" s="8"/>
      <c r="P462" s="8"/>
      <c r="Q462" s="8"/>
      <c r="R462" s="8"/>
      <c r="S462" s="789"/>
      <c r="T462" s="789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</row>
    <row r="463" spans="1:96" ht="15.75" customHeight="1">
      <c r="A463" s="8"/>
      <c r="B463" s="8"/>
      <c r="C463" s="8"/>
      <c r="D463" s="8"/>
      <c r="E463" s="8"/>
      <c r="F463" s="8"/>
      <c r="G463" s="789"/>
      <c r="H463" s="789"/>
      <c r="I463" s="789"/>
      <c r="J463" s="790"/>
      <c r="K463" s="789"/>
      <c r="L463" s="789"/>
      <c r="M463" s="789"/>
      <c r="N463" s="789"/>
      <c r="O463" s="8"/>
      <c r="P463" s="8"/>
      <c r="Q463" s="8"/>
      <c r="R463" s="8"/>
      <c r="S463" s="789"/>
      <c r="T463" s="789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</row>
    <row r="464" spans="1:96" ht="15.75" customHeight="1">
      <c r="A464" s="8"/>
      <c r="B464" s="8"/>
      <c r="C464" s="8"/>
      <c r="D464" s="8"/>
      <c r="E464" s="8"/>
      <c r="F464" s="8"/>
      <c r="G464" s="789"/>
      <c r="H464" s="789"/>
      <c r="I464" s="789"/>
      <c r="J464" s="790"/>
      <c r="K464" s="789"/>
      <c r="L464" s="789"/>
      <c r="M464" s="789"/>
      <c r="N464" s="789"/>
      <c r="O464" s="8"/>
      <c r="P464" s="8"/>
      <c r="Q464" s="8"/>
      <c r="R464" s="8"/>
      <c r="S464" s="789"/>
      <c r="T464" s="789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</row>
    <row r="465" spans="1:96" ht="15.75" customHeight="1">
      <c r="A465" s="8"/>
      <c r="B465" s="8"/>
      <c r="C465" s="8"/>
      <c r="D465" s="8"/>
      <c r="E465" s="8"/>
      <c r="F465" s="8"/>
      <c r="G465" s="789"/>
      <c r="H465" s="789"/>
      <c r="I465" s="789"/>
      <c r="J465" s="790"/>
      <c r="K465" s="789"/>
      <c r="L465" s="789"/>
      <c r="M465" s="789"/>
      <c r="N465" s="789"/>
      <c r="O465" s="8"/>
      <c r="P465" s="8"/>
      <c r="Q465" s="8"/>
      <c r="R465" s="8"/>
      <c r="S465" s="789"/>
      <c r="T465" s="789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</row>
    <row r="466" spans="1:96" ht="15.75" customHeight="1">
      <c r="A466" s="8"/>
      <c r="B466" s="8"/>
      <c r="C466" s="8"/>
      <c r="D466" s="8"/>
      <c r="E466" s="8"/>
      <c r="F466" s="8"/>
      <c r="G466" s="789"/>
      <c r="H466" s="789"/>
      <c r="I466" s="789"/>
      <c r="J466" s="790"/>
      <c r="K466" s="789"/>
      <c r="L466" s="789"/>
      <c r="M466" s="789"/>
      <c r="N466" s="789"/>
      <c r="O466" s="8"/>
      <c r="P466" s="8"/>
      <c r="Q466" s="8"/>
      <c r="R466" s="8"/>
      <c r="S466" s="789"/>
      <c r="T466" s="789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</row>
    <row r="467" spans="1:96" ht="15.75" customHeight="1">
      <c r="A467" s="8"/>
      <c r="B467" s="8"/>
      <c r="C467" s="8"/>
      <c r="D467" s="8"/>
      <c r="E467" s="8"/>
      <c r="F467" s="8"/>
      <c r="G467" s="789"/>
      <c r="H467" s="789"/>
      <c r="I467" s="789"/>
      <c r="J467" s="790"/>
      <c r="K467" s="789"/>
      <c r="L467" s="789"/>
      <c r="M467" s="789"/>
      <c r="N467" s="789"/>
      <c r="O467" s="8"/>
      <c r="P467" s="8"/>
      <c r="Q467" s="8"/>
      <c r="R467" s="8"/>
      <c r="S467" s="789"/>
      <c r="T467" s="789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</row>
    <row r="468" spans="1:96" ht="15.75" customHeight="1">
      <c r="A468" s="8"/>
      <c r="B468" s="8"/>
      <c r="C468" s="8"/>
      <c r="D468" s="8"/>
      <c r="E468" s="8"/>
      <c r="F468" s="8"/>
      <c r="G468" s="789"/>
      <c r="H468" s="789"/>
      <c r="I468" s="789"/>
      <c r="J468" s="790"/>
      <c r="K468" s="789"/>
      <c r="L468" s="789"/>
      <c r="M468" s="789"/>
      <c r="N468" s="789"/>
      <c r="O468" s="8"/>
      <c r="P468" s="8"/>
      <c r="Q468" s="8"/>
      <c r="R468" s="8"/>
      <c r="S468" s="789"/>
      <c r="T468" s="789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</row>
    <row r="469" spans="1:96" ht="15.75" customHeight="1">
      <c r="A469" s="8"/>
      <c r="B469" s="8"/>
      <c r="C469" s="8"/>
      <c r="D469" s="8"/>
      <c r="E469" s="8"/>
      <c r="F469" s="8"/>
      <c r="G469" s="789"/>
      <c r="H469" s="789"/>
      <c r="I469" s="789"/>
      <c r="J469" s="790"/>
      <c r="K469" s="789"/>
      <c r="L469" s="789"/>
      <c r="M469" s="789"/>
      <c r="N469" s="789"/>
      <c r="O469" s="8"/>
      <c r="P469" s="8"/>
      <c r="Q469" s="8"/>
      <c r="R469" s="8"/>
      <c r="S469" s="789"/>
      <c r="T469" s="789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</row>
    <row r="470" spans="1:96" ht="15.75" customHeight="1">
      <c r="A470" s="8"/>
      <c r="B470" s="8"/>
      <c r="C470" s="8"/>
      <c r="D470" s="8"/>
      <c r="E470" s="8"/>
      <c r="F470" s="8"/>
      <c r="G470" s="789"/>
      <c r="H470" s="789"/>
      <c r="I470" s="789"/>
      <c r="J470" s="790"/>
      <c r="K470" s="789"/>
      <c r="L470" s="789"/>
      <c r="M470" s="789"/>
      <c r="N470" s="789"/>
      <c r="O470" s="8"/>
      <c r="P470" s="8"/>
      <c r="Q470" s="8"/>
      <c r="R470" s="8"/>
      <c r="S470" s="789"/>
      <c r="T470" s="789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</row>
    <row r="471" spans="1:96" ht="15.75" customHeight="1">
      <c r="A471" s="8"/>
      <c r="B471" s="8"/>
      <c r="C471" s="8"/>
      <c r="D471" s="8"/>
      <c r="E471" s="8"/>
      <c r="F471" s="8"/>
      <c r="G471" s="789"/>
      <c r="H471" s="789"/>
      <c r="I471" s="789"/>
      <c r="J471" s="790"/>
      <c r="K471" s="789"/>
      <c r="L471" s="789"/>
      <c r="M471" s="789"/>
      <c r="N471" s="789"/>
      <c r="O471" s="8"/>
      <c r="P471" s="8"/>
      <c r="Q471" s="8"/>
      <c r="R471" s="8"/>
      <c r="S471" s="789"/>
      <c r="T471" s="789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</row>
    <row r="472" spans="1:96" ht="15.75" customHeight="1">
      <c r="A472" s="8"/>
      <c r="B472" s="8"/>
      <c r="C472" s="8"/>
      <c r="D472" s="8"/>
      <c r="E472" s="8"/>
      <c r="F472" s="8"/>
      <c r="G472" s="789"/>
      <c r="H472" s="789"/>
      <c r="I472" s="789"/>
      <c r="J472" s="790"/>
      <c r="K472" s="789"/>
      <c r="L472" s="789"/>
      <c r="M472" s="789"/>
      <c r="N472" s="789"/>
      <c r="O472" s="8"/>
      <c r="P472" s="8"/>
      <c r="Q472" s="8"/>
      <c r="R472" s="8"/>
      <c r="S472" s="789"/>
      <c r="T472" s="789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</row>
    <row r="473" spans="1:96" ht="15.75" customHeight="1">
      <c r="A473" s="8"/>
      <c r="B473" s="8"/>
      <c r="C473" s="8"/>
      <c r="D473" s="8"/>
      <c r="E473" s="8"/>
      <c r="F473" s="8"/>
      <c r="G473" s="789"/>
      <c r="H473" s="789"/>
      <c r="I473" s="789"/>
      <c r="J473" s="790"/>
      <c r="K473" s="789"/>
      <c r="L473" s="789"/>
      <c r="M473" s="789"/>
      <c r="N473" s="789"/>
      <c r="O473" s="8"/>
      <c r="P473" s="8"/>
      <c r="Q473" s="8"/>
      <c r="R473" s="8"/>
      <c r="S473" s="789"/>
      <c r="T473" s="789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</row>
    <row r="474" spans="1:96" ht="15.75" customHeight="1">
      <c r="A474" s="8"/>
      <c r="B474" s="8"/>
      <c r="C474" s="8"/>
      <c r="D474" s="8"/>
      <c r="E474" s="8"/>
      <c r="F474" s="8"/>
      <c r="G474" s="789"/>
      <c r="H474" s="789"/>
      <c r="I474" s="789"/>
      <c r="J474" s="790"/>
      <c r="K474" s="789"/>
      <c r="L474" s="789"/>
      <c r="M474" s="789"/>
      <c r="N474" s="789"/>
      <c r="O474" s="8"/>
      <c r="P474" s="8"/>
      <c r="Q474" s="8"/>
      <c r="R474" s="8"/>
      <c r="S474" s="789"/>
      <c r="T474" s="789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</row>
    <row r="475" spans="1:96" ht="15.75" customHeight="1">
      <c r="A475" s="8"/>
      <c r="B475" s="8"/>
      <c r="C475" s="8"/>
      <c r="D475" s="8"/>
      <c r="E475" s="8"/>
      <c r="F475" s="8"/>
      <c r="G475" s="789"/>
      <c r="H475" s="789"/>
      <c r="I475" s="789"/>
      <c r="J475" s="790"/>
      <c r="K475" s="789"/>
      <c r="L475" s="789"/>
      <c r="M475" s="789"/>
      <c r="N475" s="789"/>
      <c r="O475" s="8"/>
      <c r="P475" s="8"/>
      <c r="Q475" s="8"/>
      <c r="R475" s="8"/>
      <c r="S475" s="789"/>
      <c r="T475" s="789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</row>
    <row r="476" spans="1:96" ht="15.75" customHeight="1">
      <c r="A476" s="8"/>
      <c r="B476" s="8"/>
      <c r="C476" s="8"/>
      <c r="D476" s="8"/>
      <c r="E476" s="8"/>
      <c r="F476" s="8"/>
      <c r="G476" s="789"/>
      <c r="H476" s="789"/>
      <c r="I476" s="789"/>
      <c r="J476" s="790"/>
      <c r="K476" s="789"/>
      <c r="L476" s="789"/>
      <c r="M476" s="789"/>
      <c r="N476" s="789"/>
      <c r="O476" s="8"/>
      <c r="P476" s="8"/>
      <c r="Q476" s="8"/>
      <c r="R476" s="8"/>
      <c r="S476" s="789"/>
      <c r="T476" s="789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</row>
    <row r="477" spans="1:96" ht="15.75" customHeight="1">
      <c r="A477" s="8"/>
      <c r="B477" s="8"/>
      <c r="C477" s="8"/>
      <c r="D477" s="8"/>
      <c r="E477" s="8"/>
      <c r="F477" s="8"/>
      <c r="G477" s="789"/>
      <c r="H477" s="789"/>
      <c r="I477" s="789"/>
      <c r="J477" s="790"/>
      <c r="K477" s="789"/>
      <c r="L477" s="789"/>
      <c r="M477" s="789"/>
      <c r="N477" s="789"/>
      <c r="O477" s="8"/>
      <c r="P477" s="8"/>
      <c r="Q477" s="8"/>
      <c r="R477" s="8"/>
      <c r="S477" s="789"/>
      <c r="T477" s="789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</row>
    <row r="478" spans="1:96" ht="15.75" customHeight="1">
      <c r="A478" s="8"/>
      <c r="B478" s="8"/>
      <c r="C478" s="8"/>
      <c r="D478" s="8"/>
      <c r="E478" s="8"/>
      <c r="F478" s="8"/>
      <c r="G478" s="789"/>
      <c r="H478" s="789"/>
      <c r="I478" s="789"/>
      <c r="J478" s="790"/>
      <c r="K478" s="789"/>
      <c r="L478" s="789"/>
      <c r="M478" s="789"/>
      <c r="N478" s="789"/>
      <c r="O478" s="8"/>
      <c r="P478" s="8"/>
      <c r="Q478" s="8"/>
      <c r="R478" s="8"/>
      <c r="S478" s="789"/>
      <c r="T478" s="789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</row>
    <row r="479" spans="1:96" ht="15.75" customHeight="1">
      <c r="A479" s="8"/>
      <c r="B479" s="8"/>
      <c r="C479" s="8"/>
      <c r="D479" s="8"/>
      <c r="E479" s="8"/>
      <c r="F479" s="8"/>
      <c r="G479" s="789"/>
      <c r="H479" s="789"/>
      <c r="I479" s="789"/>
      <c r="J479" s="790"/>
      <c r="K479" s="789"/>
      <c r="L479" s="789"/>
      <c r="M479" s="789"/>
      <c r="N479" s="789"/>
      <c r="O479" s="8"/>
      <c r="P479" s="8"/>
      <c r="Q479" s="8"/>
      <c r="R479" s="8"/>
      <c r="S479" s="789"/>
      <c r="T479" s="789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</row>
    <row r="480" spans="1:96" ht="15.75" customHeight="1">
      <c r="A480" s="8"/>
      <c r="B480" s="8"/>
      <c r="C480" s="8"/>
      <c r="D480" s="8"/>
      <c r="E480" s="8"/>
      <c r="F480" s="8"/>
      <c r="G480" s="789"/>
      <c r="H480" s="789"/>
      <c r="I480" s="789"/>
      <c r="J480" s="790"/>
      <c r="K480" s="789"/>
      <c r="L480" s="789"/>
      <c r="M480" s="789"/>
      <c r="N480" s="789"/>
      <c r="O480" s="8"/>
      <c r="P480" s="8"/>
      <c r="Q480" s="8"/>
      <c r="R480" s="8"/>
      <c r="S480" s="789"/>
      <c r="T480" s="789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</row>
    <row r="481" spans="1:96" ht="15.75" customHeight="1">
      <c r="A481" s="8"/>
      <c r="B481" s="8"/>
      <c r="C481" s="8"/>
      <c r="D481" s="8"/>
      <c r="E481" s="8"/>
      <c r="F481" s="8"/>
      <c r="G481" s="789"/>
      <c r="H481" s="789"/>
      <c r="I481" s="789"/>
      <c r="J481" s="790"/>
      <c r="K481" s="789"/>
      <c r="L481" s="789"/>
      <c r="M481" s="789"/>
      <c r="N481" s="789"/>
      <c r="O481" s="8"/>
      <c r="P481" s="8"/>
      <c r="Q481" s="8"/>
      <c r="R481" s="8"/>
      <c r="S481" s="789"/>
      <c r="T481" s="789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</row>
    <row r="482" spans="1:96" ht="15.75" customHeight="1">
      <c r="A482" s="8"/>
      <c r="B482" s="8"/>
      <c r="C482" s="8"/>
      <c r="D482" s="8"/>
      <c r="E482" s="8"/>
      <c r="F482" s="8"/>
      <c r="G482" s="789"/>
      <c r="H482" s="789"/>
      <c r="I482" s="789"/>
      <c r="J482" s="790"/>
      <c r="K482" s="789"/>
      <c r="L482" s="789"/>
      <c r="M482" s="789"/>
      <c r="N482" s="789"/>
      <c r="O482" s="8"/>
      <c r="P482" s="8"/>
      <c r="Q482" s="8"/>
      <c r="R482" s="8"/>
      <c r="S482" s="789"/>
      <c r="T482" s="789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</row>
    <row r="483" spans="1:96" ht="15.75" customHeight="1">
      <c r="A483" s="8"/>
      <c r="B483" s="8"/>
      <c r="C483" s="8"/>
      <c r="D483" s="8"/>
      <c r="E483" s="8"/>
      <c r="F483" s="8"/>
      <c r="G483" s="789"/>
      <c r="H483" s="789"/>
      <c r="I483" s="789"/>
      <c r="J483" s="790"/>
      <c r="K483" s="789"/>
      <c r="L483" s="789"/>
      <c r="M483" s="789"/>
      <c r="N483" s="789"/>
      <c r="O483" s="8"/>
      <c r="P483" s="8"/>
      <c r="Q483" s="8"/>
      <c r="R483" s="8"/>
      <c r="S483" s="789"/>
      <c r="T483" s="789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</row>
    <row r="484" spans="1:96" ht="15.75" customHeight="1">
      <c r="A484" s="8"/>
      <c r="B484" s="8"/>
      <c r="C484" s="8"/>
      <c r="D484" s="8"/>
      <c r="E484" s="8"/>
      <c r="F484" s="8"/>
      <c r="G484" s="789"/>
      <c r="H484" s="789"/>
      <c r="I484" s="789"/>
      <c r="J484" s="790"/>
      <c r="K484" s="789"/>
      <c r="L484" s="789"/>
      <c r="M484" s="789"/>
      <c r="N484" s="789"/>
      <c r="O484" s="8"/>
      <c r="P484" s="8"/>
      <c r="Q484" s="8"/>
      <c r="R484" s="8"/>
      <c r="S484" s="789"/>
      <c r="T484" s="789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</row>
    <row r="485" spans="1:96" ht="15.75" customHeight="1">
      <c r="A485" s="8"/>
      <c r="B485" s="8"/>
      <c r="C485" s="8"/>
      <c r="D485" s="8"/>
      <c r="E485" s="8"/>
      <c r="F485" s="8"/>
      <c r="G485" s="789"/>
      <c r="H485" s="789"/>
      <c r="I485" s="789"/>
      <c r="J485" s="790"/>
      <c r="K485" s="789"/>
      <c r="L485" s="789"/>
      <c r="M485" s="789"/>
      <c r="N485" s="789"/>
      <c r="O485" s="8"/>
      <c r="P485" s="8"/>
      <c r="Q485" s="8"/>
      <c r="R485" s="8"/>
      <c r="S485" s="789"/>
      <c r="T485" s="789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</row>
    <row r="486" spans="1:96" ht="15.75" customHeight="1">
      <c r="A486" s="8"/>
      <c r="B486" s="8"/>
      <c r="C486" s="8"/>
      <c r="D486" s="8"/>
      <c r="E486" s="8"/>
      <c r="F486" s="8"/>
      <c r="G486" s="789"/>
      <c r="H486" s="789"/>
      <c r="I486" s="789"/>
      <c r="J486" s="790"/>
      <c r="K486" s="789"/>
      <c r="L486" s="789"/>
      <c r="M486" s="789"/>
      <c r="N486" s="789"/>
      <c r="O486" s="8"/>
      <c r="P486" s="8"/>
      <c r="Q486" s="8"/>
      <c r="R486" s="8"/>
      <c r="S486" s="789"/>
      <c r="T486" s="789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</row>
    <row r="487" spans="1:96" ht="15.75" customHeight="1">
      <c r="A487" s="8"/>
      <c r="B487" s="8"/>
      <c r="C487" s="8"/>
      <c r="D487" s="8"/>
      <c r="E487" s="8"/>
      <c r="F487" s="8"/>
      <c r="G487" s="789"/>
      <c r="H487" s="789"/>
      <c r="I487" s="789"/>
      <c r="J487" s="790"/>
      <c r="K487" s="789"/>
      <c r="L487" s="789"/>
      <c r="M487" s="789"/>
      <c r="N487" s="789"/>
      <c r="O487" s="8"/>
      <c r="P487" s="8"/>
      <c r="Q487" s="8"/>
      <c r="R487" s="8"/>
      <c r="S487" s="789"/>
      <c r="T487" s="789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</row>
    <row r="488" spans="1:96" ht="15.75" customHeight="1">
      <c r="A488" s="8"/>
      <c r="B488" s="8"/>
      <c r="C488" s="8"/>
      <c r="D488" s="8"/>
      <c r="E488" s="8"/>
      <c r="F488" s="8"/>
      <c r="G488" s="789"/>
      <c r="H488" s="789"/>
      <c r="I488" s="789"/>
      <c r="J488" s="790"/>
      <c r="K488" s="789"/>
      <c r="L488" s="789"/>
      <c r="M488" s="789"/>
      <c r="N488" s="789"/>
      <c r="O488" s="8"/>
      <c r="P488" s="8"/>
      <c r="Q488" s="8"/>
      <c r="R488" s="8"/>
      <c r="S488" s="789"/>
      <c r="T488" s="789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</row>
    <row r="489" spans="1:96" ht="15.75" customHeight="1">
      <c r="A489" s="8"/>
      <c r="B489" s="8"/>
      <c r="C489" s="8"/>
      <c r="D489" s="8"/>
      <c r="E489" s="8"/>
      <c r="F489" s="8"/>
      <c r="G489" s="789"/>
      <c r="H489" s="789"/>
      <c r="I489" s="789"/>
      <c r="J489" s="790"/>
      <c r="K489" s="789"/>
      <c r="L489" s="789"/>
      <c r="M489" s="789"/>
      <c r="N489" s="789"/>
      <c r="O489" s="8"/>
      <c r="P489" s="8"/>
      <c r="Q489" s="8"/>
      <c r="R489" s="8"/>
      <c r="S489" s="789"/>
      <c r="T489" s="789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</row>
    <row r="490" spans="1:96" ht="15.75" customHeight="1">
      <c r="A490" s="8"/>
      <c r="B490" s="8"/>
      <c r="C490" s="8"/>
      <c r="D490" s="8"/>
      <c r="E490" s="8"/>
      <c r="F490" s="8"/>
      <c r="G490" s="789"/>
      <c r="H490" s="789"/>
      <c r="I490" s="789"/>
      <c r="J490" s="790"/>
      <c r="K490" s="789"/>
      <c r="L490" s="789"/>
      <c r="M490" s="789"/>
      <c r="N490" s="789"/>
      <c r="O490" s="8"/>
      <c r="P490" s="8"/>
      <c r="Q490" s="8"/>
      <c r="R490" s="8"/>
      <c r="S490" s="789"/>
      <c r="T490" s="789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</row>
    <row r="491" spans="1:96" ht="15.75" customHeight="1">
      <c r="A491" s="8"/>
      <c r="B491" s="8"/>
      <c r="C491" s="8"/>
      <c r="D491" s="8"/>
      <c r="E491" s="8"/>
      <c r="F491" s="8"/>
      <c r="G491" s="789"/>
      <c r="H491" s="789"/>
      <c r="I491" s="789"/>
      <c r="J491" s="790"/>
      <c r="K491" s="789"/>
      <c r="L491" s="789"/>
      <c r="M491" s="789"/>
      <c r="N491" s="789"/>
      <c r="O491" s="8"/>
      <c r="P491" s="8"/>
      <c r="Q491" s="8"/>
      <c r="R491" s="8"/>
      <c r="S491" s="789"/>
      <c r="T491" s="789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</row>
    <row r="492" spans="1:96" ht="15.75" customHeight="1">
      <c r="A492" s="8"/>
      <c r="B492" s="8"/>
      <c r="C492" s="8"/>
      <c r="D492" s="8"/>
      <c r="E492" s="8"/>
      <c r="F492" s="8"/>
      <c r="G492" s="789"/>
      <c r="H492" s="789"/>
      <c r="I492" s="789"/>
      <c r="J492" s="790"/>
      <c r="K492" s="789"/>
      <c r="L492" s="789"/>
      <c r="M492" s="789"/>
      <c r="N492" s="789"/>
      <c r="O492" s="8"/>
      <c r="P492" s="8"/>
      <c r="Q492" s="8"/>
      <c r="R492" s="8"/>
      <c r="S492" s="789"/>
      <c r="T492" s="789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</row>
    <row r="493" spans="1:96" ht="15.75" customHeight="1">
      <c r="A493" s="8"/>
      <c r="B493" s="8"/>
      <c r="C493" s="8"/>
      <c r="D493" s="8"/>
      <c r="E493" s="8"/>
      <c r="F493" s="8"/>
      <c r="G493" s="789"/>
      <c r="H493" s="789"/>
      <c r="I493" s="789"/>
      <c r="J493" s="790"/>
      <c r="K493" s="789"/>
      <c r="L493" s="789"/>
      <c r="M493" s="789"/>
      <c r="N493" s="789"/>
      <c r="O493" s="8"/>
      <c r="P493" s="8"/>
      <c r="Q493" s="8"/>
      <c r="R493" s="8"/>
      <c r="S493" s="789"/>
      <c r="T493" s="789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</row>
    <row r="494" spans="1:96" ht="15.75" customHeight="1">
      <c r="A494" s="8"/>
      <c r="B494" s="8"/>
      <c r="C494" s="8"/>
      <c r="D494" s="8"/>
      <c r="E494" s="8"/>
      <c r="F494" s="8"/>
      <c r="G494" s="789"/>
      <c r="H494" s="789"/>
      <c r="I494" s="789"/>
      <c r="J494" s="790"/>
      <c r="K494" s="789"/>
      <c r="L494" s="789"/>
      <c r="M494" s="789"/>
      <c r="N494" s="789"/>
      <c r="O494" s="8"/>
      <c r="P494" s="8"/>
      <c r="Q494" s="8"/>
      <c r="R494" s="8"/>
      <c r="S494" s="789"/>
      <c r="T494" s="789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</row>
    <row r="495" spans="1:96" ht="15.75" customHeight="1">
      <c r="A495" s="8"/>
      <c r="B495" s="8"/>
      <c r="C495" s="8"/>
      <c r="D495" s="8"/>
      <c r="E495" s="8"/>
      <c r="F495" s="8"/>
      <c r="G495" s="789"/>
      <c r="H495" s="789"/>
      <c r="I495" s="789"/>
      <c r="J495" s="790"/>
      <c r="K495" s="789"/>
      <c r="L495" s="789"/>
      <c r="M495" s="789"/>
      <c r="N495" s="789"/>
      <c r="O495" s="8"/>
      <c r="P495" s="8"/>
      <c r="Q495" s="8"/>
      <c r="R495" s="8"/>
      <c r="S495" s="789"/>
      <c r="T495" s="789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</row>
    <row r="496" spans="1:96" ht="15.75" customHeight="1">
      <c r="A496" s="8"/>
      <c r="B496" s="8"/>
      <c r="C496" s="8"/>
      <c r="D496" s="8"/>
      <c r="E496" s="8"/>
      <c r="F496" s="8"/>
      <c r="G496" s="789"/>
      <c r="H496" s="789"/>
      <c r="I496" s="789"/>
      <c r="J496" s="790"/>
      <c r="K496" s="789"/>
      <c r="L496" s="789"/>
      <c r="M496" s="789"/>
      <c r="N496" s="789"/>
      <c r="O496" s="8"/>
      <c r="P496" s="8"/>
      <c r="Q496" s="8"/>
      <c r="R496" s="8"/>
      <c r="S496" s="789"/>
      <c r="T496" s="789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</row>
    <row r="497" spans="1:96" ht="15.75" customHeight="1">
      <c r="A497" s="8"/>
      <c r="B497" s="8"/>
      <c r="C497" s="8"/>
      <c r="D497" s="8"/>
      <c r="E497" s="8"/>
      <c r="F497" s="8"/>
      <c r="G497" s="789"/>
      <c r="H497" s="789"/>
      <c r="I497" s="789"/>
      <c r="J497" s="790"/>
      <c r="K497" s="789"/>
      <c r="L497" s="789"/>
      <c r="M497" s="789"/>
      <c r="N497" s="789"/>
      <c r="O497" s="8"/>
      <c r="P497" s="8"/>
      <c r="Q497" s="8"/>
      <c r="R497" s="8"/>
      <c r="S497" s="789"/>
      <c r="T497" s="789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</row>
    <row r="498" spans="1:96" ht="15.75" customHeight="1">
      <c r="A498" s="8"/>
      <c r="B498" s="8"/>
      <c r="C498" s="8"/>
      <c r="D498" s="8"/>
      <c r="E498" s="8"/>
      <c r="F498" s="8"/>
      <c r="G498" s="789"/>
      <c r="H498" s="789"/>
      <c r="I498" s="789"/>
      <c r="J498" s="790"/>
      <c r="K498" s="789"/>
      <c r="L498" s="789"/>
      <c r="M498" s="789"/>
      <c r="N498" s="789"/>
      <c r="O498" s="8"/>
      <c r="P498" s="8"/>
      <c r="Q498" s="8"/>
      <c r="R498" s="8"/>
      <c r="S498" s="789"/>
      <c r="T498" s="789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</row>
    <row r="499" spans="1:96" ht="15.75" customHeight="1">
      <c r="A499" s="8"/>
      <c r="B499" s="8"/>
      <c r="C499" s="8"/>
      <c r="D499" s="8"/>
      <c r="E499" s="8"/>
      <c r="F499" s="8"/>
      <c r="G499" s="789"/>
      <c r="H499" s="789"/>
      <c r="I499" s="789"/>
      <c r="J499" s="790"/>
      <c r="K499" s="789"/>
      <c r="L499" s="789"/>
      <c r="M499" s="789"/>
      <c r="N499" s="789"/>
      <c r="O499" s="8"/>
      <c r="P499" s="8"/>
      <c r="Q499" s="8"/>
      <c r="R499" s="8"/>
      <c r="S499" s="789"/>
      <c r="T499" s="789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</row>
    <row r="500" spans="1:96" ht="15.75" customHeight="1">
      <c r="A500" s="8"/>
      <c r="B500" s="8"/>
      <c r="C500" s="8"/>
      <c r="D500" s="8"/>
      <c r="E500" s="8"/>
      <c r="F500" s="8"/>
      <c r="G500" s="789"/>
      <c r="H500" s="789"/>
      <c r="I500" s="789"/>
      <c r="J500" s="790"/>
      <c r="K500" s="789"/>
      <c r="L500" s="789"/>
      <c r="M500" s="789"/>
      <c r="N500" s="789"/>
      <c r="O500" s="8"/>
      <c r="P500" s="8"/>
      <c r="Q500" s="8"/>
      <c r="R500" s="8"/>
      <c r="S500" s="789"/>
      <c r="T500" s="789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</row>
    <row r="501" spans="1:96" ht="15.75" customHeight="1">
      <c r="A501" s="8"/>
      <c r="B501" s="8"/>
      <c r="C501" s="8"/>
      <c r="D501" s="8"/>
      <c r="E501" s="8"/>
      <c r="F501" s="8"/>
      <c r="G501" s="789"/>
      <c r="H501" s="789"/>
      <c r="I501" s="789"/>
      <c r="J501" s="790"/>
      <c r="K501" s="789"/>
      <c r="L501" s="789"/>
      <c r="M501" s="789"/>
      <c r="N501" s="789"/>
      <c r="O501" s="8"/>
      <c r="P501" s="8"/>
      <c r="Q501" s="8"/>
      <c r="R501" s="8"/>
      <c r="S501" s="789"/>
      <c r="T501" s="789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</row>
    <row r="502" spans="1:96" ht="15.75" customHeight="1">
      <c r="A502" s="8"/>
      <c r="B502" s="8"/>
      <c r="C502" s="8"/>
      <c r="D502" s="8"/>
      <c r="E502" s="8"/>
      <c r="F502" s="8"/>
      <c r="G502" s="789"/>
      <c r="H502" s="789"/>
      <c r="I502" s="789"/>
      <c r="J502" s="790"/>
      <c r="K502" s="789"/>
      <c r="L502" s="789"/>
      <c r="M502" s="789"/>
      <c r="N502" s="789"/>
      <c r="O502" s="8"/>
      <c r="P502" s="8"/>
      <c r="Q502" s="8"/>
      <c r="R502" s="8"/>
      <c r="S502" s="789"/>
      <c r="T502" s="789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</row>
    <row r="503" spans="1:96" ht="15.75" customHeight="1">
      <c r="A503" s="8"/>
      <c r="B503" s="8"/>
      <c r="C503" s="8"/>
      <c r="D503" s="8"/>
      <c r="E503" s="8"/>
      <c r="F503" s="8"/>
      <c r="G503" s="789"/>
      <c r="H503" s="789"/>
      <c r="I503" s="789"/>
      <c r="J503" s="790"/>
      <c r="K503" s="789"/>
      <c r="L503" s="789"/>
      <c r="M503" s="789"/>
      <c r="N503" s="789"/>
      <c r="O503" s="8"/>
      <c r="P503" s="8"/>
      <c r="Q503" s="8"/>
      <c r="R503" s="8"/>
      <c r="S503" s="789"/>
      <c r="T503" s="789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</row>
    <row r="504" spans="1:96" ht="15.75" customHeight="1">
      <c r="A504" s="8"/>
      <c r="B504" s="8"/>
      <c r="C504" s="8"/>
      <c r="D504" s="8"/>
      <c r="E504" s="8"/>
      <c r="F504" s="8"/>
      <c r="G504" s="789"/>
      <c r="H504" s="789"/>
      <c r="I504" s="789"/>
      <c r="J504" s="790"/>
      <c r="K504" s="789"/>
      <c r="L504" s="789"/>
      <c r="M504" s="789"/>
      <c r="N504" s="789"/>
      <c r="O504" s="8"/>
      <c r="P504" s="8"/>
      <c r="Q504" s="8"/>
      <c r="R504" s="8"/>
      <c r="S504" s="789"/>
      <c r="T504" s="789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</row>
    <row r="505" spans="1:96" ht="15.75" customHeight="1">
      <c r="A505" s="8"/>
      <c r="B505" s="8"/>
      <c r="C505" s="8"/>
      <c r="D505" s="8"/>
      <c r="E505" s="8"/>
      <c r="F505" s="8"/>
      <c r="G505" s="789"/>
      <c r="H505" s="789"/>
      <c r="I505" s="789"/>
      <c r="J505" s="790"/>
      <c r="K505" s="789"/>
      <c r="L505" s="789"/>
      <c r="M505" s="789"/>
      <c r="N505" s="789"/>
      <c r="O505" s="8"/>
      <c r="P505" s="8"/>
      <c r="Q505" s="8"/>
      <c r="R505" s="8"/>
      <c r="S505" s="789"/>
      <c r="T505" s="789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</row>
    <row r="506" spans="1:96" ht="15.75" customHeight="1">
      <c r="A506" s="8"/>
      <c r="B506" s="8"/>
      <c r="C506" s="8"/>
      <c r="D506" s="8"/>
      <c r="E506" s="8"/>
      <c r="F506" s="8"/>
      <c r="G506" s="789"/>
      <c r="H506" s="789"/>
      <c r="I506" s="789"/>
      <c r="J506" s="790"/>
      <c r="K506" s="789"/>
      <c r="L506" s="789"/>
      <c r="M506" s="789"/>
      <c r="N506" s="789"/>
      <c r="O506" s="8"/>
      <c r="P506" s="8"/>
      <c r="Q506" s="8"/>
      <c r="R506" s="8"/>
      <c r="S506" s="789"/>
      <c r="T506" s="789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</row>
    <row r="507" spans="1:96" ht="15.75" customHeight="1">
      <c r="A507" s="8"/>
      <c r="B507" s="8"/>
      <c r="C507" s="8"/>
      <c r="D507" s="8"/>
      <c r="E507" s="8"/>
      <c r="F507" s="8"/>
      <c r="G507" s="789"/>
      <c r="H507" s="789"/>
      <c r="I507" s="789"/>
      <c r="J507" s="790"/>
      <c r="K507" s="789"/>
      <c r="L507" s="789"/>
      <c r="M507" s="789"/>
      <c r="N507" s="789"/>
      <c r="O507" s="8"/>
      <c r="P507" s="8"/>
      <c r="Q507" s="8"/>
      <c r="R507" s="8"/>
      <c r="S507" s="789"/>
      <c r="T507" s="789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</row>
    <row r="508" spans="1:96" ht="15.75" customHeight="1">
      <c r="A508" s="8"/>
      <c r="B508" s="8"/>
      <c r="C508" s="8"/>
      <c r="D508" s="8"/>
      <c r="E508" s="8"/>
      <c r="F508" s="8"/>
      <c r="G508" s="789"/>
      <c r="H508" s="789"/>
      <c r="I508" s="789"/>
      <c r="J508" s="790"/>
      <c r="K508" s="789"/>
      <c r="L508" s="789"/>
      <c r="M508" s="789"/>
      <c r="N508" s="789"/>
      <c r="O508" s="8"/>
      <c r="P508" s="8"/>
      <c r="Q508" s="8"/>
      <c r="R508" s="8"/>
      <c r="S508" s="789"/>
      <c r="T508" s="789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</row>
    <row r="509" spans="1:96" ht="15.75" customHeight="1">
      <c r="A509" s="8"/>
      <c r="B509" s="8"/>
      <c r="C509" s="8"/>
      <c r="D509" s="8"/>
      <c r="E509" s="8"/>
      <c r="F509" s="8"/>
      <c r="G509" s="789"/>
      <c r="H509" s="789"/>
      <c r="I509" s="789"/>
      <c r="J509" s="790"/>
      <c r="K509" s="789"/>
      <c r="L509" s="789"/>
      <c r="M509" s="789"/>
      <c r="N509" s="789"/>
      <c r="O509" s="8"/>
      <c r="P509" s="8"/>
      <c r="Q509" s="8"/>
      <c r="R509" s="8"/>
      <c r="S509" s="789"/>
      <c r="T509" s="789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</row>
    <row r="510" spans="1:96" ht="15.75" customHeight="1">
      <c r="A510" s="8"/>
      <c r="B510" s="8"/>
      <c r="C510" s="8"/>
      <c r="D510" s="8"/>
      <c r="E510" s="8"/>
      <c r="F510" s="8"/>
      <c r="G510" s="789"/>
      <c r="H510" s="789"/>
      <c r="I510" s="789"/>
      <c r="J510" s="790"/>
      <c r="K510" s="789"/>
      <c r="L510" s="789"/>
      <c r="M510" s="789"/>
      <c r="N510" s="789"/>
      <c r="O510" s="8"/>
      <c r="P510" s="8"/>
      <c r="Q510" s="8"/>
      <c r="R510" s="8"/>
      <c r="S510" s="789"/>
      <c r="T510" s="789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</row>
    <row r="511" spans="1:96" ht="15.75" customHeight="1">
      <c r="A511" s="8"/>
      <c r="B511" s="8"/>
      <c r="C511" s="8"/>
      <c r="D511" s="8"/>
      <c r="E511" s="8"/>
      <c r="F511" s="8"/>
      <c r="G511" s="789"/>
      <c r="H511" s="789"/>
      <c r="I511" s="789"/>
      <c r="J511" s="790"/>
      <c r="K511" s="789"/>
      <c r="L511" s="789"/>
      <c r="M511" s="789"/>
      <c r="N511" s="789"/>
      <c r="O511" s="8"/>
      <c r="P511" s="8"/>
      <c r="Q511" s="8"/>
      <c r="R511" s="8"/>
      <c r="S511" s="789"/>
      <c r="T511" s="789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</row>
    <row r="512" spans="1:96" ht="15.75" customHeight="1">
      <c r="A512" s="8"/>
      <c r="B512" s="8"/>
      <c r="C512" s="8"/>
      <c r="D512" s="8"/>
      <c r="E512" s="8"/>
      <c r="F512" s="8"/>
      <c r="G512" s="789"/>
      <c r="H512" s="789"/>
      <c r="I512" s="789"/>
      <c r="J512" s="790"/>
      <c r="K512" s="789"/>
      <c r="L512" s="789"/>
      <c r="M512" s="789"/>
      <c r="N512" s="789"/>
      <c r="O512" s="8"/>
      <c r="P512" s="8"/>
      <c r="Q512" s="8"/>
      <c r="R512" s="8"/>
      <c r="S512" s="789"/>
      <c r="T512" s="789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</row>
    <row r="513" spans="1:96" ht="15.75" customHeight="1">
      <c r="A513" s="8"/>
      <c r="B513" s="8"/>
      <c r="C513" s="8"/>
      <c r="D513" s="8"/>
      <c r="E513" s="8"/>
      <c r="F513" s="8"/>
      <c r="G513" s="789"/>
      <c r="H513" s="789"/>
      <c r="I513" s="789"/>
      <c r="J513" s="790"/>
      <c r="K513" s="789"/>
      <c r="L513" s="789"/>
      <c r="M513" s="789"/>
      <c r="N513" s="789"/>
      <c r="O513" s="8"/>
      <c r="P513" s="8"/>
      <c r="Q513" s="8"/>
      <c r="R513" s="8"/>
      <c r="S513" s="789"/>
      <c r="T513" s="789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</row>
    <row r="514" spans="1:96" ht="15.75" customHeight="1">
      <c r="A514" s="8"/>
      <c r="B514" s="8"/>
      <c r="C514" s="8"/>
      <c r="D514" s="8"/>
      <c r="E514" s="8"/>
      <c r="F514" s="8"/>
      <c r="G514" s="789"/>
      <c r="H514" s="789"/>
      <c r="I514" s="789"/>
      <c r="J514" s="790"/>
      <c r="K514" s="789"/>
      <c r="L514" s="789"/>
      <c r="M514" s="789"/>
      <c r="N514" s="789"/>
      <c r="O514" s="8"/>
      <c r="P514" s="8"/>
      <c r="Q514" s="8"/>
      <c r="R514" s="8"/>
      <c r="S514" s="789"/>
      <c r="T514" s="789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</row>
    <row r="515" spans="1:96" ht="15.75" customHeight="1">
      <c r="A515" s="8"/>
      <c r="B515" s="8"/>
      <c r="C515" s="8"/>
      <c r="D515" s="8"/>
      <c r="E515" s="8"/>
      <c r="F515" s="8"/>
      <c r="G515" s="789"/>
      <c r="H515" s="789"/>
      <c r="I515" s="789"/>
      <c r="J515" s="790"/>
      <c r="K515" s="789"/>
      <c r="L515" s="789"/>
      <c r="M515" s="789"/>
      <c r="N515" s="789"/>
      <c r="O515" s="8"/>
      <c r="P515" s="8"/>
      <c r="Q515" s="8"/>
      <c r="R515" s="8"/>
      <c r="S515" s="789"/>
      <c r="T515" s="789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</row>
    <row r="516" spans="1:96" ht="15.75" customHeight="1">
      <c r="A516" s="8"/>
      <c r="B516" s="8"/>
      <c r="C516" s="8"/>
      <c r="D516" s="8"/>
      <c r="E516" s="8"/>
      <c r="F516" s="8"/>
      <c r="G516" s="789"/>
      <c r="H516" s="789"/>
      <c r="I516" s="789"/>
      <c r="J516" s="790"/>
      <c r="K516" s="789"/>
      <c r="L516" s="789"/>
      <c r="M516" s="789"/>
      <c r="N516" s="789"/>
      <c r="O516" s="8"/>
      <c r="P516" s="8"/>
      <c r="Q516" s="8"/>
      <c r="R516" s="8"/>
      <c r="S516" s="789"/>
      <c r="T516" s="789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</row>
    <row r="517" spans="1:96" ht="15.75" customHeight="1">
      <c r="A517" s="8"/>
      <c r="B517" s="8"/>
      <c r="C517" s="8"/>
      <c r="D517" s="8"/>
      <c r="E517" s="8"/>
      <c r="F517" s="8"/>
      <c r="G517" s="789"/>
      <c r="H517" s="789"/>
      <c r="I517" s="789"/>
      <c r="J517" s="790"/>
      <c r="K517" s="789"/>
      <c r="L517" s="789"/>
      <c r="M517" s="789"/>
      <c r="N517" s="789"/>
      <c r="O517" s="8"/>
      <c r="P517" s="8"/>
      <c r="Q517" s="8"/>
      <c r="R517" s="8"/>
      <c r="S517" s="789"/>
      <c r="T517" s="789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</row>
    <row r="518" spans="1:96" ht="15.75" customHeight="1">
      <c r="A518" s="8"/>
      <c r="B518" s="8"/>
      <c r="C518" s="8"/>
      <c r="D518" s="8"/>
      <c r="E518" s="8"/>
      <c r="F518" s="8"/>
      <c r="G518" s="789"/>
      <c r="H518" s="789"/>
      <c r="I518" s="789"/>
      <c r="J518" s="790"/>
      <c r="K518" s="789"/>
      <c r="L518" s="789"/>
      <c r="M518" s="789"/>
      <c r="N518" s="789"/>
      <c r="O518" s="8"/>
      <c r="P518" s="8"/>
      <c r="Q518" s="8"/>
      <c r="R518" s="8"/>
      <c r="S518" s="789"/>
      <c r="T518" s="789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</row>
    <row r="519" spans="1:96" ht="15.75" customHeight="1">
      <c r="A519" s="8"/>
      <c r="B519" s="8"/>
      <c r="C519" s="8"/>
      <c r="D519" s="8"/>
      <c r="E519" s="8"/>
      <c r="F519" s="8"/>
      <c r="G519" s="789"/>
      <c r="H519" s="789"/>
      <c r="I519" s="789"/>
      <c r="J519" s="790"/>
      <c r="K519" s="789"/>
      <c r="L519" s="789"/>
      <c r="M519" s="789"/>
      <c r="N519" s="789"/>
      <c r="O519" s="8"/>
      <c r="P519" s="8"/>
      <c r="Q519" s="8"/>
      <c r="R519" s="8"/>
      <c r="S519" s="789"/>
      <c r="T519" s="789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</row>
    <row r="520" spans="1:96" ht="15.75" customHeight="1">
      <c r="A520" s="8"/>
      <c r="B520" s="8"/>
      <c r="C520" s="8"/>
      <c r="D520" s="8"/>
      <c r="E520" s="8"/>
      <c r="F520" s="8"/>
      <c r="G520" s="789"/>
      <c r="H520" s="789"/>
      <c r="I520" s="789"/>
      <c r="J520" s="790"/>
      <c r="K520" s="789"/>
      <c r="L520" s="789"/>
      <c r="M520" s="789"/>
      <c r="N520" s="789"/>
      <c r="O520" s="8"/>
      <c r="P520" s="8"/>
      <c r="Q520" s="8"/>
      <c r="R520" s="8"/>
      <c r="S520" s="789"/>
      <c r="T520" s="789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</row>
    <row r="521" spans="1:96" ht="15.75" customHeight="1">
      <c r="A521" s="8"/>
      <c r="B521" s="8"/>
      <c r="C521" s="8"/>
      <c r="D521" s="8"/>
      <c r="E521" s="8"/>
      <c r="F521" s="8"/>
      <c r="G521" s="789"/>
      <c r="H521" s="789"/>
      <c r="I521" s="789"/>
      <c r="J521" s="790"/>
      <c r="K521" s="789"/>
      <c r="L521" s="789"/>
      <c r="M521" s="789"/>
      <c r="N521" s="789"/>
      <c r="O521" s="8"/>
      <c r="P521" s="8"/>
      <c r="Q521" s="8"/>
      <c r="R521" s="8"/>
      <c r="S521" s="789"/>
      <c r="T521" s="789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</row>
    <row r="522" spans="1:96" ht="15.75" customHeight="1">
      <c r="A522" s="8"/>
      <c r="B522" s="8"/>
      <c r="C522" s="8"/>
      <c r="D522" s="8"/>
      <c r="E522" s="8"/>
      <c r="F522" s="8"/>
      <c r="G522" s="789"/>
      <c r="H522" s="789"/>
      <c r="I522" s="789"/>
      <c r="J522" s="790"/>
      <c r="K522" s="789"/>
      <c r="L522" s="789"/>
      <c r="M522" s="789"/>
      <c r="N522" s="789"/>
      <c r="O522" s="8"/>
      <c r="P522" s="8"/>
      <c r="Q522" s="8"/>
      <c r="R522" s="8"/>
      <c r="S522" s="789"/>
      <c r="T522" s="789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</row>
    <row r="523" spans="1:96" ht="15.75" customHeight="1">
      <c r="A523" s="8"/>
      <c r="B523" s="8"/>
      <c r="C523" s="8"/>
      <c r="D523" s="8"/>
      <c r="E523" s="8"/>
      <c r="F523" s="8"/>
      <c r="G523" s="789"/>
      <c r="H523" s="789"/>
      <c r="I523" s="789"/>
      <c r="J523" s="790"/>
      <c r="K523" s="789"/>
      <c r="L523" s="789"/>
      <c r="M523" s="789"/>
      <c r="N523" s="789"/>
      <c r="O523" s="8"/>
      <c r="P523" s="8"/>
      <c r="Q523" s="8"/>
      <c r="R523" s="8"/>
      <c r="S523" s="789"/>
      <c r="T523" s="789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</row>
    <row r="524" spans="1:96" ht="15.75" customHeight="1">
      <c r="A524" s="8"/>
      <c r="B524" s="8"/>
      <c r="C524" s="8"/>
      <c r="D524" s="8"/>
      <c r="E524" s="8"/>
      <c r="F524" s="8"/>
      <c r="G524" s="789"/>
      <c r="H524" s="789"/>
      <c r="I524" s="789"/>
      <c r="J524" s="790"/>
      <c r="K524" s="789"/>
      <c r="L524" s="789"/>
      <c r="M524" s="789"/>
      <c r="N524" s="789"/>
      <c r="O524" s="8"/>
      <c r="P524" s="8"/>
      <c r="Q524" s="8"/>
      <c r="R524" s="8"/>
      <c r="S524" s="789"/>
      <c r="T524" s="789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</row>
    <row r="525" spans="1:96" ht="15.75" customHeight="1">
      <c r="A525" s="8"/>
      <c r="B525" s="8"/>
      <c r="C525" s="8"/>
      <c r="D525" s="8"/>
      <c r="E525" s="8"/>
      <c r="F525" s="8"/>
      <c r="G525" s="789"/>
      <c r="H525" s="789"/>
      <c r="I525" s="789"/>
      <c r="J525" s="790"/>
      <c r="K525" s="789"/>
      <c r="L525" s="789"/>
      <c r="M525" s="789"/>
      <c r="N525" s="789"/>
      <c r="O525" s="8"/>
      <c r="P525" s="8"/>
      <c r="Q525" s="8"/>
      <c r="R525" s="8"/>
      <c r="S525" s="789"/>
      <c r="T525" s="789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</row>
    <row r="526" spans="1:96" ht="15.75" customHeight="1">
      <c r="A526" s="8"/>
      <c r="B526" s="8"/>
      <c r="C526" s="8"/>
      <c r="D526" s="8"/>
      <c r="E526" s="8"/>
      <c r="F526" s="8"/>
      <c r="G526" s="789"/>
      <c r="H526" s="789"/>
      <c r="I526" s="789"/>
      <c r="J526" s="790"/>
      <c r="K526" s="789"/>
      <c r="L526" s="789"/>
      <c r="M526" s="789"/>
      <c r="N526" s="789"/>
      <c r="O526" s="8"/>
      <c r="P526" s="8"/>
      <c r="Q526" s="8"/>
      <c r="R526" s="8"/>
      <c r="S526" s="789"/>
      <c r="T526" s="789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</row>
    <row r="527" spans="1:96" ht="15.75" customHeight="1">
      <c r="A527" s="8"/>
      <c r="B527" s="8"/>
      <c r="C527" s="8"/>
      <c r="D527" s="8"/>
      <c r="E527" s="8"/>
      <c r="F527" s="8"/>
      <c r="G527" s="789"/>
      <c r="H527" s="789"/>
      <c r="I527" s="789"/>
      <c r="J527" s="790"/>
      <c r="K527" s="789"/>
      <c r="L527" s="789"/>
      <c r="M527" s="789"/>
      <c r="N527" s="789"/>
      <c r="O527" s="8"/>
      <c r="P527" s="8"/>
      <c r="Q527" s="8"/>
      <c r="R527" s="8"/>
      <c r="S527" s="789"/>
      <c r="T527" s="789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</row>
    <row r="528" spans="1:96" ht="15.75" customHeight="1">
      <c r="A528" s="8"/>
      <c r="B528" s="8"/>
      <c r="C528" s="8"/>
      <c r="D528" s="8"/>
      <c r="E528" s="8"/>
      <c r="F528" s="8"/>
      <c r="G528" s="789"/>
      <c r="H528" s="789"/>
      <c r="I528" s="789"/>
      <c r="J528" s="790"/>
      <c r="K528" s="789"/>
      <c r="L528" s="789"/>
      <c r="M528" s="789"/>
      <c r="N528" s="789"/>
      <c r="O528" s="8"/>
      <c r="P528" s="8"/>
      <c r="Q528" s="8"/>
      <c r="R528" s="8"/>
      <c r="S528" s="789"/>
      <c r="T528" s="789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</row>
    <row r="529" spans="1:96" ht="15.75" customHeight="1">
      <c r="A529" s="8"/>
      <c r="B529" s="8"/>
      <c r="C529" s="8"/>
      <c r="D529" s="8"/>
      <c r="E529" s="8"/>
      <c r="F529" s="8"/>
      <c r="G529" s="789"/>
      <c r="H529" s="789"/>
      <c r="I529" s="789"/>
      <c r="J529" s="790"/>
      <c r="K529" s="789"/>
      <c r="L529" s="789"/>
      <c r="M529" s="789"/>
      <c r="N529" s="789"/>
      <c r="O529" s="8"/>
      <c r="P529" s="8"/>
      <c r="Q529" s="8"/>
      <c r="R529" s="8"/>
      <c r="S529" s="789"/>
      <c r="T529" s="789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</row>
    <row r="530" spans="1:96" ht="15.75" customHeight="1">
      <c r="A530" s="8"/>
      <c r="B530" s="8"/>
      <c r="C530" s="8"/>
      <c r="D530" s="8"/>
      <c r="E530" s="8"/>
      <c r="F530" s="8"/>
      <c r="G530" s="789"/>
      <c r="H530" s="789"/>
      <c r="I530" s="789"/>
      <c r="J530" s="790"/>
      <c r="K530" s="789"/>
      <c r="L530" s="789"/>
      <c r="M530" s="789"/>
      <c r="N530" s="789"/>
      <c r="O530" s="8"/>
      <c r="P530" s="8"/>
      <c r="Q530" s="8"/>
      <c r="R530" s="8"/>
      <c r="S530" s="789"/>
      <c r="T530" s="789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</row>
    <row r="531" spans="1:96" ht="15.75" customHeight="1">
      <c r="A531" s="8"/>
      <c r="B531" s="8"/>
      <c r="C531" s="8"/>
      <c r="D531" s="8"/>
      <c r="E531" s="8"/>
      <c r="F531" s="8"/>
      <c r="G531" s="789"/>
      <c r="H531" s="789"/>
      <c r="I531" s="789"/>
      <c r="J531" s="790"/>
      <c r="K531" s="789"/>
      <c r="L531" s="789"/>
      <c r="M531" s="789"/>
      <c r="N531" s="789"/>
      <c r="O531" s="8"/>
      <c r="P531" s="8"/>
      <c r="Q531" s="8"/>
      <c r="R531" s="8"/>
      <c r="S531" s="789"/>
      <c r="T531" s="789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</row>
    <row r="532" spans="1:96" ht="15.75" customHeight="1">
      <c r="A532" s="8"/>
      <c r="B532" s="8"/>
      <c r="C532" s="8"/>
      <c r="D532" s="8"/>
      <c r="E532" s="8"/>
      <c r="F532" s="8"/>
      <c r="G532" s="789"/>
      <c r="H532" s="789"/>
      <c r="I532" s="789"/>
      <c r="J532" s="790"/>
      <c r="K532" s="789"/>
      <c r="L532" s="789"/>
      <c r="M532" s="789"/>
      <c r="N532" s="789"/>
      <c r="O532" s="8"/>
      <c r="P532" s="8"/>
      <c r="Q532" s="8"/>
      <c r="R532" s="8"/>
      <c r="S532" s="789"/>
      <c r="T532" s="789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</row>
    <row r="533" spans="1:96" ht="15.75" customHeight="1">
      <c r="A533" s="8"/>
      <c r="B533" s="8"/>
      <c r="C533" s="8"/>
      <c r="D533" s="8"/>
      <c r="E533" s="8"/>
      <c r="F533" s="8"/>
      <c r="G533" s="789"/>
      <c r="H533" s="789"/>
      <c r="I533" s="789"/>
      <c r="J533" s="790"/>
      <c r="K533" s="789"/>
      <c r="L533" s="789"/>
      <c r="M533" s="789"/>
      <c r="N533" s="789"/>
      <c r="O533" s="8"/>
      <c r="P533" s="8"/>
      <c r="Q533" s="8"/>
      <c r="R533" s="8"/>
      <c r="S533" s="789"/>
      <c r="T533" s="789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</row>
    <row r="534" spans="1:96" ht="15.75" customHeight="1">
      <c r="A534" s="8"/>
      <c r="B534" s="8"/>
      <c r="C534" s="8"/>
      <c r="D534" s="8"/>
      <c r="E534" s="8"/>
      <c r="F534" s="8"/>
      <c r="G534" s="789"/>
      <c r="H534" s="789"/>
      <c r="I534" s="789"/>
      <c r="J534" s="790"/>
      <c r="K534" s="789"/>
      <c r="L534" s="789"/>
      <c r="M534" s="789"/>
      <c r="N534" s="789"/>
      <c r="O534" s="8"/>
      <c r="P534" s="8"/>
      <c r="Q534" s="8"/>
      <c r="R534" s="8"/>
      <c r="S534" s="789"/>
      <c r="T534" s="789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</row>
    <row r="535" spans="1:96" ht="15.75" customHeight="1">
      <c r="A535" s="8"/>
      <c r="B535" s="8"/>
      <c r="C535" s="8"/>
      <c r="D535" s="8"/>
      <c r="E535" s="8"/>
      <c r="F535" s="8"/>
      <c r="G535" s="789"/>
      <c r="H535" s="789"/>
      <c r="I535" s="789"/>
      <c r="J535" s="790"/>
      <c r="K535" s="789"/>
      <c r="L535" s="789"/>
      <c r="M535" s="789"/>
      <c r="N535" s="789"/>
      <c r="O535" s="8"/>
      <c r="P535" s="8"/>
      <c r="Q535" s="8"/>
      <c r="R535" s="8"/>
      <c r="S535" s="789"/>
      <c r="T535" s="789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</row>
    <row r="536" spans="1:96" ht="15.75" customHeight="1">
      <c r="A536" s="8"/>
      <c r="B536" s="8"/>
      <c r="C536" s="8"/>
      <c r="D536" s="8"/>
      <c r="E536" s="8"/>
      <c r="F536" s="8"/>
      <c r="G536" s="789"/>
      <c r="H536" s="789"/>
      <c r="I536" s="789"/>
      <c r="J536" s="790"/>
      <c r="K536" s="789"/>
      <c r="L536" s="789"/>
      <c r="M536" s="789"/>
      <c r="N536" s="789"/>
      <c r="O536" s="8"/>
      <c r="P536" s="8"/>
      <c r="Q536" s="8"/>
      <c r="R536" s="8"/>
      <c r="S536" s="789"/>
      <c r="T536" s="789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</row>
    <row r="537" spans="1:96" ht="15.75" customHeight="1">
      <c r="A537" s="8"/>
      <c r="B537" s="8"/>
      <c r="C537" s="8"/>
      <c r="D537" s="8"/>
      <c r="E537" s="8"/>
      <c r="F537" s="8"/>
      <c r="G537" s="789"/>
      <c r="H537" s="789"/>
      <c r="I537" s="789"/>
      <c r="J537" s="790"/>
      <c r="K537" s="789"/>
      <c r="L537" s="789"/>
      <c r="M537" s="789"/>
      <c r="N537" s="789"/>
      <c r="O537" s="8"/>
      <c r="P537" s="8"/>
      <c r="Q537" s="8"/>
      <c r="R537" s="8"/>
      <c r="S537" s="789"/>
      <c r="T537" s="789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</row>
    <row r="538" spans="1:96" ht="15.75" customHeight="1">
      <c r="A538" s="8"/>
      <c r="B538" s="8"/>
      <c r="C538" s="8"/>
      <c r="D538" s="8"/>
      <c r="E538" s="8"/>
      <c r="F538" s="8"/>
      <c r="G538" s="789"/>
      <c r="H538" s="789"/>
      <c r="I538" s="789"/>
      <c r="J538" s="790"/>
      <c r="K538" s="789"/>
      <c r="L538" s="789"/>
      <c r="M538" s="789"/>
      <c r="N538" s="789"/>
      <c r="O538" s="8"/>
      <c r="P538" s="8"/>
      <c r="Q538" s="8"/>
      <c r="R538" s="8"/>
      <c r="S538" s="789"/>
      <c r="T538" s="789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</row>
    <row r="539" spans="1:96" ht="15.75" customHeight="1">
      <c r="A539" s="8"/>
      <c r="B539" s="8"/>
      <c r="C539" s="8"/>
      <c r="D539" s="8"/>
      <c r="E539" s="8"/>
      <c r="F539" s="8"/>
      <c r="G539" s="789"/>
      <c r="H539" s="789"/>
      <c r="I539" s="789"/>
      <c r="J539" s="790"/>
      <c r="K539" s="789"/>
      <c r="L539" s="789"/>
      <c r="M539" s="789"/>
      <c r="N539" s="789"/>
      <c r="O539" s="8"/>
      <c r="P539" s="8"/>
      <c r="Q539" s="8"/>
      <c r="R539" s="8"/>
      <c r="S539" s="789"/>
      <c r="T539" s="789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</row>
    <row r="540" spans="1:96" ht="15.75" customHeight="1">
      <c r="A540" s="8"/>
      <c r="B540" s="8"/>
      <c r="C540" s="8"/>
      <c r="D540" s="8"/>
      <c r="E540" s="8"/>
      <c r="F540" s="8"/>
      <c r="G540" s="789"/>
      <c r="H540" s="789"/>
      <c r="I540" s="789"/>
      <c r="J540" s="790"/>
      <c r="K540" s="789"/>
      <c r="L540" s="789"/>
      <c r="M540" s="789"/>
      <c r="N540" s="789"/>
      <c r="O540" s="8"/>
      <c r="P540" s="8"/>
      <c r="Q540" s="8"/>
      <c r="R540" s="8"/>
      <c r="S540" s="789"/>
      <c r="T540" s="789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</row>
    <row r="541" spans="1:96" ht="15.75" customHeight="1">
      <c r="A541" s="8"/>
      <c r="B541" s="8"/>
      <c r="C541" s="8"/>
      <c r="D541" s="8"/>
      <c r="E541" s="8"/>
      <c r="F541" s="8"/>
      <c r="G541" s="789"/>
      <c r="H541" s="789"/>
      <c r="I541" s="789"/>
      <c r="J541" s="790"/>
      <c r="K541" s="789"/>
      <c r="L541" s="789"/>
      <c r="M541" s="789"/>
      <c r="N541" s="789"/>
      <c r="O541" s="8"/>
      <c r="P541" s="8"/>
      <c r="Q541" s="8"/>
      <c r="R541" s="8"/>
      <c r="S541" s="789"/>
      <c r="T541" s="789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</row>
    <row r="542" spans="1:96" ht="15.75" customHeight="1">
      <c r="A542" s="8"/>
      <c r="B542" s="8"/>
      <c r="C542" s="8"/>
      <c r="D542" s="8"/>
      <c r="E542" s="8"/>
      <c r="F542" s="8"/>
      <c r="G542" s="789"/>
      <c r="H542" s="789"/>
      <c r="I542" s="789"/>
      <c r="J542" s="790"/>
      <c r="K542" s="789"/>
      <c r="L542" s="789"/>
      <c r="M542" s="789"/>
      <c r="N542" s="789"/>
      <c r="O542" s="8"/>
      <c r="P542" s="8"/>
      <c r="Q542" s="8"/>
      <c r="R542" s="8"/>
      <c r="S542" s="789"/>
      <c r="T542" s="789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</row>
    <row r="543" spans="1:96" ht="15.75" customHeight="1">
      <c r="A543" s="8"/>
      <c r="B543" s="8"/>
      <c r="C543" s="8"/>
      <c r="D543" s="8"/>
      <c r="E543" s="8"/>
      <c r="F543" s="8"/>
      <c r="G543" s="789"/>
      <c r="H543" s="789"/>
      <c r="I543" s="789"/>
      <c r="J543" s="790"/>
      <c r="K543" s="789"/>
      <c r="L543" s="789"/>
      <c r="M543" s="789"/>
      <c r="N543" s="789"/>
      <c r="O543" s="8"/>
      <c r="P543" s="8"/>
      <c r="Q543" s="8"/>
      <c r="R543" s="8"/>
      <c r="S543" s="789"/>
      <c r="T543" s="789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</row>
    <row r="544" spans="1:96" ht="15.75" customHeight="1">
      <c r="A544" s="8"/>
      <c r="B544" s="8"/>
      <c r="C544" s="8"/>
      <c r="D544" s="8"/>
      <c r="E544" s="8"/>
      <c r="F544" s="8"/>
      <c r="G544" s="789"/>
      <c r="H544" s="789"/>
      <c r="I544" s="789"/>
      <c r="J544" s="790"/>
      <c r="K544" s="789"/>
      <c r="L544" s="789"/>
      <c r="M544" s="789"/>
      <c r="N544" s="789"/>
      <c r="O544" s="8"/>
      <c r="P544" s="8"/>
      <c r="Q544" s="8"/>
      <c r="R544" s="8"/>
      <c r="S544" s="789"/>
      <c r="T544" s="789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</row>
    <row r="545" spans="1:96" ht="15.75" customHeight="1">
      <c r="A545" s="8"/>
      <c r="B545" s="8"/>
      <c r="C545" s="8"/>
      <c r="D545" s="8"/>
      <c r="E545" s="8"/>
      <c r="F545" s="8"/>
      <c r="G545" s="789"/>
      <c r="H545" s="789"/>
      <c r="I545" s="789"/>
      <c r="J545" s="790"/>
      <c r="K545" s="789"/>
      <c r="L545" s="789"/>
      <c r="M545" s="789"/>
      <c r="N545" s="789"/>
      <c r="O545" s="8"/>
      <c r="P545" s="8"/>
      <c r="Q545" s="8"/>
      <c r="R545" s="8"/>
      <c r="S545" s="789"/>
      <c r="T545" s="789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</row>
    <row r="546" spans="1:96" ht="15.75" customHeight="1">
      <c r="A546" s="8"/>
      <c r="B546" s="8"/>
      <c r="C546" s="8"/>
      <c r="D546" s="8"/>
      <c r="E546" s="8"/>
      <c r="F546" s="8"/>
      <c r="G546" s="789"/>
      <c r="H546" s="789"/>
      <c r="I546" s="789"/>
      <c r="J546" s="790"/>
      <c r="K546" s="789"/>
      <c r="L546" s="789"/>
      <c r="M546" s="789"/>
      <c r="N546" s="789"/>
      <c r="O546" s="8"/>
      <c r="P546" s="8"/>
      <c r="Q546" s="8"/>
      <c r="R546" s="8"/>
      <c r="S546" s="789"/>
      <c r="T546" s="789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</row>
    <row r="547" spans="1:96" ht="15.75" customHeight="1">
      <c r="A547" s="8"/>
      <c r="B547" s="8"/>
      <c r="C547" s="8"/>
      <c r="D547" s="8"/>
      <c r="E547" s="8"/>
      <c r="F547" s="8"/>
      <c r="G547" s="789"/>
      <c r="H547" s="789"/>
      <c r="I547" s="789"/>
      <c r="J547" s="790"/>
      <c r="K547" s="789"/>
      <c r="L547" s="789"/>
      <c r="M547" s="789"/>
      <c r="N547" s="789"/>
      <c r="O547" s="8"/>
      <c r="P547" s="8"/>
      <c r="Q547" s="8"/>
      <c r="R547" s="8"/>
      <c r="S547" s="789"/>
      <c r="T547" s="789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</row>
    <row r="548" spans="1:96" ht="15.75" customHeight="1">
      <c r="A548" s="8"/>
      <c r="B548" s="8"/>
      <c r="C548" s="8"/>
      <c r="D548" s="8"/>
      <c r="E548" s="8"/>
      <c r="F548" s="8"/>
      <c r="G548" s="789"/>
      <c r="H548" s="789"/>
      <c r="I548" s="789"/>
      <c r="J548" s="790"/>
      <c r="K548" s="789"/>
      <c r="L548" s="789"/>
      <c r="M548" s="789"/>
      <c r="N548" s="789"/>
      <c r="O548" s="8"/>
      <c r="P548" s="8"/>
      <c r="Q548" s="8"/>
      <c r="R548" s="8"/>
      <c r="S548" s="789"/>
      <c r="T548" s="789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</row>
    <row r="549" spans="1:96" ht="15.75" customHeight="1">
      <c r="A549" s="8"/>
      <c r="B549" s="8"/>
      <c r="C549" s="8"/>
      <c r="D549" s="8"/>
      <c r="E549" s="8"/>
      <c r="F549" s="8"/>
      <c r="G549" s="789"/>
      <c r="H549" s="789"/>
      <c r="I549" s="789"/>
      <c r="J549" s="790"/>
      <c r="K549" s="789"/>
      <c r="L549" s="789"/>
      <c r="M549" s="789"/>
      <c r="N549" s="789"/>
      <c r="O549" s="8"/>
      <c r="P549" s="8"/>
      <c r="Q549" s="8"/>
      <c r="R549" s="8"/>
      <c r="S549" s="789"/>
      <c r="T549" s="789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</row>
    <row r="550" spans="1:96" ht="15.75" customHeight="1">
      <c r="A550" s="8"/>
      <c r="B550" s="8"/>
      <c r="C550" s="8"/>
      <c r="D550" s="8"/>
      <c r="E550" s="8"/>
      <c r="F550" s="8"/>
      <c r="G550" s="789"/>
      <c r="H550" s="789"/>
      <c r="I550" s="789"/>
      <c r="J550" s="790"/>
      <c r="K550" s="789"/>
      <c r="L550" s="789"/>
      <c r="M550" s="789"/>
      <c r="N550" s="789"/>
      <c r="O550" s="8"/>
      <c r="P550" s="8"/>
      <c r="Q550" s="8"/>
      <c r="R550" s="8"/>
      <c r="S550" s="789"/>
      <c r="T550" s="789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</row>
    <row r="551" spans="1:96" ht="15.75" customHeight="1">
      <c r="A551" s="8"/>
      <c r="B551" s="8"/>
      <c r="C551" s="8"/>
      <c r="D551" s="8"/>
      <c r="E551" s="8"/>
      <c r="F551" s="8"/>
      <c r="G551" s="789"/>
      <c r="H551" s="789"/>
      <c r="I551" s="789"/>
      <c r="J551" s="790"/>
      <c r="K551" s="789"/>
      <c r="L551" s="789"/>
      <c r="M551" s="789"/>
      <c r="N551" s="789"/>
      <c r="O551" s="8"/>
      <c r="P551" s="8"/>
      <c r="Q551" s="8"/>
      <c r="R551" s="8"/>
      <c r="S551" s="789"/>
      <c r="T551" s="789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</row>
    <row r="552" spans="1:96" ht="15.75" customHeight="1">
      <c r="A552" s="8"/>
      <c r="B552" s="8"/>
      <c r="C552" s="8"/>
      <c r="D552" s="8"/>
      <c r="E552" s="8"/>
      <c r="F552" s="8"/>
      <c r="G552" s="789"/>
      <c r="H552" s="789"/>
      <c r="I552" s="789"/>
      <c r="J552" s="790"/>
      <c r="K552" s="789"/>
      <c r="L552" s="789"/>
      <c r="M552" s="789"/>
      <c r="N552" s="789"/>
      <c r="O552" s="8"/>
      <c r="P552" s="8"/>
      <c r="Q552" s="8"/>
      <c r="R552" s="8"/>
      <c r="S552" s="789"/>
      <c r="T552" s="789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</row>
    <row r="553" spans="1:96" ht="15.75" customHeight="1">
      <c r="A553" s="8"/>
      <c r="B553" s="8"/>
      <c r="C553" s="8"/>
      <c r="D553" s="8"/>
      <c r="E553" s="8"/>
      <c r="F553" s="8"/>
      <c r="G553" s="789"/>
      <c r="H553" s="789"/>
      <c r="I553" s="789"/>
      <c r="J553" s="790"/>
      <c r="K553" s="789"/>
      <c r="L553" s="789"/>
      <c r="M553" s="789"/>
      <c r="N553" s="789"/>
      <c r="O553" s="8"/>
      <c r="P553" s="8"/>
      <c r="Q553" s="8"/>
      <c r="R553" s="8"/>
      <c r="S553" s="789"/>
      <c r="T553" s="789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</row>
    <row r="554" spans="1:96" ht="15.75" customHeight="1">
      <c r="A554" s="8"/>
      <c r="B554" s="8"/>
      <c r="C554" s="8"/>
      <c r="D554" s="8"/>
      <c r="E554" s="8"/>
      <c r="F554" s="8"/>
      <c r="G554" s="789"/>
      <c r="H554" s="789"/>
      <c r="I554" s="789"/>
      <c r="J554" s="790"/>
      <c r="K554" s="789"/>
      <c r="L554" s="789"/>
      <c r="M554" s="789"/>
      <c r="N554" s="789"/>
      <c r="O554" s="8"/>
      <c r="P554" s="8"/>
      <c r="Q554" s="8"/>
      <c r="R554" s="8"/>
      <c r="S554" s="789"/>
      <c r="T554" s="789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</row>
    <row r="555" spans="1:96" ht="15.75" customHeight="1">
      <c r="A555" s="8"/>
      <c r="B555" s="8"/>
      <c r="C555" s="8"/>
      <c r="D555" s="8"/>
      <c r="E555" s="8"/>
      <c r="F555" s="8"/>
      <c r="G555" s="789"/>
      <c r="H555" s="789"/>
      <c r="I555" s="789"/>
      <c r="J555" s="790"/>
      <c r="K555" s="789"/>
      <c r="L555" s="789"/>
      <c r="M555" s="789"/>
      <c r="N555" s="789"/>
      <c r="O555" s="8"/>
      <c r="P555" s="8"/>
      <c r="Q555" s="8"/>
      <c r="R555" s="8"/>
      <c r="S555" s="789"/>
      <c r="T555" s="789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</row>
    <row r="556" spans="1:96" ht="15.75" customHeight="1">
      <c r="A556" s="8"/>
      <c r="B556" s="8"/>
      <c r="C556" s="8"/>
      <c r="D556" s="8"/>
      <c r="E556" s="8"/>
      <c r="F556" s="8"/>
      <c r="G556" s="789"/>
      <c r="H556" s="789"/>
      <c r="I556" s="789"/>
      <c r="J556" s="790"/>
      <c r="K556" s="789"/>
      <c r="L556" s="789"/>
      <c r="M556" s="789"/>
      <c r="N556" s="789"/>
      <c r="O556" s="8"/>
      <c r="P556" s="8"/>
      <c r="Q556" s="8"/>
      <c r="R556" s="8"/>
      <c r="S556" s="789"/>
      <c r="T556" s="789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</row>
    <row r="557" spans="1:96" ht="15.75" customHeight="1">
      <c r="A557" s="8"/>
      <c r="B557" s="8"/>
      <c r="C557" s="8"/>
      <c r="D557" s="8"/>
      <c r="E557" s="8"/>
      <c r="F557" s="8"/>
      <c r="G557" s="789"/>
      <c r="H557" s="789"/>
      <c r="I557" s="789"/>
      <c r="J557" s="790"/>
      <c r="K557" s="789"/>
      <c r="L557" s="789"/>
      <c r="M557" s="789"/>
      <c r="N557" s="789"/>
      <c r="O557" s="8"/>
      <c r="P557" s="8"/>
      <c r="Q557" s="8"/>
      <c r="R557" s="8"/>
      <c r="S557" s="789"/>
      <c r="T557" s="789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</row>
    <row r="558" spans="1:96" ht="15.75" customHeight="1">
      <c r="A558" s="8"/>
      <c r="B558" s="8"/>
      <c r="C558" s="8"/>
      <c r="D558" s="8"/>
      <c r="E558" s="8"/>
      <c r="F558" s="8"/>
      <c r="G558" s="789"/>
      <c r="H558" s="789"/>
      <c r="I558" s="789"/>
      <c r="J558" s="790"/>
      <c r="K558" s="789"/>
      <c r="L558" s="789"/>
      <c r="M558" s="789"/>
      <c r="N558" s="789"/>
      <c r="O558" s="8"/>
      <c r="P558" s="8"/>
      <c r="Q558" s="8"/>
      <c r="R558" s="8"/>
      <c r="S558" s="789"/>
      <c r="T558" s="789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</row>
    <row r="559" spans="1:96" ht="15.75" customHeight="1">
      <c r="A559" s="8"/>
      <c r="B559" s="8"/>
      <c r="C559" s="8"/>
      <c r="D559" s="8"/>
      <c r="E559" s="8"/>
      <c r="F559" s="8"/>
      <c r="G559" s="789"/>
      <c r="H559" s="789"/>
      <c r="I559" s="789"/>
      <c r="J559" s="790"/>
      <c r="K559" s="789"/>
      <c r="L559" s="789"/>
      <c r="M559" s="789"/>
      <c r="N559" s="789"/>
      <c r="O559" s="8"/>
      <c r="P559" s="8"/>
      <c r="Q559" s="8"/>
      <c r="R559" s="8"/>
      <c r="S559" s="789"/>
      <c r="T559" s="789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</row>
    <row r="560" spans="1:96" ht="15.75" customHeight="1">
      <c r="A560" s="8"/>
      <c r="B560" s="8"/>
      <c r="C560" s="8"/>
      <c r="D560" s="8"/>
      <c r="E560" s="8"/>
      <c r="F560" s="8"/>
      <c r="G560" s="789"/>
      <c r="H560" s="789"/>
      <c r="I560" s="789"/>
      <c r="J560" s="790"/>
      <c r="K560" s="789"/>
      <c r="L560" s="789"/>
      <c r="M560" s="789"/>
      <c r="N560" s="789"/>
      <c r="O560" s="8"/>
      <c r="P560" s="8"/>
      <c r="Q560" s="8"/>
      <c r="R560" s="8"/>
      <c r="S560" s="789"/>
      <c r="T560" s="789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</row>
    <row r="561" spans="1:96" ht="15.75" customHeight="1">
      <c r="A561" s="8"/>
      <c r="B561" s="8"/>
      <c r="C561" s="8"/>
      <c r="D561" s="8"/>
      <c r="E561" s="8"/>
      <c r="F561" s="8"/>
      <c r="G561" s="789"/>
      <c r="H561" s="789"/>
      <c r="I561" s="789"/>
      <c r="J561" s="790"/>
      <c r="K561" s="789"/>
      <c r="L561" s="789"/>
      <c r="M561" s="789"/>
      <c r="N561" s="789"/>
      <c r="O561" s="8"/>
      <c r="P561" s="8"/>
      <c r="Q561" s="8"/>
      <c r="R561" s="8"/>
      <c r="S561" s="789"/>
      <c r="T561" s="789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</row>
    <row r="562" spans="1:96" ht="15.75" customHeight="1">
      <c r="A562" s="8"/>
      <c r="B562" s="8"/>
      <c r="C562" s="8"/>
      <c r="D562" s="8"/>
      <c r="E562" s="8"/>
      <c r="F562" s="8"/>
      <c r="G562" s="789"/>
      <c r="H562" s="789"/>
      <c r="I562" s="789"/>
      <c r="J562" s="790"/>
      <c r="K562" s="789"/>
      <c r="L562" s="789"/>
      <c r="M562" s="789"/>
      <c r="N562" s="789"/>
      <c r="O562" s="8"/>
      <c r="P562" s="8"/>
      <c r="Q562" s="8"/>
      <c r="R562" s="8"/>
      <c r="S562" s="789"/>
      <c r="T562" s="789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</row>
    <row r="563" spans="1:96" ht="15.75" customHeight="1">
      <c r="A563" s="8"/>
      <c r="B563" s="8"/>
      <c r="C563" s="8"/>
      <c r="D563" s="8"/>
      <c r="E563" s="8"/>
      <c r="F563" s="8"/>
      <c r="G563" s="789"/>
      <c r="H563" s="789"/>
      <c r="I563" s="789"/>
      <c r="J563" s="790"/>
      <c r="K563" s="789"/>
      <c r="L563" s="789"/>
      <c r="M563" s="789"/>
      <c r="N563" s="789"/>
      <c r="O563" s="8"/>
      <c r="P563" s="8"/>
      <c r="Q563" s="8"/>
      <c r="R563" s="8"/>
      <c r="S563" s="789"/>
      <c r="T563" s="789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</row>
    <row r="564" spans="1:96" ht="15.75" customHeight="1">
      <c r="A564" s="8"/>
      <c r="B564" s="8"/>
      <c r="C564" s="8"/>
      <c r="D564" s="8"/>
      <c r="E564" s="8"/>
      <c r="F564" s="8"/>
      <c r="G564" s="789"/>
      <c r="H564" s="789"/>
      <c r="I564" s="789"/>
      <c r="J564" s="790"/>
      <c r="K564" s="789"/>
      <c r="L564" s="789"/>
      <c r="M564" s="789"/>
      <c r="N564" s="789"/>
      <c r="O564" s="8"/>
      <c r="P564" s="8"/>
      <c r="Q564" s="8"/>
      <c r="R564" s="8"/>
      <c r="S564" s="789"/>
      <c r="T564" s="789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</row>
    <row r="565" spans="1:96" ht="15.75" customHeight="1">
      <c r="A565" s="8"/>
      <c r="B565" s="8"/>
      <c r="C565" s="8"/>
      <c r="D565" s="8"/>
      <c r="E565" s="8"/>
      <c r="F565" s="8"/>
      <c r="G565" s="789"/>
      <c r="H565" s="789"/>
      <c r="I565" s="789"/>
      <c r="J565" s="790"/>
      <c r="K565" s="789"/>
      <c r="L565" s="789"/>
      <c r="M565" s="789"/>
      <c r="N565" s="789"/>
      <c r="O565" s="8"/>
      <c r="P565" s="8"/>
      <c r="Q565" s="8"/>
      <c r="R565" s="8"/>
      <c r="S565" s="789"/>
      <c r="T565" s="789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</row>
    <row r="566" spans="1:96" ht="15.75" customHeight="1">
      <c r="A566" s="8"/>
      <c r="B566" s="8"/>
      <c r="C566" s="8"/>
      <c r="D566" s="8"/>
      <c r="E566" s="8"/>
      <c r="F566" s="8"/>
      <c r="G566" s="789"/>
      <c r="H566" s="789"/>
      <c r="I566" s="789"/>
      <c r="J566" s="790"/>
      <c r="K566" s="789"/>
      <c r="L566" s="789"/>
      <c r="M566" s="789"/>
      <c r="N566" s="789"/>
      <c r="O566" s="8"/>
      <c r="P566" s="8"/>
      <c r="Q566" s="8"/>
      <c r="R566" s="8"/>
      <c r="S566" s="789"/>
      <c r="T566" s="789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</row>
    <row r="567" spans="1:96" ht="15.75" customHeight="1">
      <c r="A567" s="8"/>
      <c r="B567" s="8"/>
      <c r="C567" s="8"/>
      <c r="D567" s="8"/>
      <c r="E567" s="8"/>
      <c r="F567" s="8"/>
      <c r="G567" s="789"/>
      <c r="H567" s="789"/>
      <c r="I567" s="789"/>
      <c r="J567" s="790"/>
      <c r="K567" s="789"/>
      <c r="L567" s="789"/>
      <c r="M567" s="789"/>
      <c r="N567" s="789"/>
      <c r="O567" s="8"/>
      <c r="P567" s="8"/>
      <c r="Q567" s="8"/>
      <c r="R567" s="8"/>
      <c r="S567" s="789"/>
      <c r="T567" s="789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</row>
    <row r="568" spans="1:96" ht="15.75" customHeight="1">
      <c r="A568" s="8"/>
      <c r="B568" s="8"/>
      <c r="C568" s="8"/>
      <c r="D568" s="8"/>
      <c r="E568" s="8"/>
      <c r="F568" s="8"/>
      <c r="G568" s="789"/>
      <c r="H568" s="789"/>
      <c r="I568" s="789"/>
      <c r="J568" s="790"/>
      <c r="K568" s="789"/>
      <c r="L568" s="789"/>
      <c r="M568" s="789"/>
      <c r="N568" s="789"/>
      <c r="O568" s="8"/>
      <c r="P568" s="8"/>
      <c r="Q568" s="8"/>
      <c r="R568" s="8"/>
      <c r="S568" s="789"/>
      <c r="T568" s="789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</row>
    <row r="569" spans="1:96" ht="15.75" customHeight="1">
      <c r="A569" s="8"/>
      <c r="B569" s="8"/>
      <c r="C569" s="8"/>
      <c r="D569" s="8"/>
      <c r="E569" s="8"/>
      <c r="F569" s="8"/>
      <c r="G569" s="789"/>
      <c r="H569" s="789"/>
      <c r="I569" s="789"/>
      <c r="J569" s="790"/>
      <c r="K569" s="789"/>
      <c r="L569" s="789"/>
      <c r="M569" s="789"/>
      <c r="N569" s="789"/>
      <c r="O569" s="8"/>
      <c r="P569" s="8"/>
      <c r="Q569" s="8"/>
      <c r="R569" s="8"/>
      <c r="S569" s="789"/>
      <c r="T569" s="789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</row>
    <row r="570" spans="1:96" ht="15.75" customHeight="1">
      <c r="A570" s="8"/>
      <c r="B570" s="8"/>
      <c r="C570" s="8"/>
      <c r="D570" s="8"/>
      <c r="E570" s="8"/>
      <c r="F570" s="8"/>
      <c r="G570" s="789"/>
      <c r="H570" s="789"/>
      <c r="I570" s="789"/>
      <c r="J570" s="790"/>
      <c r="K570" s="789"/>
      <c r="L570" s="789"/>
      <c r="M570" s="789"/>
      <c r="N570" s="789"/>
      <c r="O570" s="8"/>
      <c r="P570" s="8"/>
      <c r="Q570" s="8"/>
      <c r="R570" s="8"/>
      <c r="S570" s="789"/>
      <c r="T570" s="789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</row>
    <row r="571" spans="1:96" ht="15.75" customHeight="1">
      <c r="A571" s="8"/>
      <c r="B571" s="8"/>
      <c r="C571" s="8"/>
      <c r="D571" s="8"/>
      <c r="E571" s="8"/>
      <c r="F571" s="8"/>
      <c r="G571" s="789"/>
      <c r="H571" s="789"/>
      <c r="I571" s="789"/>
      <c r="J571" s="790"/>
      <c r="K571" s="789"/>
      <c r="L571" s="789"/>
      <c r="M571" s="789"/>
      <c r="N571" s="789"/>
      <c r="O571" s="8"/>
      <c r="P571" s="8"/>
      <c r="Q571" s="8"/>
      <c r="R571" s="8"/>
      <c r="S571" s="789"/>
      <c r="T571" s="789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</row>
    <row r="572" spans="1:96" ht="15.75" customHeight="1">
      <c r="A572" s="8"/>
      <c r="B572" s="8"/>
      <c r="C572" s="8"/>
      <c r="D572" s="8"/>
      <c r="E572" s="8"/>
      <c r="F572" s="8"/>
      <c r="G572" s="789"/>
      <c r="H572" s="789"/>
      <c r="I572" s="789"/>
      <c r="J572" s="790"/>
      <c r="K572" s="789"/>
      <c r="L572" s="789"/>
      <c r="M572" s="789"/>
      <c r="N572" s="789"/>
      <c r="O572" s="8"/>
      <c r="P572" s="8"/>
      <c r="Q572" s="8"/>
      <c r="R572" s="8"/>
      <c r="S572" s="789"/>
      <c r="T572" s="789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</row>
    <row r="573" spans="1:96" ht="15.75" customHeight="1">
      <c r="A573" s="8"/>
      <c r="B573" s="8"/>
      <c r="C573" s="8"/>
      <c r="D573" s="8"/>
      <c r="E573" s="8"/>
      <c r="F573" s="8"/>
      <c r="G573" s="789"/>
      <c r="H573" s="789"/>
      <c r="I573" s="789"/>
      <c r="J573" s="790"/>
      <c r="K573" s="789"/>
      <c r="L573" s="789"/>
      <c r="M573" s="789"/>
      <c r="N573" s="789"/>
      <c r="O573" s="8"/>
      <c r="P573" s="8"/>
      <c r="Q573" s="8"/>
      <c r="R573" s="8"/>
      <c r="S573" s="789"/>
      <c r="T573" s="789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</row>
    <row r="574" spans="1:96" ht="15.75" customHeight="1">
      <c r="A574" s="8"/>
      <c r="B574" s="8"/>
      <c r="C574" s="8"/>
      <c r="D574" s="8"/>
      <c r="E574" s="8"/>
      <c r="F574" s="8"/>
      <c r="G574" s="789"/>
      <c r="H574" s="789"/>
      <c r="I574" s="789"/>
      <c r="J574" s="790"/>
      <c r="K574" s="789"/>
      <c r="L574" s="789"/>
      <c r="M574" s="789"/>
      <c r="N574" s="789"/>
      <c r="O574" s="8"/>
      <c r="P574" s="8"/>
      <c r="Q574" s="8"/>
      <c r="R574" s="8"/>
      <c r="S574" s="789"/>
      <c r="T574" s="789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</row>
    <row r="575" spans="1:96" ht="15.75" customHeight="1">
      <c r="A575" s="8"/>
      <c r="B575" s="8"/>
      <c r="C575" s="8"/>
      <c r="D575" s="8"/>
      <c r="E575" s="8"/>
      <c r="F575" s="8"/>
      <c r="G575" s="789"/>
      <c r="H575" s="789"/>
      <c r="I575" s="789"/>
      <c r="J575" s="790"/>
      <c r="K575" s="789"/>
      <c r="L575" s="789"/>
      <c r="M575" s="789"/>
      <c r="N575" s="789"/>
      <c r="O575" s="8"/>
      <c r="P575" s="8"/>
      <c r="Q575" s="8"/>
      <c r="R575" s="8"/>
      <c r="S575" s="789"/>
      <c r="T575" s="789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</row>
    <row r="576" spans="1:96" ht="15.75" customHeight="1">
      <c r="A576" s="8"/>
      <c r="B576" s="8"/>
      <c r="C576" s="8"/>
      <c r="D576" s="8"/>
      <c r="E576" s="8"/>
      <c r="F576" s="8"/>
      <c r="G576" s="789"/>
      <c r="H576" s="789"/>
      <c r="I576" s="789"/>
      <c r="J576" s="790"/>
      <c r="K576" s="789"/>
      <c r="L576" s="789"/>
      <c r="M576" s="789"/>
      <c r="N576" s="789"/>
      <c r="O576" s="8"/>
      <c r="P576" s="8"/>
      <c r="Q576" s="8"/>
      <c r="R576" s="8"/>
      <c r="S576" s="789"/>
      <c r="T576" s="789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</row>
    <row r="577" spans="1:96" ht="15.75" customHeight="1">
      <c r="A577" s="8"/>
      <c r="B577" s="8"/>
      <c r="C577" s="8"/>
      <c r="D577" s="8"/>
      <c r="E577" s="8"/>
      <c r="F577" s="8"/>
      <c r="G577" s="789"/>
      <c r="H577" s="789"/>
      <c r="I577" s="789"/>
      <c r="J577" s="790"/>
      <c r="K577" s="789"/>
      <c r="L577" s="789"/>
      <c r="M577" s="789"/>
      <c r="N577" s="789"/>
      <c r="O577" s="8"/>
      <c r="P577" s="8"/>
      <c r="Q577" s="8"/>
      <c r="R577" s="8"/>
      <c r="S577" s="789"/>
      <c r="T577" s="789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</row>
    <row r="578" spans="1:96" ht="15.75" customHeight="1">
      <c r="A578" s="8"/>
      <c r="B578" s="8"/>
      <c r="C578" s="8"/>
      <c r="D578" s="8"/>
      <c r="E578" s="8"/>
      <c r="F578" s="8"/>
      <c r="G578" s="789"/>
      <c r="H578" s="789"/>
      <c r="I578" s="789"/>
      <c r="J578" s="790"/>
      <c r="K578" s="789"/>
      <c r="L578" s="789"/>
      <c r="M578" s="789"/>
      <c r="N578" s="789"/>
      <c r="O578" s="8"/>
      <c r="P578" s="8"/>
      <c r="Q578" s="8"/>
      <c r="R578" s="8"/>
      <c r="S578" s="789"/>
      <c r="T578" s="789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</row>
    <row r="579" spans="1:96" ht="15.75" customHeight="1">
      <c r="A579" s="8"/>
      <c r="B579" s="8"/>
      <c r="C579" s="8"/>
      <c r="D579" s="8"/>
      <c r="E579" s="8"/>
      <c r="F579" s="8"/>
      <c r="G579" s="789"/>
      <c r="H579" s="789"/>
      <c r="I579" s="789"/>
      <c r="J579" s="790"/>
      <c r="K579" s="789"/>
      <c r="L579" s="789"/>
      <c r="M579" s="789"/>
      <c r="N579" s="789"/>
      <c r="O579" s="8"/>
      <c r="P579" s="8"/>
      <c r="Q579" s="8"/>
      <c r="R579" s="8"/>
      <c r="S579" s="789"/>
      <c r="T579" s="789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</row>
    <row r="580" spans="1:96" ht="15.75" customHeight="1">
      <c r="A580" s="8"/>
      <c r="B580" s="8"/>
      <c r="C580" s="8"/>
      <c r="D580" s="8"/>
      <c r="E580" s="8"/>
      <c r="F580" s="8"/>
      <c r="G580" s="789"/>
      <c r="H580" s="789"/>
      <c r="I580" s="789"/>
      <c r="J580" s="790"/>
      <c r="K580" s="789"/>
      <c r="L580" s="789"/>
      <c r="M580" s="789"/>
      <c r="N580" s="789"/>
      <c r="O580" s="8"/>
      <c r="P580" s="8"/>
      <c r="Q580" s="8"/>
      <c r="R580" s="8"/>
      <c r="S580" s="789"/>
      <c r="T580" s="789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</row>
    <row r="581" spans="1:96" ht="15.75" customHeight="1">
      <c r="A581" s="8"/>
      <c r="B581" s="8"/>
      <c r="C581" s="8"/>
      <c r="D581" s="8"/>
      <c r="E581" s="8"/>
      <c r="F581" s="8"/>
      <c r="G581" s="789"/>
      <c r="H581" s="789"/>
      <c r="I581" s="789"/>
      <c r="J581" s="790"/>
      <c r="K581" s="789"/>
      <c r="L581" s="789"/>
      <c r="M581" s="789"/>
      <c r="N581" s="789"/>
      <c r="O581" s="8"/>
      <c r="P581" s="8"/>
      <c r="Q581" s="8"/>
      <c r="R581" s="8"/>
      <c r="S581" s="789"/>
      <c r="T581" s="789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</row>
    <row r="582" spans="1:96" ht="15.75" customHeight="1">
      <c r="A582" s="8"/>
      <c r="B582" s="8"/>
      <c r="C582" s="8"/>
      <c r="D582" s="8"/>
      <c r="E582" s="8"/>
      <c r="F582" s="8"/>
      <c r="G582" s="789"/>
      <c r="H582" s="789"/>
      <c r="I582" s="789"/>
      <c r="J582" s="790"/>
      <c r="K582" s="789"/>
      <c r="L582" s="789"/>
      <c r="M582" s="789"/>
      <c r="N582" s="789"/>
      <c r="O582" s="8"/>
      <c r="P582" s="8"/>
      <c r="Q582" s="8"/>
      <c r="R582" s="8"/>
      <c r="S582" s="789"/>
      <c r="T582" s="789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</row>
    <row r="583" spans="1:96" ht="15.75" customHeight="1">
      <c r="A583" s="8"/>
      <c r="B583" s="8"/>
      <c r="C583" s="8"/>
      <c r="D583" s="8"/>
      <c r="E583" s="8"/>
      <c r="F583" s="8"/>
      <c r="G583" s="789"/>
      <c r="H583" s="789"/>
      <c r="I583" s="789"/>
      <c r="J583" s="790"/>
      <c r="K583" s="789"/>
      <c r="L583" s="789"/>
      <c r="M583" s="789"/>
      <c r="N583" s="789"/>
      <c r="O583" s="8"/>
      <c r="P583" s="8"/>
      <c r="Q583" s="8"/>
      <c r="R583" s="8"/>
      <c r="S583" s="789"/>
      <c r="T583" s="789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</row>
    <row r="584" spans="1:96" ht="15.75" customHeight="1">
      <c r="A584" s="8"/>
      <c r="B584" s="8"/>
      <c r="C584" s="8"/>
      <c r="D584" s="8"/>
      <c r="E584" s="8"/>
      <c r="F584" s="8"/>
      <c r="G584" s="789"/>
      <c r="H584" s="789"/>
      <c r="I584" s="789"/>
      <c r="J584" s="790"/>
      <c r="K584" s="789"/>
      <c r="L584" s="789"/>
      <c r="M584" s="789"/>
      <c r="N584" s="789"/>
      <c r="O584" s="8"/>
      <c r="P584" s="8"/>
      <c r="Q584" s="8"/>
      <c r="R584" s="8"/>
      <c r="S584" s="789"/>
      <c r="T584" s="789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</row>
    <row r="585" spans="1:96" ht="15.75" customHeight="1">
      <c r="A585" s="8"/>
      <c r="B585" s="8"/>
      <c r="C585" s="8"/>
      <c r="D585" s="8"/>
      <c r="E585" s="8"/>
      <c r="F585" s="8"/>
      <c r="G585" s="789"/>
      <c r="H585" s="789"/>
      <c r="I585" s="789"/>
      <c r="J585" s="790"/>
      <c r="K585" s="789"/>
      <c r="L585" s="789"/>
      <c r="M585" s="789"/>
      <c r="N585" s="789"/>
      <c r="O585" s="8"/>
      <c r="P585" s="8"/>
      <c r="Q585" s="8"/>
      <c r="R585" s="8"/>
      <c r="S585" s="789"/>
      <c r="T585" s="789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</row>
    <row r="586" spans="1:96" ht="15.75" customHeight="1">
      <c r="A586" s="8"/>
      <c r="B586" s="8"/>
      <c r="C586" s="8"/>
      <c r="D586" s="8"/>
      <c r="E586" s="8"/>
      <c r="F586" s="8"/>
      <c r="G586" s="789"/>
      <c r="H586" s="789"/>
      <c r="I586" s="789"/>
      <c r="J586" s="790"/>
      <c r="K586" s="789"/>
      <c r="L586" s="789"/>
      <c r="M586" s="789"/>
      <c r="N586" s="789"/>
      <c r="O586" s="8"/>
      <c r="P586" s="8"/>
      <c r="Q586" s="8"/>
      <c r="R586" s="8"/>
      <c r="S586" s="789"/>
      <c r="T586" s="789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</row>
    <row r="587" spans="1:96" ht="15.75" customHeight="1">
      <c r="A587" s="8"/>
      <c r="B587" s="8"/>
      <c r="C587" s="8"/>
      <c r="D587" s="8"/>
      <c r="E587" s="8"/>
      <c r="F587" s="8"/>
      <c r="G587" s="789"/>
      <c r="H587" s="789"/>
      <c r="I587" s="789"/>
      <c r="J587" s="790"/>
      <c r="K587" s="789"/>
      <c r="L587" s="789"/>
      <c r="M587" s="789"/>
      <c r="N587" s="789"/>
      <c r="O587" s="8"/>
      <c r="P587" s="8"/>
      <c r="Q587" s="8"/>
      <c r="R587" s="8"/>
      <c r="S587" s="789"/>
      <c r="T587" s="789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</row>
    <row r="588" spans="1:96" ht="15.75" customHeight="1">
      <c r="A588" s="8"/>
      <c r="B588" s="8"/>
      <c r="C588" s="8"/>
      <c r="D588" s="8"/>
      <c r="E588" s="8"/>
      <c r="F588" s="8"/>
      <c r="G588" s="789"/>
      <c r="H588" s="789"/>
      <c r="I588" s="789"/>
      <c r="J588" s="790"/>
      <c r="K588" s="789"/>
      <c r="L588" s="789"/>
      <c r="M588" s="789"/>
      <c r="N588" s="789"/>
      <c r="O588" s="8"/>
      <c r="P588" s="8"/>
      <c r="Q588" s="8"/>
      <c r="R588" s="8"/>
      <c r="S588" s="789"/>
      <c r="T588" s="789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</row>
    <row r="589" spans="1:96" ht="15.75" customHeight="1">
      <c r="A589" s="8"/>
      <c r="B589" s="8"/>
      <c r="C589" s="8"/>
      <c r="D589" s="8"/>
      <c r="E589" s="8"/>
      <c r="F589" s="8"/>
      <c r="G589" s="789"/>
      <c r="H589" s="789"/>
      <c r="I589" s="789"/>
      <c r="J589" s="790"/>
      <c r="K589" s="789"/>
      <c r="L589" s="789"/>
      <c r="M589" s="789"/>
      <c r="N589" s="789"/>
      <c r="O589" s="8"/>
      <c r="P589" s="8"/>
      <c r="Q589" s="8"/>
      <c r="R589" s="8"/>
      <c r="S589" s="789"/>
      <c r="T589" s="789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</row>
    <row r="590" spans="1:96" ht="15.75" customHeight="1">
      <c r="A590" s="8"/>
      <c r="B590" s="8"/>
      <c r="C590" s="8"/>
      <c r="D590" s="8"/>
      <c r="E590" s="8"/>
      <c r="F590" s="8"/>
      <c r="G590" s="789"/>
      <c r="H590" s="789"/>
      <c r="I590" s="789"/>
      <c r="J590" s="790"/>
      <c r="K590" s="789"/>
      <c r="L590" s="789"/>
      <c r="M590" s="789"/>
      <c r="N590" s="789"/>
      <c r="O590" s="8"/>
      <c r="P590" s="8"/>
      <c r="Q590" s="8"/>
      <c r="R590" s="8"/>
      <c r="S590" s="789"/>
      <c r="T590" s="789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</row>
    <row r="591" spans="1:96" ht="15.75" customHeight="1">
      <c r="A591" s="8"/>
      <c r="B591" s="8"/>
      <c r="C591" s="8"/>
      <c r="D591" s="8"/>
      <c r="E591" s="8"/>
      <c r="F591" s="8"/>
      <c r="G591" s="789"/>
      <c r="H591" s="789"/>
      <c r="I591" s="789"/>
      <c r="J591" s="790"/>
      <c r="K591" s="789"/>
      <c r="L591" s="789"/>
      <c r="M591" s="789"/>
      <c r="N591" s="789"/>
      <c r="O591" s="8"/>
      <c r="P591" s="8"/>
      <c r="Q591" s="8"/>
      <c r="R591" s="8"/>
      <c r="S591" s="789"/>
      <c r="T591" s="789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</row>
    <row r="592" spans="1:96" ht="15.75" customHeight="1">
      <c r="A592" s="8"/>
      <c r="B592" s="8"/>
      <c r="C592" s="8"/>
      <c r="D592" s="8"/>
      <c r="E592" s="8"/>
      <c r="F592" s="8"/>
      <c r="G592" s="789"/>
      <c r="H592" s="789"/>
      <c r="I592" s="789"/>
      <c r="J592" s="790"/>
      <c r="K592" s="789"/>
      <c r="L592" s="789"/>
      <c r="M592" s="789"/>
      <c r="N592" s="789"/>
      <c r="O592" s="8"/>
      <c r="P592" s="8"/>
      <c r="Q592" s="8"/>
      <c r="R592" s="8"/>
      <c r="S592" s="789"/>
      <c r="T592" s="789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</row>
    <row r="593" spans="1:96" ht="15.75" customHeight="1">
      <c r="A593" s="8"/>
      <c r="B593" s="8"/>
      <c r="C593" s="8"/>
      <c r="D593" s="8"/>
      <c r="E593" s="8"/>
      <c r="F593" s="8"/>
      <c r="G593" s="789"/>
      <c r="H593" s="789"/>
      <c r="I593" s="789"/>
      <c r="J593" s="790"/>
      <c r="K593" s="789"/>
      <c r="L593" s="789"/>
      <c r="M593" s="789"/>
      <c r="N593" s="789"/>
      <c r="O593" s="8"/>
      <c r="P593" s="8"/>
      <c r="Q593" s="8"/>
      <c r="R593" s="8"/>
      <c r="S593" s="789"/>
      <c r="T593" s="789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</row>
    <row r="594" spans="1:96" ht="15.75" customHeight="1">
      <c r="A594" s="8"/>
      <c r="B594" s="8"/>
      <c r="C594" s="8"/>
      <c r="D594" s="8"/>
      <c r="E594" s="8"/>
      <c r="F594" s="8"/>
      <c r="G594" s="789"/>
      <c r="H594" s="789"/>
      <c r="I594" s="789"/>
      <c r="J594" s="790"/>
      <c r="K594" s="789"/>
      <c r="L594" s="789"/>
      <c r="M594" s="789"/>
      <c r="N594" s="789"/>
      <c r="O594" s="8"/>
      <c r="P594" s="8"/>
      <c r="Q594" s="8"/>
      <c r="R594" s="8"/>
      <c r="S594" s="789"/>
      <c r="T594" s="789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</row>
    <row r="595" spans="1:96" ht="15.75" customHeight="1">
      <c r="A595" s="8"/>
      <c r="B595" s="8"/>
      <c r="C595" s="8"/>
      <c r="D595" s="8"/>
      <c r="E595" s="8"/>
      <c r="F595" s="8"/>
      <c r="G595" s="789"/>
      <c r="H595" s="789"/>
      <c r="I595" s="789"/>
      <c r="J595" s="790"/>
      <c r="K595" s="789"/>
      <c r="L595" s="789"/>
      <c r="M595" s="789"/>
      <c r="N595" s="789"/>
      <c r="O595" s="8"/>
      <c r="P595" s="8"/>
      <c r="Q595" s="8"/>
      <c r="R595" s="8"/>
      <c r="S595" s="789"/>
      <c r="T595" s="789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</row>
    <row r="596" spans="1:96" ht="15.75" customHeight="1">
      <c r="A596" s="8"/>
      <c r="B596" s="8"/>
      <c r="C596" s="8"/>
      <c r="D596" s="8"/>
      <c r="E596" s="8"/>
      <c r="F596" s="8"/>
      <c r="G596" s="789"/>
      <c r="H596" s="789"/>
      <c r="I596" s="789"/>
      <c r="J596" s="790"/>
      <c r="K596" s="789"/>
      <c r="L596" s="789"/>
      <c r="M596" s="789"/>
      <c r="N596" s="789"/>
      <c r="O596" s="8"/>
      <c r="P596" s="8"/>
      <c r="Q596" s="8"/>
      <c r="R596" s="8"/>
      <c r="S596" s="789"/>
      <c r="T596" s="789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</row>
    <row r="597" spans="1:96" ht="15.75" customHeight="1">
      <c r="A597" s="8"/>
      <c r="B597" s="8"/>
      <c r="C597" s="8"/>
      <c r="D597" s="8"/>
      <c r="E597" s="8"/>
      <c r="F597" s="8"/>
      <c r="G597" s="789"/>
      <c r="H597" s="789"/>
      <c r="I597" s="789"/>
      <c r="J597" s="790"/>
      <c r="K597" s="789"/>
      <c r="L597" s="789"/>
      <c r="M597" s="789"/>
      <c r="N597" s="789"/>
      <c r="O597" s="8"/>
      <c r="P597" s="8"/>
      <c r="Q597" s="8"/>
      <c r="R597" s="8"/>
      <c r="S597" s="789"/>
      <c r="T597" s="789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</row>
    <row r="598" spans="1:96" ht="15.75" customHeight="1">
      <c r="A598" s="8"/>
      <c r="B598" s="8"/>
      <c r="C598" s="8"/>
      <c r="D598" s="8"/>
      <c r="E598" s="8"/>
      <c r="F598" s="8"/>
      <c r="G598" s="789"/>
      <c r="H598" s="789"/>
      <c r="I598" s="789"/>
      <c r="J598" s="790"/>
      <c r="K598" s="789"/>
      <c r="L598" s="789"/>
      <c r="M598" s="789"/>
      <c r="N598" s="789"/>
      <c r="O598" s="8"/>
      <c r="P598" s="8"/>
      <c r="Q598" s="8"/>
      <c r="R598" s="8"/>
      <c r="S598" s="789"/>
      <c r="T598" s="789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</row>
    <row r="599" spans="1:96" ht="15.75" customHeight="1">
      <c r="A599" s="8"/>
      <c r="B599" s="8"/>
      <c r="C599" s="8"/>
      <c r="D599" s="8"/>
      <c r="E599" s="8"/>
      <c r="F599" s="8"/>
      <c r="G599" s="789"/>
      <c r="H599" s="789"/>
      <c r="I599" s="789"/>
      <c r="J599" s="790"/>
      <c r="K599" s="789"/>
      <c r="L599" s="789"/>
      <c r="M599" s="789"/>
      <c r="N599" s="789"/>
      <c r="O599" s="8"/>
      <c r="P599" s="8"/>
      <c r="Q599" s="8"/>
      <c r="R599" s="8"/>
      <c r="S599" s="789"/>
      <c r="T599" s="789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</row>
    <row r="600" spans="1:96" ht="15.75" customHeight="1">
      <c r="A600" s="8"/>
      <c r="B600" s="8"/>
      <c r="C600" s="8"/>
      <c r="D600" s="8"/>
      <c r="E600" s="8"/>
      <c r="F600" s="8"/>
      <c r="G600" s="789"/>
      <c r="H600" s="789"/>
      <c r="I600" s="789"/>
      <c r="J600" s="790"/>
      <c r="K600" s="789"/>
      <c r="L600" s="789"/>
      <c r="M600" s="789"/>
      <c r="N600" s="789"/>
      <c r="O600" s="8"/>
      <c r="P600" s="8"/>
      <c r="Q600" s="8"/>
      <c r="R600" s="8"/>
      <c r="S600" s="789"/>
      <c r="T600" s="789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</row>
    <row r="601" spans="1:96" ht="15.75" customHeight="1">
      <c r="A601" s="8"/>
      <c r="B601" s="8"/>
      <c r="C601" s="8"/>
      <c r="D601" s="8"/>
      <c r="E601" s="8"/>
      <c r="F601" s="8"/>
      <c r="G601" s="789"/>
      <c r="H601" s="789"/>
      <c r="I601" s="789"/>
      <c r="J601" s="790"/>
      <c r="K601" s="789"/>
      <c r="L601" s="789"/>
      <c r="M601" s="789"/>
      <c r="N601" s="789"/>
      <c r="O601" s="8"/>
      <c r="P601" s="8"/>
      <c r="Q601" s="8"/>
      <c r="R601" s="8"/>
      <c r="S601" s="789"/>
      <c r="T601" s="789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</row>
    <row r="602" spans="1:96" ht="15.75" customHeight="1">
      <c r="A602" s="8"/>
      <c r="B602" s="8"/>
      <c r="C602" s="8"/>
      <c r="D602" s="8"/>
      <c r="E602" s="8"/>
      <c r="F602" s="8"/>
      <c r="G602" s="789"/>
      <c r="H602" s="789"/>
      <c r="I602" s="789"/>
      <c r="J602" s="790"/>
      <c r="K602" s="789"/>
      <c r="L602" s="789"/>
      <c r="M602" s="789"/>
      <c r="N602" s="789"/>
      <c r="O602" s="8"/>
      <c r="P602" s="8"/>
      <c r="Q602" s="8"/>
      <c r="R602" s="8"/>
      <c r="S602" s="789"/>
      <c r="T602" s="789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</row>
    <row r="603" spans="1:96" ht="15.75" customHeight="1">
      <c r="A603" s="8"/>
      <c r="B603" s="8"/>
      <c r="C603" s="8"/>
      <c r="D603" s="8"/>
      <c r="E603" s="8"/>
      <c r="F603" s="8"/>
      <c r="G603" s="789"/>
      <c r="H603" s="789"/>
      <c r="I603" s="789"/>
      <c r="J603" s="790"/>
      <c r="K603" s="789"/>
      <c r="L603" s="789"/>
      <c r="M603" s="789"/>
      <c r="N603" s="789"/>
      <c r="O603" s="8"/>
      <c r="P603" s="8"/>
      <c r="Q603" s="8"/>
      <c r="R603" s="8"/>
      <c r="S603" s="789"/>
      <c r="T603" s="789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</row>
    <row r="604" spans="1:96" ht="15.75" customHeight="1">
      <c r="A604" s="8"/>
      <c r="B604" s="8"/>
      <c r="C604" s="8"/>
      <c r="D604" s="8"/>
      <c r="E604" s="8"/>
      <c r="F604" s="8"/>
      <c r="G604" s="789"/>
      <c r="H604" s="789"/>
      <c r="I604" s="789"/>
      <c r="J604" s="790"/>
      <c r="K604" s="789"/>
      <c r="L604" s="789"/>
      <c r="M604" s="789"/>
      <c r="N604" s="789"/>
      <c r="O604" s="8"/>
      <c r="P604" s="8"/>
      <c r="Q604" s="8"/>
      <c r="R604" s="8"/>
      <c r="S604" s="789"/>
      <c r="T604" s="789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</row>
    <row r="605" spans="1:96" ht="15.75" customHeight="1">
      <c r="A605" s="8"/>
      <c r="B605" s="8"/>
      <c r="C605" s="8"/>
      <c r="D605" s="8"/>
      <c r="E605" s="8"/>
      <c r="F605" s="8"/>
      <c r="G605" s="789"/>
      <c r="H605" s="789"/>
      <c r="I605" s="789"/>
      <c r="J605" s="790"/>
      <c r="K605" s="789"/>
      <c r="L605" s="789"/>
      <c r="M605" s="789"/>
      <c r="N605" s="789"/>
      <c r="O605" s="8"/>
      <c r="P605" s="8"/>
      <c r="Q605" s="8"/>
      <c r="R605" s="8"/>
      <c r="S605" s="789"/>
      <c r="T605" s="789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</row>
    <row r="606" spans="1:96" ht="15.75" customHeight="1">
      <c r="A606" s="8"/>
      <c r="B606" s="8"/>
      <c r="C606" s="8"/>
      <c r="D606" s="8"/>
      <c r="E606" s="8"/>
      <c r="F606" s="8"/>
      <c r="G606" s="789"/>
      <c r="H606" s="789"/>
      <c r="I606" s="789"/>
      <c r="J606" s="790"/>
      <c r="K606" s="789"/>
      <c r="L606" s="789"/>
      <c r="M606" s="789"/>
      <c r="N606" s="789"/>
      <c r="O606" s="8"/>
      <c r="P606" s="8"/>
      <c r="Q606" s="8"/>
      <c r="R606" s="8"/>
      <c r="S606" s="789"/>
      <c r="T606" s="789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</row>
    <row r="607" spans="1:96" ht="15.75" customHeight="1">
      <c r="A607" s="8"/>
      <c r="B607" s="8"/>
      <c r="C607" s="8"/>
      <c r="D607" s="8"/>
      <c r="E607" s="8"/>
      <c r="F607" s="8"/>
      <c r="G607" s="789"/>
      <c r="H607" s="789"/>
      <c r="I607" s="789"/>
      <c r="J607" s="790"/>
      <c r="K607" s="789"/>
      <c r="L607" s="789"/>
      <c r="M607" s="789"/>
      <c r="N607" s="789"/>
      <c r="O607" s="8"/>
      <c r="P607" s="8"/>
      <c r="Q607" s="8"/>
      <c r="R607" s="8"/>
      <c r="S607" s="789"/>
      <c r="T607" s="789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</row>
    <row r="608" spans="1:96" ht="15.75" customHeight="1">
      <c r="A608" s="8"/>
      <c r="B608" s="8"/>
      <c r="C608" s="8"/>
      <c r="D608" s="8"/>
      <c r="E608" s="8"/>
      <c r="F608" s="8"/>
      <c r="G608" s="789"/>
      <c r="H608" s="789"/>
      <c r="I608" s="789"/>
      <c r="J608" s="790"/>
      <c r="K608" s="789"/>
      <c r="L608" s="789"/>
      <c r="M608" s="789"/>
      <c r="N608" s="789"/>
      <c r="O608" s="8"/>
      <c r="P608" s="8"/>
      <c r="Q608" s="8"/>
      <c r="R608" s="8"/>
      <c r="S608" s="789"/>
      <c r="T608" s="789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</row>
    <row r="609" spans="1:96" ht="15.75" customHeight="1">
      <c r="A609" s="8"/>
      <c r="B609" s="8"/>
      <c r="C609" s="8"/>
      <c r="D609" s="8"/>
      <c r="E609" s="8"/>
      <c r="F609" s="8"/>
      <c r="G609" s="789"/>
      <c r="H609" s="789"/>
      <c r="I609" s="789"/>
      <c r="J609" s="790"/>
      <c r="K609" s="789"/>
      <c r="L609" s="789"/>
      <c r="M609" s="789"/>
      <c r="N609" s="789"/>
      <c r="O609" s="8"/>
      <c r="P609" s="8"/>
      <c r="Q609" s="8"/>
      <c r="R609" s="8"/>
      <c r="S609" s="789"/>
      <c r="T609" s="789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</row>
    <row r="610" spans="1:96" ht="15.75" customHeight="1">
      <c r="A610" s="8"/>
      <c r="B610" s="8"/>
      <c r="C610" s="8"/>
      <c r="D610" s="8"/>
      <c r="E610" s="8"/>
      <c r="F610" s="8"/>
      <c r="G610" s="789"/>
      <c r="H610" s="789"/>
      <c r="I610" s="789"/>
      <c r="J610" s="790"/>
      <c r="K610" s="789"/>
      <c r="L610" s="789"/>
      <c r="M610" s="789"/>
      <c r="N610" s="789"/>
      <c r="O610" s="8"/>
      <c r="P610" s="8"/>
      <c r="Q610" s="8"/>
      <c r="R610" s="8"/>
      <c r="S610" s="789"/>
      <c r="T610" s="789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</row>
    <row r="611" spans="1:96" ht="15.75" customHeight="1">
      <c r="A611" s="8"/>
      <c r="B611" s="8"/>
      <c r="C611" s="8"/>
      <c r="D611" s="8"/>
      <c r="E611" s="8"/>
      <c r="F611" s="8"/>
      <c r="G611" s="789"/>
      <c r="H611" s="789"/>
      <c r="I611" s="789"/>
      <c r="J611" s="790"/>
      <c r="K611" s="789"/>
      <c r="L611" s="789"/>
      <c r="M611" s="789"/>
      <c r="N611" s="789"/>
      <c r="O611" s="8"/>
      <c r="P611" s="8"/>
      <c r="Q611" s="8"/>
      <c r="R611" s="8"/>
      <c r="S611" s="789"/>
      <c r="T611" s="789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</row>
    <row r="612" spans="1:96" ht="15.75" customHeight="1">
      <c r="A612" s="8"/>
      <c r="B612" s="8"/>
      <c r="C612" s="8"/>
      <c r="D612" s="8"/>
      <c r="E612" s="8"/>
      <c r="F612" s="8"/>
      <c r="G612" s="789"/>
      <c r="H612" s="789"/>
      <c r="I612" s="789"/>
      <c r="J612" s="790"/>
      <c r="K612" s="789"/>
      <c r="L612" s="789"/>
      <c r="M612" s="789"/>
      <c r="N612" s="789"/>
      <c r="O612" s="8"/>
      <c r="P612" s="8"/>
      <c r="Q612" s="8"/>
      <c r="R612" s="8"/>
      <c r="S612" s="789"/>
      <c r="T612" s="789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</row>
    <row r="613" spans="1:96" ht="15.75" customHeight="1">
      <c r="A613" s="8"/>
      <c r="B613" s="8"/>
      <c r="C613" s="8"/>
      <c r="D613" s="8"/>
      <c r="E613" s="8"/>
      <c r="F613" s="8"/>
      <c r="G613" s="789"/>
      <c r="H613" s="789"/>
      <c r="I613" s="789"/>
      <c r="J613" s="790"/>
      <c r="K613" s="789"/>
      <c r="L613" s="789"/>
      <c r="M613" s="789"/>
      <c r="N613" s="789"/>
      <c r="O613" s="8"/>
      <c r="P613" s="8"/>
      <c r="Q613" s="8"/>
      <c r="R613" s="8"/>
      <c r="S613" s="789"/>
      <c r="T613" s="789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</row>
    <row r="614" spans="1:96" ht="15.75" customHeight="1">
      <c r="A614" s="8"/>
      <c r="B614" s="8"/>
      <c r="C614" s="8"/>
      <c r="D614" s="8"/>
      <c r="E614" s="8"/>
      <c r="F614" s="8"/>
      <c r="G614" s="789"/>
      <c r="H614" s="789"/>
      <c r="I614" s="789"/>
      <c r="J614" s="790"/>
      <c r="K614" s="789"/>
      <c r="L614" s="789"/>
      <c r="M614" s="789"/>
      <c r="N614" s="789"/>
      <c r="O614" s="8"/>
      <c r="P614" s="8"/>
      <c r="Q614" s="8"/>
      <c r="R614" s="8"/>
      <c r="S614" s="789"/>
      <c r="T614" s="789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</row>
    <row r="615" spans="1:96" ht="15.75" customHeight="1">
      <c r="A615" s="8"/>
      <c r="B615" s="8"/>
      <c r="C615" s="8"/>
      <c r="D615" s="8"/>
      <c r="E615" s="8"/>
      <c r="F615" s="8"/>
      <c r="G615" s="789"/>
      <c r="H615" s="789"/>
      <c r="I615" s="789"/>
      <c r="J615" s="790"/>
      <c r="K615" s="789"/>
      <c r="L615" s="789"/>
      <c r="M615" s="789"/>
      <c r="N615" s="789"/>
      <c r="O615" s="8"/>
      <c r="P615" s="8"/>
      <c r="Q615" s="8"/>
      <c r="R615" s="8"/>
      <c r="S615" s="789"/>
      <c r="T615" s="789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</row>
    <row r="616" spans="1:96" ht="15.75" customHeight="1">
      <c r="A616" s="8"/>
      <c r="B616" s="8"/>
      <c r="C616" s="8"/>
      <c r="D616" s="8"/>
      <c r="E616" s="8"/>
      <c r="F616" s="8"/>
      <c r="G616" s="789"/>
      <c r="H616" s="789"/>
      <c r="I616" s="789"/>
      <c r="J616" s="790"/>
      <c r="K616" s="789"/>
      <c r="L616" s="789"/>
      <c r="M616" s="789"/>
      <c r="N616" s="789"/>
      <c r="O616" s="8"/>
      <c r="P616" s="8"/>
      <c r="Q616" s="8"/>
      <c r="R616" s="8"/>
      <c r="S616" s="789"/>
      <c r="T616" s="789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</row>
    <row r="617" spans="1:96" ht="15.75" customHeight="1">
      <c r="A617" s="8"/>
      <c r="B617" s="8"/>
      <c r="C617" s="8"/>
      <c r="D617" s="8"/>
      <c r="E617" s="8"/>
      <c r="F617" s="8"/>
      <c r="G617" s="789"/>
      <c r="H617" s="789"/>
      <c r="I617" s="789"/>
      <c r="J617" s="790"/>
      <c r="K617" s="789"/>
      <c r="L617" s="789"/>
      <c r="M617" s="789"/>
      <c r="N617" s="789"/>
      <c r="O617" s="8"/>
      <c r="P617" s="8"/>
      <c r="Q617" s="8"/>
      <c r="R617" s="8"/>
      <c r="S617" s="789"/>
      <c r="T617" s="789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</row>
    <row r="618" spans="1:96" ht="15.75" customHeight="1">
      <c r="A618" s="8"/>
      <c r="B618" s="8"/>
      <c r="C618" s="8"/>
      <c r="D618" s="8"/>
      <c r="E618" s="8"/>
      <c r="F618" s="8"/>
      <c r="G618" s="789"/>
      <c r="H618" s="789"/>
      <c r="I618" s="789"/>
      <c r="J618" s="790"/>
      <c r="K618" s="789"/>
      <c r="L618" s="789"/>
      <c r="M618" s="789"/>
      <c r="N618" s="789"/>
      <c r="O618" s="8"/>
      <c r="P618" s="8"/>
      <c r="Q618" s="8"/>
      <c r="R618" s="8"/>
      <c r="S618" s="789"/>
      <c r="T618" s="789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</row>
    <row r="619" spans="1:96" ht="15.75" customHeight="1">
      <c r="A619" s="8"/>
      <c r="B619" s="8"/>
      <c r="C619" s="8"/>
      <c r="D619" s="8"/>
      <c r="E619" s="8"/>
      <c r="F619" s="8"/>
      <c r="G619" s="789"/>
      <c r="H619" s="789"/>
      <c r="I619" s="789"/>
      <c r="J619" s="790"/>
      <c r="K619" s="789"/>
      <c r="L619" s="789"/>
      <c r="M619" s="789"/>
      <c r="N619" s="789"/>
      <c r="O619" s="8"/>
      <c r="P619" s="8"/>
      <c r="Q619" s="8"/>
      <c r="R619" s="8"/>
      <c r="S619" s="789"/>
      <c r="T619" s="789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</row>
    <row r="620" spans="1:96" ht="15.75" customHeight="1">
      <c r="A620" s="8"/>
      <c r="B620" s="8"/>
      <c r="C620" s="8"/>
      <c r="D620" s="8"/>
      <c r="E620" s="8"/>
      <c r="F620" s="8"/>
      <c r="G620" s="789"/>
      <c r="H620" s="789"/>
      <c r="I620" s="789"/>
      <c r="J620" s="790"/>
      <c r="K620" s="789"/>
      <c r="L620" s="789"/>
      <c r="M620" s="789"/>
      <c r="N620" s="789"/>
      <c r="O620" s="8"/>
      <c r="P620" s="8"/>
      <c r="Q620" s="8"/>
      <c r="R620" s="8"/>
      <c r="S620" s="789"/>
      <c r="T620" s="789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</row>
    <row r="621" spans="1:96" ht="15.75" customHeight="1">
      <c r="A621" s="8"/>
      <c r="B621" s="8"/>
      <c r="C621" s="8"/>
      <c r="D621" s="8"/>
      <c r="E621" s="8"/>
      <c r="F621" s="8"/>
      <c r="G621" s="789"/>
      <c r="H621" s="789"/>
      <c r="I621" s="789"/>
      <c r="J621" s="790"/>
      <c r="K621" s="789"/>
      <c r="L621" s="789"/>
      <c r="M621" s="789"/>
      <c r="N621" s="789"/>
      <c r="O621" s="8"/>
      <c r="P621" s="8"/>
      <c r="Q621" s="8"/>
      <c r="R621" s="8"/>
      <c r="S621" s="789"/>
      <c r="T621" s="789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</row>
    <row r="622" spans="1:96" ht="15.75" customHeight="1">
      <c r="A622" s="8"/>
      <c r="B622" s="8"/>
      <c r="C622" s="8"/>
      <c r="D622" s="8"/>
      <c r="E622" s="8"/>
      <c r="F622" s="8"/>
      <c r="G622" s="789"/>
      <c r="H622" s="789"/>
      <c r="I622" s="789"/>
      <c r="J622" s="790"/>
      <c r="K622" s="789"/>
      <c r="L622" s="789"/>
      <c r="M622" s="789"/>
      <c r="N622" s="789"/>
      <c r="O622" s="8"/>
      <c r="P622" s="8"/>
      <c r="Q622" s="8"/>
      <c r="R622" s="8"/>
      <c r="S622" s="789"/>
      <c r="T622" s="789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</row>
    <row r="623" spans="1:96" ht="15.75" customHeight="1">
      <c r="A623" s="8"/>
      <c r="B623" s="8"/>
      <c r="C623" s="8"/>
      <c r="D623" s="8"/>
      <c r="E623" s="8"/>
      <c r="F623" s="8"/>
      <c r="G623" s="789"/>
      <c r="H623" s="789"/>
      <c r="I623" s="789"/>
      <c r="J623" s="790"/>
      <c r="K623" s="789"/>
      <c r="L623" s="789"/>
      <c r="M623" s="789"/>
      <c r="N623" s="789"/>
      <c r="O623" s="8"/>
      <c r="P623" s="8"/>
      <c r="Q623" s="8"/>
      <c r="R623" s="8"/>
      <c r="S623" s="789"/>
      <c r="T623" s="789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</row>
    <row r="624" spans="1:96" ht="15.75" customHeight="1">
      <c r="A624" s="8"/>
      <c r="B624" s="8"/>
      <c r="C624" s="8"/>
      <c r="D624" s="8"/>
      <c r="E624" s="8"/>
      <c r="F624" s="8"/>
      <c r="G624" s="789"/>
      <c r="H624" s="789"/>
      <c r="I624" s="789"/>
      <c r="J624" s="790"/>
      <c r="K624" s="789"/>
      <c r="L624" s="789"/>
      <c r="M624" s="789"/>
      <c r="N624" s="789"/>
      <c r="O624" s="8"/>
      <c r="P624" s="8"/>
      <c r="Q624" s="8"/>
      <c r="R624" s="8"/>
      <c r="S624" s="789"/>
      <c r="T624" s="789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</row>
    <row r="625" spans="1:96" ht="15.75" customHeight="1">
      <c r="A625" s="8"/>
      <c r="B625" s="8"/>
      <c r="C625" s="8"/>
      <c r="D625" s="8"/>
      <c r="E625" s="8"/>
      <c r="F625" s="8"/>
      <c r="G625" s="789"/>
      <c r="H625" s="789"/>
      <c r="I625" s="789"/>
      <c r="J625" s="790"/>
      <c r="K625" s="789"/>
      <c r="L625" s="789"/>
      <c r="M625" s="789"/>
      <c r="N625" s="789"/>
      <c r="O625" s="8"/>
      <c r="P625" s="8"/>
      <c r="Q625" s="8"/>
      <c r="R625" s="8"/>
      <c r="S625" s="789"/>
      <c r="T625" s="789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</row>
    <row r="626" spans="1:96" ht="15.75" customHeight="1">
      <c r="A626" s="8"/>
      <c r="B626" s="8"/>
      <c r="C626" s="8"/>
      <c r="D626" s="8"/>
      <c r="E626" s="8"/>
      <c r="F626" s="8"/>
      <c r="G626" s="789"/>
      <c r="H626" s="789"/>
      <c r="I626" s="789"/>
      <c r="J626" s="790"/>
      <c r="K626" s="789"/>
      <c r="L626" s="789"/>
      <c r="M626" s="789"/>
      <c r="N626" s="789"/>
      <c r="O626" s="8"/>
      <c r="P626" s="8"/>
      <c r="Q626" s="8"/>
      <c r="R626" s="8"/>
      <c r="S626" s="789"/>
      <c r="T626" s="789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</row>
    <row r="627" spans="1:96" ht="15.75" customHeight="1">
      <c r="A627" s="8"/>
      <c r="B627" s="8"/>
      <c r="C627" s="8"/>
      <c r="D627" s="8"/>
      <c r="E627" s="8"/>
      <c r="F627" s="8"/>
      <c r="G627" s="789"/>
      <c r="H627" s="789"/>
      <c r="I627" s="789"/>
      <c r="J627" s="790"/>
      <c r="K627" s="789"/>
      <c r="L627" s="789"/>
      <c r="M627" s="789"/>
      <c r="N627" s="789"/>
      <c r="O627" s="8"/>
      <c r="P627" s="8"/>
      <c r="Q627" s="8"/>
      <c r="R627" s="8"/>
      <c r="S627" s="789"/>
      <c r="T627" s="789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</row>
    <row r="628" spans="1:96" ht="15.75" customHeight="1">
      <c r="A628" s="8"/>
      <c r="B628" s="8"/>
      <c r="C628" s="8"/>
      <c r="D628" s="8"/>
      <c r="E628" s="8"/>
      <c r="F628" s="8"/>
      <c r="G628" s="789"/>
      <c r="H628" s="789"/>
      <c r="I628" s="789"/>
      <c r="J628" s="790"/>
      <c r="K628" s="789"/>
      <c r="L628" s="789"/>
      <c r="M628" s="789"/>
      <c r="N628" s="789"/>
      <c r="O628" s="8"/>
      <c r="P628" s="8"/>
      <c r="Q628" s="8"/>
      <c r="R628" s="8"/>
      <c r="S628" s="789"/>
      <c r="T628" s="789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</row>
    <row r="629" spans="1:96" ht="15.75" customHeight="1">
      <c r="A629" s="8"/>
      <c r="B629" s="8"/>
      <c r="C629" s="8"/>
      <c r="D629" s="8"/>
      <c r="E629" s="8"/>
      <c r="F629" s="8"/>
      <c r="G629" s="789"/>
      <c r="H629" s="789"/>
      <c r="I629" s="789"/>
      <c r="J629" s="790"/>
      <c r="K629" s="789"/>
      <c r="L629" s="789"/>
      <c r="M629" s="789"/>
      <c r="N629" s="789"/>
      <c r="O629" s="8"/>
      <c r="P629" s="8"/>
      <c r="Q629" s="8"/>
      <c r="R629" s="8"/>
      <c r="S629" s="789"/>
      <c r="T629" s="789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</row>
    <row r="630" spans="1:96" ht="15.75" customHeight="1">
      <c r="A630" s="8"/>
      <c r="B630" s="8"/>
      <c r="C630" s="8"/>
      <c r="D630" s="8"/>
      <c r="E630" s="8"/>
      <c r="F630" s="8"/>
      <c r="G630" s="789"/>
      <c r="H630" s="789"/>
      <c r="I630" s="789"/>
      <c r="J630" s="790"/>
      <c r="K630" s="789"/>
      <c r="L630" s="789"/>
      <c r="M630" s="789"/>
      <c r="N630" s="789"/>
      <c r="O630" s="8"/>
      <c r="P630" s="8"/>
      <c r="Q630" s="8"/>
      <c r="R630" s="8"/>
      <c r="S630" s="789"/>
      <c r="T630" s="789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</row>
    <row r="631" spans="1:96" ht="15.75" customHeight="1">
      <c r="A631" s="8"/>
      <c r="B631" s="8"/>
      <c r="C631" s="8"/>
      <c r="D631" s="8"/>
      <c r="E631" s="8"/>
      <c r="F631" s="8"/>
      <c r="G631" s="789"/>
      <c r="H631" s="789"/>
      <c r="I631" s="789"/>
      <c r="J631" s="790"/>
      <c r="K631" s="789"/>
      <c r="L631" s="789"/>
      <c r="M631" s="789"/>
      <c r="N631" s="789"/>
      <c r="O631" s="8"/>
      <c r="P631" s="8"/>
      <c r="Q631" s="8"/>
      <c r="R631" s="8"/>
      <c r="S631" s="789"/>
      <c r="T631" s="789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</row>
    <row r="632" spans="1:96" ht="15.75" customHeight="1">
      <c r="A632" s="8"/>
      <c r="B632" s="8"/>
      <c r="C632" s="8"/>
      <c r="D632" s="8"/>
      <c r="E632" s="8"/>
      <c r="F632" s="8"/>
      <c r="G632" s="789"/>
      <c r="H632" s="789"/>
      <c r="I632" s="789"/>
      <c r="J632" s="790"/>
      <c r="K632" s="789"/>
      <c r="L632" s="789"/>
      <c r="M632" s="789"/>
      <c r="N632" s="789"/>
      <c r="O632" s="8"/>
      <c r="P632" s="8"/>
      <c r="Q632" s="8"/>
      <c r="R632" s="8"/>
      <c r="S632" s="789"/>
      <c r="T632" s="789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</row>
    <row r="633" spans="1:96" ht="15.75" customHeight="1">
      <c r="A633" s="8"/>
      <c r="B633" s="8"/>
      <c r="C633" s="8"/>
      <c r="D633" s="8"/>
      <c r="E633" s="8"/>
      <c r="F633" s="8"/>
      <c r="G633" s="789"/>
      <c r="H633" s="789"/>
      <c r="I633" s="789"/>
      <c r="J633" s="790"/>
      <c r="K633" s="789"/>
      <c r="L633" s="789"/>
      <c r="M633" s="789"/>
      <c r="N633" s="789"/>
      <c r="O633" s="8"/>
      <c r="P633" s="8"/>
      <c r="Q633" s="8"/>
      <c r="R633" s="8"/>
      <c r="S633" s="789"/>
      <c r="T633" s="789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</row>
    <row r="634" spans="1:96" ht="15.75" customHeight="1">
      <c r="A634" s="8"/>
      <c r="B634" s="8"/>
      <c r="C634" s="8"/>
      <c r="D634" s="8"/>
      <c r="E634" s="8"/>
      <c r="F634" s="8"/>
      <c r="G634" s="789"/>
      <c r="H634" s="789"/>
      <c r="I634" s="789"/>
      <c r="J634" s="790"/>
      <c r="K634" s="789"/>
      <c r="L634" s="789"/>
      <c r="M634" s="789"/>
      <c r="N634" s="789"/>
      <c r="O634" s="8"/>
      <c r="P634" s="8"/>
      <c r="Q634" s="8"/>
      <c r="R634" s="8"/>
      <c r="S634" s="789"/>
      <c r="T634" s="789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</row>
    <row r="635" spans="1:96" ht="15.75" customHeight="1">
      <c r="A635" s="8"/>
      <c r="B635" s="8"/>
      <c r="C635" s="8"/>
      <c r="D635" s="8"/>
      <c r="E635" s="8"/>
      <c r="F635" s="8"/>
      <c r="G635" s="789"/>
      <c r="H635" s="789"/>
      <c r="I635" s="789"/>
      <c r="J635" s="790"/>
      <c r="K635" s="789"/>
      <c r="L635" s="789"/>
      <c r="M635" s="789"/>
      <c r="N635" s="789"/>
      <c r="O635" s="8"/>
      <c r="P635" s="8"/>
      <c r="Q635" s="8"/>
      <c r="R635" s="8"/>
      <c r="S635" s="789"/>
      <c r="T635" s="789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</row>
    <row r="636" spans="1:96" ht="15.75" customHeight="1">
      <c r="A636" s="8"/>
      <c r="B636" s="8"/>
      <c r="C636" s="8"/>
      <c r="D636" s="8"/>
      <c r="E636" s="8"/>
      <c r="F636" s="8"/>
      <c r="G636" s="789"/>
      <c r="H636" s="789"/>
      <c r="I636" s="789"/>
      <c r="J636" s="790"/>
      <c r="K636" s="789"/>
      <c r="L636" s="789"/>
      <c r="M636" s="789"/>
      <c r="N636" s="789"/>
      <c r="O636" s="8"/>
      <c r="P636" s="8"/>
      <c r="Q636" s="8"/>
      <c r="R636" s="8"/>
      <c r="S636" s="789"/>
      <c r="T636" s="789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</row>
    <row r="637" spans="1:96" ht="15.75" customHeight="1">
      <c r="A637" s="8"/>
      <c r="B637" s="8"/>
      <c r="C637" s="8"/>
      <c r="D637" s="8"/>
      <c r="E637" s="8"/>
      <c r="F637" s="8"/>
      <c r="G637" s="789"/>
      <c r="H637" s="789"/>
      <c r="I637" s="789"/>
      <c r="J637" s="790"/>
      <c r="K637" s="789"/>
      <c r="L637" s="789"/>
      <c r="M637" s="789"/>
      <c r="N637" s="789"/>
      <c r="O637" s="8"/>
      <c r="P637" s="8"/>
      <c r="Q637" s="8"/>
      <c r="R637" s="8"/>
      <c r="S637" s="789"/>
      <c r="T637" s="789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</row>
    <row r="638" spans="1:96" ht="15.75" customHeight="1">
      <c r="A638" s="8"/>
      <c r="B638" s="8"/>
      <c r="C638" s="8"/>
      <c r="D638" s="8"/>
      <c r="E638" s="8"/>
      <c r="F638" s="8"/>
      <c r="G638" s="789"/>
      <c r="H638" s="789"/>
      <c r="I638" s="789"/>
      <c r="J638" s="790"/>
      <c r="K638" s="789"/>
      <c r="L638" s="789"/>
      <c r="M638" s="789"/>
      <c r="N638" s="789"/>
      <c r="O638" s="8"/>
      <c r="P638" s="8"/>
      <c r="Q638" s="8"/>
      <c r="R638" s="8"/>
      <c r="S638" s="789"/>
      <c r="T638" s="789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</row>
    <row r="639" spans="1:96" ht="15.75" customHeight="1">
      <c r="A639" s="8"/>
      <c r="B639" s="8"/>
      <c r="C639" s="8"/>
      <c r="D639" s="8"/>
      <c r="E639" s="8"/>
      <c r="F639" s="8"/>
      <c r="G639" s="789"/>
      <c r="H639" s="789"/>
      <c r="I639" s="789"/>
      <c r="J639" s="790"/>
      <c r="K639" s="789"/>
      <c r="L639" s="789"/>
      <c r="M639" s="789"/>
      <c r="N639" s="789"/>
      <c r="O639" s="8"/>
      <c r="P639" s="8"/>
      <c r="Q639" s="8"/>
      <c r="R639" s="8"/>
      <c r="S639" s="789"/>
      <c r="T639" s="789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</row>
    <row r="640" spans="1:96" ht="15.75" customHeight="1">
      <c r="A640" s="8"/>
      <c r="B640" s="8"/>
      <c r="C640" s="8"/>
      <c r="D640" s="8"/>
      <c r="E640" s="8"/>
      <c r="F640" s="8"/>
      <c r="G640" s="789"/>
      <c r="H640" s="789"/>
      <c r="I640" s="789"/>
      <c r="J640" s="790"/>
      <c r="K640" s="789"/>
      <c r="L640" s="789"/>
      <c r="M640" s="789"/>
      <c r="N640" s="789"/>
      <c r="O640" s="8"/>
      <c r="P640" s="8"/>
      <c r="Q640" s="8"/>
      <c r="R640" s="8"/>
      <c r="S640" s="789"/>
      <c r="T640" s="789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</row>
    <row r="641" spans="1:96" ht="15.75" customHeight="1">
      <c r="A641" s="8"/>
      <c r="B641" s="8"/>
      <c r="C641" s="8"/>
      <c r="D641" s="8"/>
      <c r="E641" s="8"/>
      <c r="F641" s="8"/>
      <c r="G641" s="789"/>
      <c r="H641" s="789"/>
      <c r="I641" s="789"/>
      <c r="J641" s="790"/>
      <c r="K641" s="789"/>
      <c r="L641" s="789"/>
      <c r="M641" s="789"/>
      <c r="N641" s="789"/>
      <c r="O641" s="8"/>
      <c r="P641" s="8"/>
      <c r="Q641" s="8"/>
      <c r="R641" s="8"/>
      <c r="S641" s="789"/>
      <c r="T641" s="789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</row>
    <row r="642" spans="1:96" ht="15.75" customHeight="1">
      <c r="A642" s="8"/>
      <c r="B642" s="8"/>
      <c r="C642" s="8"/>
      <c r="D642" s="8"/>
      <c r="E642" s="8"/>
      <c r="F642" s="8"/>
      <c r="G642" s="789"/>
      <c r="H642" s="789"/>
      <c r="I642" s="789"/>
      <c r="J642" s="790"/>
      <c r="K642" s="789"/>
      <c r="L642" s="789"/>
      <c r="M642" s="789"/>
      <c r="N642" s="789"/>
      <c r="O642" s="8"/>
      <c r="P642" s="8"/>
      <c r="Q642" s="8"/>
      <c r="R642" s="8"/>
      <c r="S642" s="789"/>
      <c r="T642" s="789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</row>
    <row r="643" spans="1:96" ht="15.75" customHeight="1">
      <c r="A643" s="8"/>
      <c r="B643" s="8"/>
      <c r="C643" s="8"/>
      <c r="D643" s="8"/>
      <c r="E643" s="8"/>
      <c r="F643" s="8"/>
      <c r="G643" s="789"/>
      <c r="H643" s="789"/>
      <c r="I643" s="789"/>
      <c r="J643" s="790"/>
      <c r="K643" s="789"/>
      <c r="L643" s="789"/>
      <c r="M643" s="789"/>
      <c r="N643" s="789"/>
      <c r="O643" s="8"/>
      <c r="P643" s="8"/>
      <c r="Q643" s="8"/>
      <c r="R643" s="8"/>
      <c r="S643" s="789"/>
      <c r="T643" s="789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</row>
    <row r="644" spans="1:96" ht="15.75" customHeight="1">
      <c r="A644" s="8"/>
      <c r="B644" s="8"/>
      <c r="C644" s="8"/>
      <c r="D644" s="8"/>
      <c r="E644" s="8"/>
      <c r="F644" s="8"/>
      <c r="G644" s="789"/>
      <c r="H644" s="789"/>
      <c r="I644" s="789"/>
      <c r="J644" s="790"/>
      <c r="K644" s="789"/>
      <c r="L644" s="789"/>
      <c r="M644" s="789"/>
      <c r="N644" s="789"/>
      <c r="O644" s="8"/>
      <c r="P644" s="8"/>
      <c r="Q644" s="8"/>
      <c r="R644" s="8"/>
      <c r="S644" s="789"/>
      <c r="T644" s="789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</row>
    <row r="645" spans="1:96" ht="15.75" customHeight="1">
      <c r="A645" s="8"/>
      <c r="B645" s="8"/>
      <c r="C645" s="8"/>
      <c r="D645" s="8"/>
      <c r="E645" s="8"/>
      <c r="F645" s="8"/>
      <c r="G645" s="789"/>
      <c r="H645" s="789"/>
      <c r="I645" s="789"/>
      <c r="J645" s="790"/>
      <c r="K645" s="789"/>
      <c r="L645" s="789"/>
      <c r="M645" s="789"/>
      <c r="N645" s="789"/>
      <c r="O645" s="8"/>
      <c r="P645" s="8"/>
      <c r="Q645" s="8"/>
      <c r="R645" s="8"/>
      <c r="S645" s="789"/>
      <c r="T645" s="789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</row>
    <row r="646" spans="1:96" ht="15.75" customHeight="1">
      <c r="A646" s="8"/>
      <c r="B646" s="8"/>
      <c r="C646" s="8"/>
      <c r="D646" s="8"/>
      <c r="E646" s="8"/>
      <c r="F646" s="8"/>
      <c r="G646" s="789"/>
      <c r="H646" s="789"/>
      <c r="I646" s="789"/>
      <c r="J646" s="790"/>
      <c r="K646" s="789"/>
      <c r="L646" s="789"/>
      <c r="M646" s="789"/>
      <c r="N646" s="789"/>
      <c r="O646" s="8"/>
      <c r="P646" s="8"/>
      <c r="Q646" s="8"/>
      <c r="R646" s="8"/>
      <c r="S646" s="789"/>
      <c r="T646" s="789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</row>
    <row r="647" spans="1:96" ht="15.75" customHeight="1">
      <c r="A647" s="8"/>
      <c r="B647" s="8"/>
      <c r="C647" s="8"/>
      <c r="D647" s="8"/>
      <c r="E647" s="8"/>
      <c r="F647" s="8"/>
      <c r="G647" s="789"/>
      <c r="H647" s="789"/>
      <c r="I647" s="789"/>
      <c r="J647" s="790"/>
      <c r="K647" s="789"/>
      <c r="L647" s="789"/>
      <c r="M647" s="789"/>
      <c r="N647" s="789"/>
      <c r="O647" s="8"/>
      <c r="P647" s="8"/>
      <c r="Q647" s="8"/>
      <c r="R647" s="8"/>
      <c r="S647" s="789"/>
      <c r="T647" s="789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</row>
    <row r="648" spans="1:96" ht="15.75" customHeight="1">
      <c r="A648" s="8"/>
      <c r="B648" s="8"/>
      <c r="C648" s="8"/>
      <c r="D648" s="8"/>
      <c r="E648" s="8"/>
      <c r="F648" s="8"/>
      <c r="G648" s="789"/>
      <c r="H648" s="789"/>
      <c r="I648" s="789"/>
      <c r="J648" s="790"/>
      <c r="K648" s="789"/>
      <c r="L648" s="789"/>
      <c r="M648" s="789"/>
      <c r="N648" s="789"/>
      <c r="O648" s="8"/>
      <c r="P648" s="8"/>
      <c r="Q648" s="8"/>
      <c r="R648" s="8"/>
      <c r="S648" s="789"/>
      <c r="T648" s="789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</row>
    <row r="649" spans="1:96" ht="15.75" customHeight="1">
      <c r="A649" s="8"/>
      <c r="B649" s="8"/>
      <c r="C649" s="8"/>
      <c r="D649" s="8"/>
      <c r="E649" s="8"/>
      <c r="F649" s="8"/>
      <c r="G649" s="789"/>
      <c r="H649" s="789"/>
      <c r="I649" s="789"/>
      <c r="J649" s="790"/>
      <c r="K649" s="789"/>
      <c r="L649" s="789"/>
      <c r="M649" s="789"/>
      <c r="N649" s="789"/>
      <c r="O649" s="8"/>
      <c r="P649" s="8"/>
      <c r="Q649" s="8"/>
      <c r="R649" s="8"/>
      <c r="S649" s="789"/>
      <c r="T649" s="789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</row>
    <row r="650" spans="1:96" ht="15.75" customHeight="1">
      <c r="A650" s="8"/>
      <c r="B650" s="8"/>
      <c r="C650" s="8"/>
      <c r="D650" s="8"/>
      <c r="E650" s="8"/>
      <c r="F650" s="8"/>
      <c r="G650" s="789"/>
      <c r="H650" s="789"/>
      <c r="I650" s="789"/>
      <c r="J650" s="790"/>
      <c r="K650" s="789"/>
      <c r="L650" s="789"/>
      <c r="M650" s="789"/>
      <c r="N650" s="789"/>
      <c r="O650" s="8"/>
      <c r="P650" s="8"/>
      <c r="Q650" s="8"/>
      <c r="R650" s="8"/>
      <c r="S650" s="789"/>
      <c r="T650" s="789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</row>
    <row r="651" spans="1:96" ht="15.75" customHeight="1">
      <c r="A651" s="8"/>
      <c r="B651" s="8"/>
      <c r="C651" s="8"/>
      <c r="D651" s="8"/>
      <c r="E651" s="8"/>
      <c r="F651" s="8"/>
      <c r="G651" s="789"/>
      <c r="H651" s="789"/>
      <c r="I651" s="789"/>
      <c r="J651" s="790"/>
      <c r="K651" s="789"/>
      <c r="L651" s="789"/>
      <c r="M651" s="789"/>
      <c r="N651" s="789"/>
      <c r="O651" s="8"/>
      <c r="P651" s="8"/>
      <c r="Q651" s="8"/>
      <c r="R651" s="8"/>
      <c r="S651" s="789"/>
      <c r="T651" s="789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</row>
    <row r="652" spans="1:96" ht="15.75" customHeight="1">
      <c r="A652" s="8"/>
      <c r="B652" s="8"/>
      <c r="C652" s="8"/>
      <c r="D652" s="8"/>
      <c r="E652" s="8"/>
      <c r="F652" s="8"/>
      <c r="G652" s="789"/>
      <c r="H652" s="789"/>
      <c r="I652" s="789"/>
      <c r="J652" s="790"/>
      <c r="K652" s="789"/>
      <c r="L652" s="789"/>
      <c r="M652" s="789"/>
      <c r="N652" s="789"/>
      <c r="O652" s="8"/>
      <c r="P652" s="8"/>
      <c r="Q652" s="8"/>
      <c r="R652" s="8"/>
      <c r="S652" s="789"/>
      <c r="T652" s="789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</row>
    <row r="653" spans="1:96" ht="15.75" customHeight="1">
      <c r="A653" s="8"/>
      <c r="B653" s="8"/>
      <c r="C653" s="8"/>
      <c r="D653" s="8"/>
      <c r="E653" s="8"/>
      <c r="F653" s="8"/>
      <c r="G653" s="789"/>
      <c r="H653" s="789"/>
      <c r="I653" s="789"/>
      <c r="J653" s="790"/>
      <c r="K653" s="789"/>
      <c r="L653" s="789"/>
      <c r="M653" s="789"/>
      <c r="N653" s="789"/>
      <c r="O653" s="8"/>
      <c r="P653" s="8"/>
      <c r="Q653" s="8"/>
      <c r="R653" s="8"/>
      <c r="S653" s="789"/>
      <c r="T653" s="789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</row>
    <row r="654" spans="1:96" ht="15.75" customHeight="1">
      <c r="A654" s="8"/>
      <c r="B654" s="8"/>
      <c r="C654" s="8"/>
      <c r="D654" s="8"/>
      <c r="E654" s="8"/>
      <c r="F654" s="8"/>
      <c r="G654" s="789"/>
      <c r="H654" s="789"/>
      <c r="I654" s="789"/>
      <c r="J654" s="790"/>
      <c r="K654" s="789"/>
      <c r="L654" s="789"/>
      <c r="M654" s="789"/>
      <c r="N654" s="789"/>
      <c r="O654" s="8"/>
      <c r="P654" s="8"/>
      <c r="Q654" s="8"/>
      <c r="R654" s="8"/>
      <c r="S654" s="789"/>
      <c r="T654" s="789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</row>
    <row r="655" spans="1:96" ht="15.75" customHeight="1">
      <c r="A655" s="8"/>
      <c r="B655" s="8"/>
      <c r="C655" s="8"/>
      <c r="D655" s="8"/>
      <c r="E655" s="8"/>
      <c r="F655" s="8"/>
      <c r="G655" s="789"/>
      <c r="H655" s="789"/>
      <c r="I655" s="789"/>
      <c r="J655" s="790"/>
      <c r="K655" s="789"/>
      <c r="L655" s="789"/>
      <c r="M655" s="789"/>
      <c r="N655" s="789"/>
      <c r="O655" s="8"/>
      <c r="P655" s="8"/>
      <c r="Q655" s="8"/>
      <c r="R655" s="8"/>
      <c r="S655" s="789"/>
      <c r="T655" s="789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</row>
    <row r="656" spans="1:96" ht="15.75" customHeight="1">
      <c r="A656" s="8"/>
      <c r="B656" s="8"/>
      <c r="C656" s="8"/>
      <c r="D656" s="8"/>
      <c r="E656" s="8"/>
      <c r="F656" s="8"/>
      <c r="G656" s="789"/>
      <c r="H656" s="789"/>
      <c r="I656" s="789"/>
      <c r="J656" s="790"/>
      <c r="K656" s="789"/>
      <c r="L656" s="789"/>
      <c r="M656" s="789"/>
      <c r="N656" s="789"/>
      <c r="O656" s="8"/>
      <c r="P656" s="8"/>
      <c r="Q656" s="8"/>
      <c r="R656" s="8"/>
      <c r="S656" s="789"/>
      <c r="T656" s="789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</row>
    <row r="657" spans="1:96" ht="15.75" customHeight="1">
      <c r="A657" s="8"/>
      <c r="B657" s="8"/>
      <c r="C657" s="8"/>
      <c r="D657" s="8"/>
      <c r="E657" s="8"/>
      <c r="F657" s="8"/>
      <c r="G657" s="789"/>
      <c r="H657" s="789"/>
      <c r="I657" s="789"/>
      <c r="J657" s="790"/>
      <c r="K657" s="789"/>
      <c r="L657" s="789"/>
      <c r="M657" s="789"/>
      <c r="N657" s="789"/>
      <c r="O657" s="8"/>
      <c r="P657" s="8"/>
      <c r="Q657" s="8"/>
      <c r="R657" s="8"/>
      <c r="S657" s="789"/>
      <c r="T657" s="789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</row>
    <row r="658" spans="1:96" ht="15.75" customHeight="1">
      <c r="A658" s="8"/>
      <c r="B658" s="8"/>
      <c r="C658" s="8"/>
      <c r="D658" s="8"/>
      <c r="E658" s="8"/>
      <c r="F658" s="8"/>
      <c r="G658" s="789"/>
      <c r="H658" s="789"/>
      <c r="I658" s="789"/>
      <c r="J658" s="790"/>
      <c r="K658" s="789"/>
      <c r="L658" s="789"/>
      <c r="M658" s="789"/>
      <c r="N658" s="789"/>
      <c r="O658" s="8"/>
      <c r="P658" s="8"/>
      <c r="Q658" s="8"/>
      <c r="R658" s="8"/>
      <c r="S658" s="789"/>
      <c r="T658" s="789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</row>
    <row r="659" spans="1:96" ht="15.75" customHeight="1">
      <c r="A659" s="8"/>
      <c r="B659" s="8"/>
      <c r="C659" s="8"/>
      <c r="D659" s="8"/>
      <c r="E659" s="8"/>
      <c r="F659" s="8"/>
      <c r="G659" s="789"/>
      <c r="H659" s="789"/>
      <c r="I659" s="789"/>
      <c r="J659" s="790"/>
      <c r="K659" s="789"/>
      <c r="L659" s="789"/>
      <c r="M659" s="789"/>
      <c r="N659" s="789"/>
      <c r="O659" s="8"/>
      <c r="P659" s="8"/>
      <c r="Q659" s="8"/>
      <c r="R659" s="8"/>
      <c r="S659" s="789"/>
      <c r="T659" s="789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</row>
    <row r="660" spans="1:96" ht="15.75" customHeight="1">
      <c r="A660" s="8"/>
      <c r="B660" s="8"/>
      <c r="C660" s="8"/>
      <c r="D660" s="8"/>
      <c r="E660" s="8"/>
      <c r="F660" s="8"/>
      <c r="G660" s="789"/>
      <c r="H660" s="789"/>
      <c r="I660" s="789"/>
      <c r="J660" s="790"/>
      <c r="K660" s="789"/>
      <c r="L660" s="789"/>
      <c r="M660" s="789"/>
      <c r="N660" s="789"/>
      <c r="O660" s="8"/>
      <c r="P660" s="8"/>
      <c r="Q660" s="8"/>
      <c r="R660" s="8"/>
      <c r="S660" s="789"/>
      <c r="T660" s="789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</row>
    <row r="661" spans="1:96" ht="15.75" customHeight="1">
      <c r="A661" s="8"/>
      <c r="B661" s="8"/>
      <c r="C661" s="8"/>
      <c r="D661" s="8"/>
      <c r="E661" s="8"/>
      <c r="F661" s="8"/>
      <c r="G661" s="789"/>
      <c r="H661" s="789"/>
      <c r="I661" s="789"/>
      <c r="J661" s="790"/>
      <c r="K661" s="789"/>
      <c r="L661" s="789"/>
      <c r="M661" s="789"/>
      <c r="N661" s="789"/>
      <c r="O661" s="8"/>
      <c r="P661" s="8"/>
      <c r="Q661" s="8"/>
      <c r="R661" s="8"/>
      <c r="S661" s="789"/>
      <c r="T661" s="789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</row>
    <row r="662" spans="1:96" ht="15.75" customHeight="1">
      <c r="A662" s="8"/>
      <c r="B662" s="8"/>
      <c r="C662" s="8"/>
      <c r="D662" s="8"/>
      <c r="E662" s="8"/>
      <c r="F662" s="8"/>
      <c r="G662" s="789"/>
      <c r="H662" s="789"/>
      <c r="I662" s="789"/>
      <c r="J662" s="790"/>
      <c r="K662" s="789"/>
      <c r="L662" s="789"/>
      <c r="M662" s="789"/>
      <c r="N662" s="789"/>
      <c r="O662" s="8"/>
      <c r="P662" s="8"/>
      <c r="Q662" s="8"/>
      <c r="R662" s="8"/>
      <c r="S662" s="789"/>
      <c r="T662" s="789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</row>
    <row r="663" spans="1:96" ht="15.75" customHeight="1">
      <c r="A663" s="8"/>
      <c r="B663" s="8"/>
      <c r="C663" s="8"/>
      <c r="D663" s="8"/>
      <c r="E663" s="8"/>
      <c r="F663" s="8"/>
      <c r="G663" s="789"/>
      <c r="H663" s="789"/>
      <c r="I663" s="789"/>
      <c r="J663" s="790"/>
      <c r="K663" s="789"/>
      <c r="L663" s="789"/>
      <c r="M663" s="789"/>
      <c r="N663" s="789"/>
      <c r="O663" s="8"/>
      <c r="P663" s="8"/>
      <c r="Q663" s="8"/>
      <c r="R663" s="8"/>
      <c r="S663" s="789"/>
      <c r="T663" s="789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</row>
    <row r="664" spans="1:96" ht="15.75" customHeight="1">
      <c r="A664" s="8"/>
      <c r="B664" s="8"/>
      <c r="C664" s="8"/>
      <c r="D664" s="8"/>
      <c r="E664" s="8"/>
      <c r="F664" s="8"/>
      <c r="G664" s="789"/>
      <c r="H664" s="789"/>
      <c r="I664" s="789"/>
      <c r="J664" s="790"/>
      <c r="K664" s="789"/>
      <c r="L664" s="789"/>
      <c r="M664" s="789"/>
      <c r="N664" s="789"/>
      <c r="O664" s="8"/>
      <c r="P664" s="8"/>
      <c r="Q664" s="8"/>
      <c r="R664" s="8"/>
      <c r="S664" s="789"/>
      <c r="T664" s="789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</row>
    <row r="665" spans="1:96" ht="15.75" customHeight="1">
      <c r="A665" s="8"/>
      <c r="B665" s="8"/>
      <c r="C665" s="8"/>
      <c r="D665" s="8"/>
      <c r="E665" s="8"/>
      <c r="F665" s="8"/>
      <c r="G665" s="789"/>
      <c r="H665" s="789"/>
      <c r="I665" s="789"/>
      <c r="J665" s="790"/>
      <c r="K665" s="789"/>
      <c r="L665" s="789"/>
      <c r="M665" s="789"/>
      <c r="N665" s="789"/>
      <c r="O665" s="8"/>
      <c r="P665" s="8"/>
      <c r="Q665" s="8"/>
      <c r="R665" s="8"/>
      <c r="S665" s="789"/>
      <c r="T665" s="789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</row>
    <row r="666" spans="1:96" ht="15.75" customHeight="1">
      <c r="A666" s="8"/>
      <c r="B666" s="8"/>
      <c r="C666" s="8"/>
      <c r="D666" s="8"/>
      <c r="E666" s="8"/>
      <c r="F666" s="8"/>
      <c r="G666" s="789"/>
      <c r="H666" s="789"/>
      <c r="I666" s="789"/>
      <c r="J666" s="790"/>
      <c r="K666" s="789"/>
      <c r="L666" s="789"/>
      <c r="M666" s="789"/>
      <c r="N666" s="789"/>
      <c r="O666" s="8"/>
      <c r="P666" s="8"/>
      <c r="Q666" s="8"/>
      <c r="R666" s="8"/>
      <c r="S666" s="789"/>
      <c r="T666" s="789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</row>
    <row r="667" spans="1:96" ht="15.75" customHeight="1">
      <c r="A667" s="8"/>
      <c r="B667" s="8"/>
      <c r="C667" s="8"/>
      <c r="D667" s="8"/>
      <c r="E667" s="8"/>
      <c r="F667" s="8"/>
      <c r="G667" s="789"/>
      <c r="H667" s="789"/>
      <c r="I667" s="789"/>
      <c r="J667" s="790"/>
      <c r="K667" s="789"/>
      <c r="L667" s="789"/>
      <c r="M667" s="789"/>
      <c r="N667" s="789"/>
      <c r="O667" s="8"/>
      <c r="P667" s="8"/>
      <c r="Q667" s="8"/>
      <c r="R667" s="8"/>
      <c r="S667" s="789"/>
      <c r="T667" s="789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</row>
    <row r="668" spans="1:96" ht="15.75" customHeight="1">
      <c r="A668" s="8"/>
      <c r="B668" s="8"/>
      <c r="C668" s="8"/>
      <c r="D668" s="8"/>
      <c r="E668" s="8"/>
      <c r="F668" s="8"/>
      <c r="G668" s="789"/>
      <c r="H668" s="789"/>
      <c r="I668" s="789"/>
      <c r="J668" s="790"/>
      <c r="K668" s="789"/>
      <c r="L668" s="789"/>
      <c r="M668" s="789"/>
      <c r="N668" s="789"/>
      <c r="O668" s="8"/>
      <c r="P668" s="8"/>
      <c r="Q668" s="8"/>
      <c r="R668" s="8"/>
      <c r="S668" s="789"/>
      <c r="T668" s="789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</row>
    <row r="669" spans="1:96" ht="15.75" customHeight="1">
      <c r="A669" s="8"/>
      <c r="B669" s="8"/>
      <c r="C669" s="8"/>
      <c r="D669" s="8"/>
      <c r="E669" s="8"/>
      <c r="F669" s="8"/>
      <c r="G669" s="789"/>
      <c r="H669" s="789"/>
      <c r="I669" s="789"/>
      <c r="J669" s="790"/>
      <c r="K669" s="789"/>
      <c r="L669" s="789"/>
      <c r="M669" s="789"/>
      <c r="N669" s="789"/>
      <c r="O669" s="8"/>
      <c r="P669" s="8"/>
      <c r="Q669" s="8"/>
      <c r="R669" s="8"/>
      <c r="S669" s="789"/>
      <c r="T669" s="789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</row>
    <row r="670" spans="1:96" ht="15.75" customHeight="1">
      <c r="A670" s="8"/>
      <c r="B670" s="8"/>
      <c r="C670" s="8"/>
      <c r="D670" s="8"/>
      <c r="E670" s="8"/>
      <c r="F670" s="8"/>
      <c r="G670" s="789"/>
      <c r="H670" s="789"/>
      <c r="I670" s="789"/>
      <c r="J670" s="790"/>
      <c r="K670" s="789"/>
      <c r="L670" s="789"/>
      <c r="M670" s="789"/>
      <c r="N670" s="789"/>
      <c r="O670" s="8"/>
      <c r="P670" s="8"/>
      <c r="Q670" s="8"/>
      <c r="R670" s="8"/>
      <c r="S670" s="789"/>
      <c r="T670" s="789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</row>
    <row r="671" spans="1:96" ht="15.75" customHeight="1">
      <c r="A671" s="8"/>
      <c r="B671" s="8"/>
      <c r="C671" s="8"/>
      <c r="D671" s="8"/>
      <c r="E671" s="8"/>
      <c r="F671" s="8"/>
      <c r="G671" s="789"/>
      <c r="H671" s="789"/>
      <c r="I671" s="789"/>
      <c r="J671" s="790"/>
      <c r="K671" s="789"/>
      <c r="L671" s="789"/>
      <c r="M671" s="789"/>
      <c r="N671" s="789"/>
      <c r="O671" s="8"/>
      <c r="P671" s="8"/>
      <c r="Q671" s="8"/>
      <c r="R671" s="8"/>
      <c r="S671" s="789"/>
      <c r="T671" s="789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</row>
    <row r="672" spans="1:96" ht="15.75" customHeight="1">
      <c r="A672" s="8"/>
      <c r="B672" s="8"/>
      <c r="C672" s="8"/>
      <c r="D672" s="8"/>
      <c r="E672" s="8"/>
      <c r="F672" s="8"/>
      <c r="G672" s="789"/>
      <c r="H672" s="789"/>
      <c r="I672" s="789"/>
      <c r="J672" s="790"/>
      <c r="K672" s="789"/>
      <c r="L672" s="789"/>
      <c r="M672" s="789"/>
      <c r="N672" s="789"/>
      <c r="O672" s="8"/>
      <c r="P672" s="8"/>
      <c r="Q672" s="8"/>
      <c r="R672" s="8"/>
      <c r="S672" s="789"/>
      <c r="T672" s="789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</row>
    <row r="673" spans="1:96" ht="15.75" customHeight="1">
      <c r="A673" s="8"/>
      <c r="B673" s="8"/>
      <c r="C673" s="8"/>
      <c r="D673" s="8"/>
      <c r="E673" s="8"/>
      <c r="F673" s="8"/>
      <c r="G673" s="789"/>
      <c r="H673" s="789"/>
      <c r="I673" s="789"/>
      <c r="J673" s="790"/>
      <c r="K673" s="789"/>
      <c r="L673" s="789"/>
      <c r="M673" s="789"/>
      <c r="N673" s="789"/>
      <c r="O673" s="8"/>
      <c r="P673" s="8"/>
      <c r="Q673" s="8"/>
      <c r="R673" s="8"/>
      <c r="S673" s="789"/>
      <c r="T673" s="789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</row>
    <row r="674" spans="1:96" ht="15.75" customHeight="1">
      <c r="A674" s="8"/>
      <c r="B674" s="8"/>
      <c r="C674" s="8"/>
      <c r="D674" s="8"/>
      <c r="E674" s="8"/>
      <c r="F674" s="8"/>
      <c r="G674" s="789"/>
      <c r="H674" s="789"/>
      <c r="I674" s="789"/>
      <c r="J674" s="790"/>
      <c r="K674" s="789"/>
      <c r="L674" s="789"/>
      <c r="M674" s="789"/>
      <c r="N674" s="789"/>
      <c r="O674" s="8"/>
      <c r="P674" s="8"/>
      <c r="Q674" s="8"/>
      <c r="R674" s="8"/>
      <c r="S674" s="789"/>
      <c r="T674" s="789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</row>
    <row r="675" spans="1:96" ht="15.75" customHeight="1">
      <c r="A675" s="8"/>
      <c r="B675" s="8"/>
      <c r="C675" s="8"/>
      <c r="D675" s="8"/>
      <c r="E675" s="8"/>
      <c r="F675" s="8"/>
      <c r="G675" s="789"/>
      <c r="H675" s="789"/>
      <c r="I675" s="789"/>
      <c r="J675" s="790"/>
      <c r="K675" s="789"/>
      <c r="L675" s="789"/>
      <c r="M675" s="789"/>
      <c r="N675" s="789"/>
      <c r="O675" s="8"/>
      <c r="P675" s="8"/>
      <c r="Q675" s="8"/>
      <c r="R675" s="8"/>
      <c r="S675" s="789"/>
      <c r="T675" s="789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</row>
    <row r="676" spans="1:96" ht="15.75" customHeight="1">
      <c r="A676" s="8"/>
      <c r="B676" s="8"/>
      <c r="C676" s="8"/>
      <c r="D676" s="8"/>
      <c r="E676" s="8"/>
      <c r="F676" s="8"/>
      <c r="G676" s="789"/>
      <c r="H676" s="789"/>
      <c r="I676" s="789"/>
      <c r="J676" s="790"/>
      <c r="K676" s="789"/>
      <c r="L676" s="789"/>
      <c r="M676" s="789"/>
      <c r="N676" s="789"/>
      <c r="O676" s="8"/>
      <c r="P676" s="8"/>
      <c r="Q676" s="8"/>
      <c r="R676" s="8"/>
      <c r="S676" s="789"/>
      <c r="T676" s="789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</row>
    <row r="677" spans="1:96" ht="15.75" customHeight="1">
      <c r="A677" s="8"/>
      <c r="B677" s="8"/>
      <c r="C677" s="8"/>
      <c r="D677" s="8"/>
      <c r="E677" s="8"/>
      <c r="F677" s="8"/>
      <c r="G677" s="789"/>
      <c r="H677" s="789"/>
      <c r="I677" s="789"/>
      <c r="J677" s="790"/>
      <c r="K677" s="789"/>
      <c r="L677" s="789"/>
      <c r="M677" s="789"/>
      <c r="N677" s="789"/>
      <c r="O677" s="8"/>
      <c r="P677" s="8"/>
      <c r="Q677" s="8"/>
      <c r="R677" s="8"/>
      <c r="S677" s="789"/>
      <c r="T677" s="789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</row>
    <row r="678" spans="1:96" ht="15.75" customHeight="1">
      <c r="A678" s="8"/>
      <c r="B678" s="8"/>
      <c r="C678" s="8"/>
      <c r="D678" s="8"/>
      <c r="E678" s="8"/>
      <c r="F678" s="8"/>
      <c r="G678" s="789"/>
      <c r="H678" s="789"/>
      <c r="I678" s="789"/>
      <c r="J678" s="790"/>
      <c r="K678" s="789"/>
      <c r="L678" s="789"/>
      <c r="M678" s="789"/>
      <c r="N678" s="789"/>
      <c r="O678" s="8"/>
      <c r="P678" s="8"/>
      <c r="Q678" s="8"/>
      <c r="R678" s="8"/>
      <c r="S678" s="789"/>
      <c r="T678" s="789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</row>
    <row r="679" spans="1:96" ht="15.75" customHeight="1">
      <c r="A679" s="8"/>
      <c r="B679" s="8"/>
      <c r="C679" s="8"/>
      <c r="D679" s="8"/>
      <c r="E679" s="8"/>
      <c r="F679" s="8"/>
      <c r="G679" s="789"/>
      <c r="H679" s="789"/>
      <c r="I679" s="789"/>
      <c r="J679" s="790"/>
      <c r="K679" s="789"/>
      <c r="L679" s="789"/>
      <c r="M679" s="789"/>
      <c r="N679" s="789"/>
      <c r="O679" s="8"/>
      <c r="P679" s="8"/>
      <c r="Q679" s="8"/>
      <c r="R679" s="8"/>
      <c r="S679" s="789"/>
      <c r="T679" s="789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</row>
    <row r="680" spans="1:96" ht="15.75" customHeight="1">
      <c r="A680" s="8"/>
      <c r="B680" s="8"/>
      <c r="C680" s="8"/>
      <c r="D680" s="8"/>
      <c r="E680" s="8"/>
      <c r="F680" s="8"/>
      <c r="G680" s="789"/>
      <c r="H680" s="789"/>
      <c r="I680" s="789"/>
      <c r="J680" s="790"/>
      <c r="K680" s="789"/>
      <c r="L680" s="789"/>
      <c r="M680" s="789"/>
      <c r="N680" s="789"/>
      <c r="O680" s="8"/>
      <c r="P680" s="8"/>
      <c r="Q680" s="8"/>
      <c r="R680" s="8"/>
      <c r="S680" s="789"/>
      <c r="T680" s="789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</row>
    <row r="681" spans="1:96" ht="15.75" customHeight="1">
      <c r="A681" s="8"/>
      <c r="B681" s="8"/>
      <c r="C681" s="8"/>
      <c r="D681" s="8"/>
      <c r="E681" s="8"/>
      <c r="F681" s="8"/>
      <c r="G681" s="789"/>
      <c r="H681" s="789"/>
      <c r="I681" s="789"/>
      <c r="J681" s="790"/>
      <c r="K681" s="789"/>
      <c r="L681" s="789"/>
      <c r="M681" s="789"/>
      <c r="N681" s="789"/>
      <c r="O681" s="8"/>
      <c r="P681" s="8"/>
      <c r="Q681" s="8"/>
      <c r="R681" s="8"/>
      <c r="S681" s="789"/>
      <c r="T681" s="789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</row>
    <row r="682" spans="1:96" ht="15.75" customHeight="1">
      <c r="A682" s="8"/>
      <c r="B682" s="8"/>
      <c r="C682" s="8"/>
      <c r="D682" s="8"/>
      <c r="E682" s="8"/>
      <c r="F682" s="8"/>
      <c r="G682" s="789"/>
      <c r="H682" s="789"/>
      <c r="I682" s="789"/>
      <c r="J682" s="790"/>
      <c r="K682" s="789"/>
      <c r="L682" s="789"/>
      <c r="M682" s="789"/>
      <c r="N682" s="789"/>
      <c r="O682" s="8"/>
      <c r="P682" s="8"/>
      <c r="Q682" s="8"/>
      <c r="R682" s="8"/>
      <c r="S682" s="789"/>
      <c r="T682" s="789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</row>
    <row r="683" spans="1:96" ht="15.75" customHeight="1">
      <c r="A683" s="8"/>
      <c r="B683" s="8"/>
      <c r="C683" s="8"/>
      <c r="D683" s="8"/>
      <c r="E683" s="8"/>
      <c r="F683" s="8"/>
      <c r="G683" s="789"/>
      <c r="H683" s="789"/>
      <c r="I683" s="789"/>
      <c r="J683" s="790"/>
      <c r="K683" s="789"/>
      <c r="L683" s="789"/>
      <c r="M683" s="789"/>
      <c r="N683" s="789"/>
      <c r="O683" s="8"/>
      <c r="P683" s="8"/>
      <c r="Q683" s="8"/>
      <c r="R683" s="8"/>
      <c r="S683" s="789"/>
      <c r="T683" s="789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</row>
    <row r="684" spans="1:96" ht="15.75" customHeight="1">
      <c r="A684" s="8"/>
      <c r="B684" s="8"/>
      <c r="C684" s="8"/>
      <c r="D684" s="8"/>
      <c r="E684" s="8"/>
      <c r="F684" s="8"/>
      <c r="G684" s="789"/>
      <c r="H684" s="789"/>
      <c r="I684" s="789"/>
      <c r="J684" s="790"/>
      <c r="K684" s="789"/>
      <c r="L684" s="789"/>
      <c r="M684" s="789"/>
      <c r="N684" s="789"/>
      <c r="O684" s="8"/>
      <c r="P684" s="8"/>
      <c r="Q684" s="8"/>
      <c r="R684" s="8"/>
      <c r="S684" s="789"/>
      <c r="T684" s="789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</row>
    <row r="685" spans="1:96" ht="15.75" customHeight="1">
      <c r="A685" s="8"/>
      <c r="B685" s="8"/>
      <c r="C685" s="8"/>
      <c r="D685" s="8"/>
      <c r="E685" s="8"/>
      <c r="F685" s="8"/>
      <c r="G685" s="789"/>
      <c r="H685" s="789"/>
      <c r="I685" s="789"/>
      <c r="J685" s="790"/>
      <c r="K685" s="789"/>
      <c r="L685" s="789"/>
      <c r="M685" s="789"/>
      <c r="N685" s="789"/>
      <c r="O685" s="8"/>
      <c r="P685" s="8"/>
      <c r="Q685" s="8"/>
      <c r="R685" s="8"/>
      <c r="S685" s="789"/>
      <c r="T685" s="789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</row>
    <row r="686" spans="1:96" ht="15.75" customHeight="1">
      <c r="A686" s="8"/>
      <c r="B686" s="8"/>
      <c r="C686" s="8"/>
      <c r="D686" s="8"/>
      <c r="E686" s="8"/>
      <c r="F686" s="8"/>
      <c r="G686" s="789"/>
      <c r="H686" s="789"/>
      <c r="I686" s="789"/>
      <c r="J686" s="790"/>
      <c r="K686" s="789"/>
      <c r="L686" s="789"/>
      <c r="M686" s="789"/>
      <c r="N686" s="789"/>
      <c r="O686" s="8"/>
      <c r="P686" s="8"/>
      <c r="Q686" s="8"/>
      <c r="R686" s="8"/>
      <c r="S686" s="789"/>
      <c r="T686" s="789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</row>
    <row r="687" spans="1:96" ht="15.75" customHeight="1">
      <c r="A687" s="8"/>
      <c r="B687" s="8"/>
      <c r="C687" s="8"/>
      <c r="D687" s="8"/>
      <c r="E687" s="8"/>
      <c r="F687" s="8"/>
      <c r="G687" s="789"/>
      <c r="H687" s="789"/>
      <c r="I687" s="789"/>
      <c r="J687" s="790"/>
      <c r="K687" s="789"/>
      <c r="L687" s="789"/>
      <c r="M687" s="789"/>
      <c r="N687" s="789"/>
      <c r="O687" s="8"/>
      <c r="P687" s="8"/>
      <c r="Q687" s="8"/>
      <c r="R687" s="8"/>
      <c r="S687" s="789"/>
      <c r="T687" s="789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</row>
    <row r="688" spans="1:96" ht="15.75" customHeight="1">
      <c r="A688" s="8"/>
      <c r="B688" s="8"/>
      <c r="C688" s="8"/>
      <c r="D688" s="8"/>
      <c r="E688" s="8"/>
      <c r="F688" s="8"/>
      <c r="G688" s="789"/>
      <c r="H688" s="789"/>
      <c r="I688" s="789"/>
      <c r="J688" s="790"/>
      <c r="K688" s="789"/>
      <c r="L688" s="789"/>
      <c r="M688" s="789"/>
      <c r="N688" s="789"/>
      <c r="O688" s="8"/>
      <c r="P688" s="8"/>
      <c r="Q688" s="8"/>
      <c r="R688" s="8"/>
      <c r="S688" s="789"/>
      <c r="T688" s="789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</row>
    <row r="689" spans="1:96" ht="15.75" customHeight="1">
      <c r="A689" s="8"/>
      <c r="B689" s="8"/>
      <c r="C689" s="8"/>
      <c r="D689" s="8"/>
      <c r="E689" s="8"/>
      <c r="F689" s="8"/>
      <c r="G689" s="789"/>
      <c r="H689" s="789"/>
      <c r="I689" s="789"/>
      <c r="J689" s="790"/>
      <c r="K689" s="789"/>
      <c r="L689" s="789"/>
      <c r="M689" s="789"/>
      <c r="N689" s="789"/>
      <c r="O689" s="8"/>
      <c r="P689" s="8"/>
      <c r="Q689" s="8"/>
      <c r="R689" s="8"/>
      <c r="S689" s="789"/>
      <c r="T689" s="789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</row>
    <row r="690" spans="1:96" ht="15.75" customHeight="1">
      <c r="A690" s="8"/>
      <c r="B690" s="8"/>
      <c r="C690" s="8"/>
      <c r="D690" s="8"/>
      <c r="E690" s="8"/>
      <c r="F690" s="8"/>
      <c r="G690" s="789"/>
      <c r="H690" s="789"/>
      <c r="I690" s="789"/>
      <c r="J690" s="790"/>
      <c r="K690" s="789"/>
      <c r="L690" s="789"/>
      <c r="M690" s="789"/>
      <c r="N690" s="789"/>
      <c r="O690" s="8"/>
      <c r="P690" s="8"/>
      <c r="Q690" s="8"/>
      <c r="R690" s="8"/>
      <c r="S690" s="789"/>
      <c r="T690" s="789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</row>
    <row r="691" spans="1:96" ht="15.75" customHeight="1">
      <c r="A691" s="8"/>
      <c r="B691" s="8"/>
      <c r="C691" s="8"/>
      <c r="D691" s="8"/>
      <c r="E691" s="8"/>
      <c r="F691" s="8"/>
      <c r="G691" s="789"/>
      <c r="H691" s="789"/>
      <c r="I691" s="789"/>
      <c r="J691" s="790"/>
      <c r="K691" s="789"/>
      <c r="L691" s="789"/>
      <c r="M691" s="789"/>
      <c r="N691" s="789"/>
      <c r="O691" s="8"/>
      <c r="P691" s="8"/>
      <c r="Q691" s="8"/>
      <c r="R691" s="8"/>
      <c r="S691" s="789"/>
      <c r="T691" s="789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</row>
    <row r="692" spans="1:96" ht="15.75" customHeight="1">
      <c r="A692" s="8"/>
      <c r="B692" s="8"/>
      <c r="C692" s="8"/>
      <c r="D692" s="8"/>
      <c r="E692" s="8"/>
      <c r="F692" s="8"/>
      <c r="G692" s="789"/>
      <c r="H692" s="789"/>
      <c r="I692" s="789"/>
      <c r="J692" s="790"/>
      <c r="K692" s="789"/>
      <c r="L692" s="789"/>
      <c r="M692" s="789"/>
      <c r="N692" s="789"/>
      <c r="O692" s="8"/>
      <c r="P692" s="8"/>
      <c r="Q692" s="8"/>
      <c r="R692" s="8"/>
      <c r="S692" s="789"/>
      <c r="T692" s="789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</row>
    <row r="693" spans="1:96" ht="15.75" customHeight="1">
      <c r="A693" s="8"/>
      <c r="B693" s="8"/>
      <c r="C693" s="8"/>
      <c r="D693" s="8"/>
      <c r="E693" s="8"/>
      <c r="F693" s="8"/>
      <c r="G693" s="789"/>
      <c r="H693" s="789"/>
      <c r="I693" s="789"/>
      <c r="J693" s="790"/>
      <c r="K693" s="789"/>
      <c r="L693" s="789"/>
      <c r="M693" s="789"/>
      <c r="N693" s="789"/>
      <c r="O693" s="8"/>
      <c r="P693" s="8"/>
      <c r="Q693" s="8"/>
      <c r="R693" s="8"/>
      <c r="S693" s="789"/>
      <c r="T693" s="789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</row>
    <row r="694" spans="1:96" ht="15.75" customHeight="1">
      <c r="A694" s="8"/>
      <c r="B694" s="8"/>
      <c r="C694" s="8"/>
      <c r="D694" s="8"/>
      <c r="E694" s="8"/>
      <c r="F694" s="8"/>
      <c r="G694" s="789"/>
      <c r="H694" s="789"/>
      <c r="I694" s="789"/>
      <c r="J694" s="790"/>
      <c r="K694" s="789"/>
      <c r="L694" s="789"/>
      <c r="M694" s="789"/>
      <c r="N694" s="789"/>
      <c r="O694" s="8"/>
      <c r="P694" s="8"/>
      <c r="Q694" s="8"/>
      <c r="R694" s="8"/>
      <c r="S694" s="789"/>
      <c r="T694" s="789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</row>
    <row r="695" spans="1:96" ht="15.75" customHeight="1">
      <c r="A695" s="8"/>
      <c r="B695" s="8"/>
      <c r="C695" s="8"/>
      <c r="D695" s="8"/>
      <c r="E695" s="8"/>
      <c r="F695" s="8"/>
      <c r="G695" s="789"/>
      <c r="H695" s="789"/>
      <c r="I695" s="789"/>
      <c r="J695" s="790"/>
      <c r="K695" s="789"/>
      <c r="L695" s="789"/>
      <c r="M695" s="789"/>
      <c r="N695" s="789"/>
      <c r="O695" s="8"/>
      <c r="P695" s="8"/>
      <c r="Q695" s="8"/>
      <c r="R695" s="8"/>
      <c r="S695" s="789"/>
      <c r="T695" s="789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</row>
    <row r="696" spans="1:96" ht="15.75" customHeight="1">
      <c r="A696" s="8"/>
      <c r="B696" s="8"/>
      <c r="C696" s="8"/>
      <c r="D696" s="8"/>
      <c r="E696" s="8"/>
      <c r="F696" s="8"/>
      <c r="G696" s="789"/>
      <c r="H696" s="789"/>
      <c r="I696" s="789"/>
      <c r="J696" s="790"/>
      <c r="K696" s="789"/>
      <c r="L696" s="789"/>
      <c r="M696" s="789"/>
      <c r="N696" s="789"/>
      <c r="O696" s="8"/>
      <c r="P696" s="8"/>
      <c r="Q696" s="8"/>
      <c r="R696" s="8"/>
      <c r="S696" s="789"/>
      <c r="T696" s="789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</row>
    <row r="697" spans="1:96" ht="15.75" customHeight="1">
      <c r="A697" s="8"/>
      <c r="B697" s="8"/>
      <c r="C697" s="8"/>
      <c r="D697" s="8"/>
      <c r="E697" s="8"/>
      <c r="F697" s="8"/>
      <c r="G697" s="789"/>
      <c r="H697" s="789"/>
      <c r="I697" s="789"/>
      <c r="J697" s="790"/>
      <c r="K697" s="789"/>
      <c r="L697" s="789"/>
      <c r="M697" s="789"/>
      <c r="N697" s="789"/>
      <c r="O697" s="8"/>
      <c r="P697" s="8"/>
      <c r="Q697" s="8"/>
      <c r="R697" s="8"/>
      <c r="S697" s="789"/>
      <c r="T697" s="789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</row>
    <row r="698" spans="1:96" ht="15.75" customHeight="1">
      <c r="A698" s="8"/>
      <c r="B698" s="8"/>
      <c r="C698" s="8"/>
      <c r="D698" s="8"/>
      <c r="E698" s="8"/>
      <c r="F698" s="8"/>
      <c r="G698" s="789"/>
      <c r="H698" s="789"/>
      <c r="I698" s="789"/>
      <c r="J698" s="790"/>
      <c r="K698" s="789"/>
      <c r="L698" s="789"/>
      <c r="M698" s="789"/>
      <c r="N698" s="789"/>
      <c r="O698" s="8"/>
      <c r="P698" s="8"/>
      <c r="Q698" s="8"/>
      <c r="R698" s="8"/>
      <c r="S698" s="789"/>
      <c r="T698" s="789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</row>
    <row r="699" spans="1:96" ht="15.75" customHeight="1">
      <c r="A699" s="8"/>
      <c r="B699" s="8"/>
      <c r="C699" s="8"/>
      <c r="D699" s="8"/>
      <c r="E699" s="8"/>
      <c r="F699" s="8"/>
      <c r="G699" s="789"/>
      <c r="H699" s="789"/>
      <c r="I699" s="789"/>
      <c r="J699" s="790"/>
      <c r="K699" s="789"/>
      <c r="L699" s="789"/>
      <c r="M699" s="789"/>
      <c r="N699" s="789"/>
      <c r="O699" s="8"/>
      <c r="P699" s="8"/>
      <c r="Q699" s="8"/>
      <c r="R699" s="8"/>
      <c r="S699" s="789"/>
      <c r="T699" s="789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</row>
    <row r="700" spans="1:96" ht="15.75" customHeight="1">
      <c r="A700" s="8"/>
      <c r="B700" s="8"/>
      <c r="C700" s="8"/>
      <c r="D700" s="8"/>
      <c r="E700" s="8"/>
      <c r="F700" s="8"/>
      <c r="G700" s="789"/>
      <c r="H700" s="789"/>
      <c r="I700" s="789"/>
      <c r="J700" s="790"/>
      <c r="K700" s="789"/>
      <c r="L700" s="789"/>
      <c r="M700" s="789"/>
      <c r="N700" s="789"/>
      <c r="O700" s="8"/>
      <c r="P700" s="8"/>
      <c r="Q700" s="8"/>
      <c r="R700" s="8"/>
      <c r="S700" s="789"/>
      <c r="T700" s="789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</row>
    <row r="701" spans="1:96" ht="15.75" customHeight="1">
      <c r="A701" s="8"/>
      <c r="B701" s="8"/>
      <c r="C701" s="8"/>
      <c r="D701" s="8"/>
      <c r="E701" s="8"/>
      <c r="F701" s="8"/>
      <c r="G701" s="789"/>
      <c r="H701" s="789"/>
      <c r="I701" s="789"/>
      <c r="J701" s="790"/>
      <c r="K701" s="789"/>
      <c r="L701" s="789"/>
      <c r="M701" s="789"/>
      <c r="N701" s="789"/>
      <c r="O701" s="8"/>
      <c r="P701" s="8"/>
      <c r="Q701" s="8"/>
      <c r="R701" s="8"/>
      <c r="S701" s="789"/>
      <c r="T701" s="789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</row>
    <row r="702" spans="1:96" ht="15.75" customHeight="1">
      <c r="A702" s="8"/>
      <c r="B702" s="8"/>
      <c r="C702" s="8"/>
      <c r="D702" s="8"/>
      <c r="E702" s="8"/>
      <c r="F702" s="8"/>
      <c r="G702" s="789"/>
      <c r="H702" s="789"/>
      <c r="I702" s="789"/>
      <c r="J702" s="790"/>
      <c r="K702" s="789"/>
      <c r="L702" s="789"/>
      <c r="M702" s="789"/>
      <c r="N702" s="789"/>
      <c r="O702" s="8"/>
      <c r="P702" s="8"/>
      <c r="Q702" s="8"/>
      <c r="R702" s="8"/>
      <c r="S702" s="789"/>
      <c r="T702" s="789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</row>
    <row r="703" spans="1:96" ht="15.75" customHeight="1">
      <c r="A703" s="8"/>
      <c r="B703" s="8"/>
      <c r="C703" s="8"/>
      <c r="D703" s="8"/>
      <c r="E703" s="8"/>
      <c r="F703" s="8"/>
      <c r="G703" s="789"/>
      <c r="H703" s="789"/>
      <c r="I703" s="789"/>
      <c r="J703" s="790"/>
      <c r="K703" s="789"/>
      <c r="L703" s="789"/>
      <c r="M703" s="789"/>
      <c r="N703" s="789"/>
      <c r="O703" s="8"/>
      <c r="P703" s="8"/>
      <c r="Q703" s="8"/>
      <c r="R703" s="8"/>
      <c r="S703" s="789"/>
      <c r="T703" s="789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</row>
    <row r="704" spans="1:96" ht="15.75" customHeight="1">
      <c r="A704" s="8"/>
      <c r="B704" s="8"/>
      <c r="C704" s="8"/>
      <c r="D704" s="8"/>
      <c r="E704" s="8"/>
      <c r="F704" s="8"/>
      <c r="G704" s="789"/>
      <c r="H704" s="789"/>
      <c r="I704" s="789"/>
      <c r="J704" s="790"/>
      <c r="K704" s="789"/>
      <c r="L704" s="789"/>
      <c r="M704" s="789"/>
      <c r="N704" s="789"/>
      <c r="O704" s="8"/>
      <c r="P704" s="8"/>
      <c r="Q704" s="8"/>
      <c r="R704" s="8"/>
      <c r="S704" s="789"/>
      <c r="T704" s="789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</row>
    <row r="705" spans="1:96" ht="15.75" customHeight="1">
      <c r="A705" s="8"/>
      <c r="B705" s="8"/>
      <c r="C705" s="8"/>
      <c r="D705" s="8"/>
      <c r="E705" s="8"/>
      <c r="F705" s="8"/>
      <c r="G705" s="789"/>
      <c r="H705" s="789"/>
      <c r="I705" s="789"/>
      <c r="J705" s="790"/>
      <c r="K705" s="789"/>
      <c r="L705" s="789"/>
      <c r="M705" s="789"/>
      <c r="N705" s="789"/>
      <c r="O705" s="8"/>
      <c r="P705" s="8"/>
      <c r="Q705" s="8"/>
      <c r="R705" s="8"/>
      <c r="S705" s="789"/>
      <c r="T705" s="789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</row>
    <row r="706" spans="1:96" ht="15.75" customHeight="1">
      <c r="A706" s="8"/>
      <c r="B706" s="8"/>
      <c r="C706" s="8"/>
      <c r="D706" s="8"/>
      <c r="E706" s="8"/>
      <c r="F706" s="8"/>
      <c r="G706" s="789"/>
      <c r="H706" s="789"/>
      <c r="I706" s="789"/>
      <c r="J706" s="790"/>
      <c r="K706" s="789"/>
      <c r="L706" s="789"/>
      <c r="M706" s="789"/>
      <c r="N706" s="789"/>
      <c r="O706" s="8"/>
      <c r="P706" s="8"/>
      <c r="Q706" s="8"/>
      <c r="R706" s="8"/>
      <c r="S706" s="789"/>
      <c r="T706" s="789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</row>
    <row r="707" spans="1:96" ht="15.75" customHeight="1">
      <c r="A707" s="8"/>
      <c r="B707" s="8"/>
      <c r="C707" s="8"/>
      <c r="D707" s="8"/>
      <c r="E707" s="8"/>
      <c r="F707" s="8"/>
      <c r="G707" s="789"/>
      <c r="H707" s="789"/>
      <c r="I707" s="789"/>
      <c r="J707" s="790"/>
      <c r="K707" s="789"/>
      <c r="L707" s="789"/>
      <c r="M707" s="789"/>
      <c r="N707" s="789"/>
      <c r="O707" s="8"/>
      <c r="P707" s="8"/>
      <c r="Q707" s="8"/>
      <c r="R707" s="8"/>
      <c r="S707" s="789"/>
      <c r="T707" s="789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</row>
    <row r="708" spans="1:96" ht="15.75" customHeight="1">
      <c r="A708" s="8"/>
      <c r="B708" s="8"/>
      <c r="C708" s="8"/>
      <c r="D708" s="8"/>
      <c r="E708" s="8"/>
      <c r="F708" s="8"/>
      <c r="G708" s="789"/>
      <c r="H708" s="789"/>
      <c r="I708" s="789"/>
      <c r="J708" s="790"/>
      <c r="K708" s="789"/>
      <c r="L708" s="789"/>
      <c r="M708" s="789"/>
      <c r="N708" s="789"/>
      <c r="O708" s="8"/>
      <c r="P708" s="8"/>
      <c r="Q708" s="8"/>
      <c r="R708" s="8"/>
      <c r="S708" s="789"/>
      <c r="T708" s="789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</row>
    <row r="709" spans="1:96" ht="15.75" customHeight="1">
      <c r="A709" s="8"/>
      <c r="B709" s="8"/>
      <c r="C709" s="8"/>
      <c r="D709" s="8"/>
      <c r="E709" s="8"/>
      <c r="F709" s="8"/>
      <c r="G709" s="789"/>
      <c r="H709" s="789"/>
      <c r="I709" s="789"/>
      <c r="J709" s="790"/>
      <c r="K709" s="789"/>
      <c r="L709" s="789"/>
      <c r="M709" s="789"/>
      <c r="N709" s="789"/>
      <c r="O709" s="8"/>
      <c r="P709" s="8"/>
      <c r="Q709" s="8"/>
      <c r="R709" s="8"/>
      <c r="S709" s="789"/>
      <c r="T709" s="789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</row>
    <row r="710" spans="1:96" ht="15.75" customHeight="1">
      <c r="A710" s="8"/>
      <c r="B710" s="8"/>
      <c r="C710" s="8"/>
      <c r="D710" s="8"/>
      <c r="E710" s="8"/>
      <c r="F710" s="8"/>
      <c r="G710" s="789"/>
      <c r="H710" s="789"/>
      <c r="I710" s="789"/>
      <c r="J710" s="790"/>
      <c r="K710" s="789"/>
      <c r="L710" s="789"/>
      <c r="M710" s="789"/>
      <c r="N710" s="789"/>
      <c r="O710" s="8"/>
      <c r="P710" s="8"/>
      <c r="Q710" s="8"/>
      <c r="R710" s="8"/>
      <c r="S710" s="789"/>
      <c r="T710" s="789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</row>
    <row r="711" spans="1:96" ht="15.75" customHeight="1">
      <c r="A711" s="8"/>
      <c r="B711" s="8"/>
      <c r="C711" s="8"/>
      <c r="D711" s="8"/>
      <c r="E711" s="8"/>
      <c r="F711" s="8"/>
      <c r="G711" s="789"/>
      <c r="H711" s="789"/>
      <c r="I711" s="789"/>
      <c r="J711" s="790"/>
      <c r="K711" s="789"/>
      <c r="L711" s="789"/>
      <c r="M711" s="789"/>
      <c r="N711" s="789"/>
      <c r="O711" s="8"/>
      <c r="P711" s="8"/>
      <c r="Q711" s="8"/>
      <c r="R711" s="8"/>
      <c r="S711" s="789"/>
      <c r="T711" s="789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</row>
    <row r="712" spans="1:96" ht="15.75" customHeight="1">
      <c r="A712" s="8"/>
      <c r="B712" s="8"/>
      <c r="C712" s="8"/>
      <c r="D712" s="8"/>
      <c r="E712" s="8"/>
      <c r="F712" s="8"/>
      <c r="G712" s="789"/>
      <c r="H712" s="789"/>
      <c r="I712" s="789"/>
      <c r="J712" s="790"/>
      <c r="K712" s="789"/>
      <c r="L712" s="789"/>
      <c r="M712" s="789"/>
      <c r="N712" s="789"/>
      <c r="O712" s="8"/>
      <c r="P712" s="8"/>
      <c r="Q712" s="8"/>
      <c r="R712" s="8"/>
      <c r="S712" s="789"/>
      <c r="T712" s="789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</row>
    <row r="713" spans="1:96" ht="15.75" customHeight="1">
      <c r="A713" s="8"/>
      <c r="B713" s="8"/>
      <c r="C713" s="8"/>
      <c r="D713" s="8"/>
      <c r="E713" s="8"/>
      <c r="F713" s="8"/>
      <c r="G713" s="789"/>
      <c r="H713" s="789"/>
      <c r="I713" s="789"/>
      <c r="J713" s="790"/>
      <c r="K713" s="789"/>
      <c r="L713" s="789"/>
      <c r="M713" s="789"/>
      <c r="N713" s="789"/>
      <c r="O713" s="8"/>
      <c r="P713" s="8"/>
      <c r="Q713" s="8"/>
      <c r="R713" s="8"/>
      <c r="S713" s="789"/>
      <c r="T713" s="789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</row>
    <row r="714" spans="1:96" ht="15.75" customHeight="1">
      <c r="A714" s="8"/>
      <c r="B714" s="8"/>
      <c r="C714" s="8"/>
      <c r="D714" s="8"/>
      <c r="E714" s="8"/>
      <c r="F714" s="8"/>
      <c r="G714" s="789"/>
      <c r="H714" s="789"/>
      <c r="I714" s="789"/>
      <c r="J714" s="790"/>
      <c r="K714" s="789"/>
      <c r="L714" s="789"/>
      <c r="M714" s="789"/>
      <c r="N714" s="789"/>
      <c r="O714" s="8"/>
      <c r="P714" s="8"/>
      <c r="Q714" s="8"/>
      <c r="R714" s="8"/>
      <c r="S714" s="789"/>
      <c r="T714" s="789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</row>
    <row r="715" spans="1:96" ht="15.75" customHeight="1">
      <c r="A715" s="8"/>
      <c r="B715" s="8"/>
      <c r="C715" s="8"/>
      <c r="D715" s="8"/>
      <c r="E715" s="8"/>
      <c r="F715" s="8"/>
      <c r="G715" s="789"/>
      <c r="H715" s="789"/>
      <c r="I715" s="789"/>
      <c r="J715" s="790"/>
      <c r="K715" s="789"/>
      <c r="L715" s="789"/>
      <c r="M715" s="789"/>
      <c r="N715" s="789"/>
      <c r="O715" s="8"/>
      <c r="P715" s="8"/>
      <c r="Q715" s="8"/>
      <c r="R715" s="8"/>
      <c r="S715" s="789"/>
      <c r="T715" s="789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</row>
    <row r="716" spans="1:96" ht="15.75" customHeight="1">
      <c r="A716" s="8"/>
      <c r="B716" s="8"/>
      <c r="C716" s="8"/>
      <c r="D716" s="8"/>
      <c r="E716" s="8"/>
      <c r="F716" s="8"/>
      <c r="G716" s="789"/>
      <c r="H716" s="789"/>
      <c r="I716" s="789"/>
      <c r="J716" s="790"/>
      <c r="K716" s="789"/>
      <c r="L716" s="789"/>
      <c r="M716" s="789"/>
      <c r="N716" s="789"/>
      <c r="O716" s="8"/>
      <c r="P716" s="8"/>
      <c r="Q716" s="8"/>
      <c r="R716" s="8"/>
      <c r="S716" s="789"/>
      <c r="T716" s="789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</row>
    <row r="717" spans="1:96" ht="15.75" customHeight="1">
      <c r="A717" s="8"/>
      <c r="B717" s="8"/>
      <c r="C717" s="8"/>
      <c r="D717" s="8"/>
      <c r="E717" s="8"/>
      <c r="F717" s="8"/>
      <c r="G717" s="789"/>
      <c r="H717" s="789"/>
      <c r="I717" s="789"/>
      <c r="J717" s="790"/>
      <c r="K717" s="789"/>
      <c r="L717" s="789"/>
      <c r="M717" s="789"/>
      <c r="N717" s="789"/>
      <c r="O717" s="8"/>
      <c r="P717" s="8"/>
      <c r="Q717" s="8"/>
      <c r="R717" s="8"/>
      <c r="S717" s="789"/>
      <c r="T717" s="789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</row>
    <row r="718" spans="1:96" ht="15.75" customHeight="1">
      <c r="A718" s="8"/>
      <c r="B718" s="8"/>
      <c r="C718" s="8"/>
      <c r="D718" s="8"/>
      <c r="E718" s="8"/>
      <c r="F718" s="8"/>
      <c r="G718" s="789"/>
      <c r="H718" s="789"/>
      <c r="I718" s="789"/>
      <c r="J718" s="790"/>
      <c r="K718" s="789"/>
      <c r="L718" s="789"/>
      <c r="M718" s="789"/>
      <c r="N718" s="789"/>
      <c r="O718" s="8"/>
      <c r="P718" s="8"/>
      <c r="Q718" s="8"/>
      <c r="R718" s="8"/>
      <c r="S718" s="789"/>
      <c r="T718" s="789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</row>
    <row r="719" spans="1:96" ht="15.75" customHeight="1">
      <c r="A719" s="8"/>
      <c r="B719" s="8"/>
      <c r="C719" s="8"/>
      <c r="D719" s="8"/>
      <c r="E719" s="8"/>
      <c r="F719" s="8"/>
      <c r="G719" s="789"/>
      <c r="H719" s="789"/>
      <c r="I719" s="789"/>
      <c r="J719" s="790"/>
      <c r="K719" s="789"/>
      <c r="L719" s="789"/>
      <c r="M719" s="789"/>
      <c r="N719" s="789"/>
      <c r="O719" s="8"/>
      <c r="P719" s="8"/>
      <c r="Q719" s="8"/>
      <c r="R719" s="8"/>
      <c r="S719" s="789"/>
      <c r="T719" s="789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</row>
    <row r="720" spans="1:96" ht="15.75" customHeight="1">
      <c r="A720" s="8"/>
      <c r="B720" s="8"/>
      <c r="C720" s="8"/>
      <c r="D720" s="8"/>
      <c r="E720" s="8"/>
      <c r="F720" s="8"/>
      <c r="G720" s="789"/>
      <c r="H720" s="789"/>
      <c r="I720" s="789"/>
      <c r="J720" s="790"/>
      <c r="K720" s="789"/>
      <c r="L720" s="789"/>
      <c r="M720" s="789"/>
      <c r="N720" s="789"/>
      <c r="O720" s="8"/>
      <c r="P720" s="8"/>
      <c r="Q720" s="8"/>
      <c r="R720" s="8"/>
      <c r="S720" s="789"/>
      <c r="T720" s="789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</row>
    <row r="721" spans="1:96" ht="15.75" customHeight="1">
      <c r="A721" s="8"/>
      <c r="B721" s="8"/>
      <c r="C721" s="8"/>
      <c r="D721" s="8"/>
      <c r="E721" s="8"/>
      <c r="F721" s="8"/>
      <c r="G721" s="789"/>
      <c r="H721" s="789"/>
      <c r="I721" s="789"/>
      <c r="J721" s="790"/>
      <c r="K721" s="789"/>
      <c r="L721" s="789"/>
      <c r="M721" s="789"/>
      <c r="N721" s="789"/>
      <c r="O721" s="8"/>
      <c r="P721" s="8"/>
      <c r="Q721" s="8"/>
      <c r="R721" s="8"/>
      <c r="S721" s="789"/>
      <c r="T721" s="789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</row>
    <row r="722" spans="1:96" ht="15.75" customHeight="1">
      <c r="A722" s="8"/>
      <c r="B722" s="8"/>
      <c r="C722" s="8"/>
      <c r="D722" s="8"/>
      <c r="E722" s="8"/>
      <c r="F722" s="8"/>
      <c r="G722" s="789"/>
      <c r="H722" s="789"/>
      <c r="I722" s="789"/>
      <c r="J722" s="790"/>
      <c r="K722" s="789"/>
      <c r="L722" s="789"/>
      <c r="M722" s="789"/>
      <c r="N722" s="789"/>
      <c r="O722" s="8"/>
      <c r="P722" s="8"/>
      <c r="Q722" s="8"/>
      <c r="R722" s="8"/>
      <c r="S722" s="789"/>
      <c r="T722" s="789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</row>
    <row r="723" spans="1:96" ht="15.75" customHeight="1">
      <c r="A723" s="8"/>
      <c r="B723" s="8"/>
      <c r="C723" s="8"/>
      <c r="D723" s="8"/>
      <c r="E723" s="8"/>
      <c r="F723" s="8"/>
      <c r="G723" s="789"/>
      <c r="H723" s="789"/>
      <c r="I723" s="789"/>
      <c r="J723" s="790"/>
      <c r="K723" s="789"/>
      <c r="L723" s="789"/>
      <c r="M723" s="789"/>
      <c r="N723" s="789"/>
      <c r="O723" s="8"/>
      <c r="P723" s="8"/>
      <c r="Q723" s="8"/>
      <c r="R723" s="8"/>
      <c r="S723" s="789"/>
      <c r="T723" s="789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</row>
    <row r="724" spans="1:96" ht="15.75" customHeight="1">
      <c r="A724" s="8"/>
      <c r="B724" s="8"/>
      <c r="C724" s="8"/>
      <c r="D724" s="8"/>
      <c r="E724" s="8"/>
      <c r="F724" s="8"/>
      <c r="G724" s="789"/>
      <c r="H724" s="789"/>
      <c r="I724" s="789"/>
      <c r="J724" s="790"/>
      <c r="K724" s="789"/>
      <c r="L724" s="789"/>
      <c r="M724" s="789"/>
      <c r="N724" s="789"/>
      <c r="O724" s="8"/>
      <c r="P724" s="8"/>
      <c r="Q724" s="8"/>
      <c r="R724" s="8"/>
      <c r="S724" s="789"/>
      <c r="T724" s="789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</row>
    <row r="725" spans="1:96" ht="15.75" customHeight="1">
      <c r="A725" s="8"/>
      <c r="B725" s="8"/>
      <c r="C725" s="8"/>
      <c r="D725" s="8"/>
      <c r="E725" s="8"/>
      <c r="F725" s="8"/>
      <c r="G725" s="789"/>
      <c r="H725" s="789"/>
      <c r="I725" s="789"/>
      <c r="J725" s="790"/>
      <c r="K725" s="789"/>
      <c r="L725" s="789"/>
      <c r="M725" s="789"/>
      <c r="N725" s="789"/>
      <c r="O725" s="8"/>
      <c r="P725" s="8"/>
      <c r="Q725" s="8"/>
      <c r="R725" s="8"/>
      <c r="S725" s="789"/>
      <c r="T725" s="789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</row>
    <row r="726" spans="1:96" ht="15.75" customHeight="1">
      <c r="A726" s="8"/>
      <c r="B726" s="8"/>
      <c r="C726" s="8"/>
      <c r="D726" s="8"/>
      <c r="E726" s="8"/>
      <c r="F726" s="8"/>
      <c r="G726" s="789"/>
      <c r="H726" s="789"/>
      <c r="I726" s="789"/>
      <c r="J726" s="790"/>
      <c r="K726" s="789"/>
      <c r="L726" s="789"/>
      <c r="M726" s="789"/>
      <c r="N726" s="789"/>
      <c r="O726" s="8"/>
      <c r="P726" s="8"/>
      <c r="Q726" s="8"/>
      <c r="R726" s="8"/>
      <c r="S726" s="789"/>
      <c r="T726" s="789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</row>
    <row r="727" spans="1:96" ht="15.75" customHeight="1">
      <c r="A727" s="8"/>
      <c r="B727" s="8"/>
      <c r="C727" s="8"/>
      <c r="D727" s="8"/>
      <c r="E727" s="8"/>
      <c r="F727" s="8"/>
      <c r="G727" s="789"/>
      <c r="H727" s="789"/>
      <c r="I727" s="789"/>
      <c r="J727" s="790"/>
      <c r="K727" s="789"/>
      <c r="L727" s="789"/>
      <c r="M727" s="789"/>
      <c r="N727" s="789"/>
      <c r="O727" s="8"/>
      <c r="P727" s="8"/>
      <c r="Q727" s="8"/>
      <c r="R727" s="8"/>
      <c r="S727" s="789"/>
      <c r="T727" s="789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</row>
    <row r="728" spans="1:96" ht="15.75" customHeight="1">
      <c r="A728" s="8"/>
      <c r="B728" s="8"/>
      <c r="C728" s="8"/>
      <c r="D728" s="8"/>
      <c r="E728" s="8"/>
      <c r="F728" s="8"/>
      <c r="G728" s="789"/>
      <c r="H728" s="789"/>
      <c r="I728" s="789"/>
      <c r="J728" s="790"/>
      <c r="K728" s="789"/>
      <c r="L728" s="789"/>
      <c r="M728" s="789"/>
      <c r="N728" s="789"/>
      <c r="O728" s="8"/>
      <c r="P728" s="8"/>
      <c r="Q728" s="8"/>
      <c r="R728" s="8"/>
      <c r="S728" s="789"/>
      <c r="T728" s="789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</row>
    <row r="729" spans="1:96" ht="15.75" customHeight="1">
      <c r="A729" s="8"/>
      <c r="B729" s="8"/>
      <c r="C729" s="8"/>
      <c r="D729" s="8"/>
      <c r="E729" s="8"/>
      <c r="F729" s="8"/>
      <c r="G729" s="789"/>
      <c r="H729" s="789"/>
      <c r="I729" s="789"/>
      <c r="J729" s="790"/>
      <c r="K729" s="789"/>
      <c r="L729" s="789"/>
      <c r="M729" s="789"/>
      <c r="N729" s="789"/>
      <c r="O729" s="8"/>
      <c r="P729" s="8"/>
      <c r="Q729" s="8"/>
      <c r="R729" s="8"/>
      <c r="S729" s="789"/>
      <c r="T729" s="789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</row>
    <row r="730" spans="1:96" ht="15.75" customHeight="1">
      <c r="A730" s="8"/>
      <c r="B730" s="8"/>
      <c r="C730" s="8"/>
      <c r="D730" s="8"/>
      <c r="E730" s="8"/>
      <c r="F730" s="8"/>
      <c r="G730" s="789"/>
      <c r="H730" s="789"/>
      <c r="I730" s="789"/>
      <c r="J730" s="790"/>
      <c r="K730" s="789"/>
      <c r="L730" s="789"/>
      <c r="M730" s="789"/>
      <c r="N730" s="789"/>
      <c r="O730" s="8"/>
      <c r="P730" s="8"/>
      <c r="Q730" s="8"/>
      <c r="R730" s="8"/>
      <c r="S730" s="789"/>
      <c r="T730" s="789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</row>
    <row r="731" spans="1:96" ht="15.75" customHeight="1">
      <c r="A731" s="8"/>
      <c r="B731" s="8"/>
      <c r="C731" s="8"/>
      <c r="D731" s="8"/>
      <c r="E731" s="8"/>
      <c r="F731" s="8"/>
      <c r="G731" s="789"/>
      <c r="H731" s="789"/>
      <c r="I731" s="789"/>
      <c r="J731" s="790"/>
      <c r="K731" s="789"/>
      <c r="L731" s="789"/>
      <c r="M731" s="789"/>
      <c r="N731" s="789"/>
      <c r="O731" s="8"/>
      <c r="P731" s="8"/>
      <c r="Q731" s="8"/>
      <c r="R731" s="8"/>
      <c r="S731" s="789"/>
      <c r="T731" s="789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</row>
    <row r="732" spans="1:96" ht="15.75" customHeight="1">
      <c r="A732" s="8"/>
      <c r="B732" s="8"/>
      <c r="C732" s="8"/>
      <c r="D732" s="8"/>
      <c r="E732" s="8"/>
      <c r="F732" s="8"/>
      <c r="G732" s="789"/>
      <c r="H732" s="789"/>
      <c r="I732" s="789"/>
      <c r="J732" s="790"/>
      <c r="K732" s="789"/>
      <c r="L732" s="789"/>
      <c r="M732" s="789"/>
      <c r="N732" s="789"/>
      <c r="O732" s="8"/>
      <c r="P732" s="8"/>
      <c r="Q732" s="8"/>
      <c r="R732" s="8"/>
      <c r="S732" s="789"/>
      <c r="T732" s="789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</row>
    <row r="733" spans="1:96" ht="15.75" customHeight="1">
      <c r="A733" s="8"/>
      <c r="B733" s="8"/>
      <c r="C733" s="8"/>
      <c r="D733" s="8"/>
      <c r="E733" s="8"/>
      <c r="F733" s="8"/>
      <c r="G733" s="789"/>
      <c r="H733" s="789"/>
      <c r="I733" s="789"/>
      <c r="J733" s="790"/>
      <c r="K733" s="789"/>
      <c r="L733" s="789"/>
      <c r="M733" s="789"/>
      <c r="N733" s="789"/>
      <c r="O733" s="8"/>
      <c r="P733" s="8"/>
      <c r="Q733" s="8"/>
      <c r="R733" s="8"/>
      <c r="S733" s="789"/>
      <c r="T733" s="789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</row>
    <row r="734" spans="1:96" ht="15.75" customHeight="1">
      <c r="A734" s="8"/>
      <c r="B734" s="8"/>
      <c r="C734" s="8"/>
      <c r="D734" s="8"/>
      <c r="E734" s="8"/>
      <c r="F734" s="8"/>
      <c r="G734" s="789"/>
      <c r="H734" s="789"/>
      <c r="I734" s="789"/>
      <c r="J734" s="790"/>
      <c r="K734" s="789"/>
      <c r="L734" s="789"/>
      <c r="M734" s="789"/>
      <c r="N734" s="789"/>
      <c r="O734" s="8"/>
      <c r="P734" s="8"/>
      <c r="Q734" s="8"/>
      <c r="R734" s="8"/>
      <c r="S734" s="789"/>
      <c r="T734" s="789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</row>
    <row r="735" spans="1:96" ht="15.75" customHeight="1">
      <c r="A735" s="8"/>
      <c r="B735" s="8"/>
      <c r="C735" s="8"/>
      <c r="D735" s="8"/>
      <c r="E735" s="8"/>
      <c r="F735" s="8"/>
      <c r="G735" s="789"/>
      <c r="H735" s="789"/>
      <c r="I735" s="789"/>
      <c r="J735" s="790"/>
      <c r="K735" s="789"/>
      <c r="L735" s="789"/>
      <c r="M735" s="789"/>
      <c r="N735" s="789"/>
      <c r="O735" s="8"/>
      <c r="P735" s="8"/>
      <c r="Q735" s="8"/>
      <c r="R735" s="8"/>
      <c r="S735" s="789"/>
      <c r="T735" s="789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</row>
    <row r="736" spans="1:96" ht="15.75" customHeight="1">
      <c r="A736" s="8"/>
      <c r="B736" s="8"/>
      <c r="C736" s="8"/>
      <c r="D736" s="8"/>
      <c r="E736" s="8"/>
      <c r="F736" s="8"/>
      <c r="G736" s="789"/>
      <c r="H736" s="789"/>
      <c r="I736" s="789"/>
      <c r="J736" s="790"/>
      <c r="K736" s="789"/>
      <c r="L736" s="789"/>
      <c r="M736" s="789"/>
      <c r="N736" s="789"/>
      <c r="O736" s="8"/>
      <c r="P736" s="8"/>
      <c r="Q736" s="8"/>
      <c r="R736" s="8"/>
      <c r="S736" s="789"/>
      <c r="T736" s="789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</row>
    <row r="737" spans="1:96" ht="15.75" customHeight="1">
      <c r="A737" s="8"/>
      <c r="B737" s="8"/>
      <c r="C737" s="8"/>
      <c r="D737" s="8"/>
      <c r="E737" s="8"/>
      <c r="F737" s="8"/>
      <c r="G737" s="789"/>
      <c r="H737" s="789"/>
      <c r="I737" s="789"/>
      <c r="J737" s="790"/>
      <c r="K737" s="789"/>
      <c r="L737" s="789"/>
      <c r="M737" s="789"/>
      <c r="N737" s="789"/>
      <c r="O737" s="8"/>
      <c r="P737" s="8"/>
      <c r="Q737" s="8"/>
      <c r="R737" s="8"/>
      <c r="S737" s="789"/>
      <c r="T737" s="789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</row>
    <row r="738" spans="1:96" ht="15.75" customHeight="1">
      <c r="A738" s="8"/>
      <c r="B738" s="8"/>
      <c r="C738" s="8"/>
      <c r="D738" s="8"/>
      <c r="E738" s="8"/>
      <c r="F738" s="8"/>
      <c r="G738" s="789"/>
      <c r="H738" s="789"/>
      <c r="I738" s="789"/>
      <c r="J738" s="790"/>
      <c r="K738" s="789"/>
      <c r="L738" s="789"/>
      <c r="M738" s="789"/>
      <c r="N738" s="789"/>
      <c r="O738" s="8"/>
      <c r="P738" s="8"/>
      <c r="Q738" s="8"/>
      <c r="R738" s="8"/>
      <c r="S738" s="789"/>
      <c r="T738" s="789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</row>
    <row r="739" spans="1:96" ht="15.75" customHeight="1">
      <c r="A739" s="8"/>
      <c r="B739" s="8"/>
      <c r="C739" s="8"/>
      <c r="D739" s="8"/>
      <c r="E739" s="8"/>
      <c r="F739" s="8"/>
      <c r="G739" s="789"/>
      <c r="H739" s="789"/>
      <c r="I739" s="789"/>
      <c r="J739" s="790"/>
      <c r="K739" s="789"/>
      <c r="L739" s="789"/>
      <c r="M739" s="789"/>
      <c r="N739" s="789"/>
      <c r="O739" s="8"/>
      <c r="P739" s="8"/>
      <c r="Q739" s="8"/>
      <c r="R739" s="8"/>
      <c r="S739" s="789"/>
      <c r="T739" s="789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</row>
    <row r="740" spans="1:96" ht="15.75" customHeight="1">
      <c r="A740" s="8"/>
      <c r="B740" s="8"/>
      <c r="C740" s="8"/>
      <c r="D740" s="8"/>
      <c r="E740" s="8"/>
      <c r="F740" s="8"/>
      <c r="G740" s="789"/>
      <c r="H740" s="789"/>
      <c r="I740" s="789"/>
      <c r="J740" s="790"/>
      <c r="K740" s="789"/>
      <c r="L740" s="789"/>
      <c r="M740" s="789"/>
      <c r="N740" s="789"/>
      <c r="O740" s="8"/>
      <c r="P740" s="8"/>
      <c r="Q740" s="8"/>
      <c r="R740" s="8"/>
      <c r="S740" s="789"/>
      <c r="T740" s="789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</row>
    <row r="741" spans="1:96" ht="15.75" customHeight="1">
      <c r="A741" s="8"/>
      <c r="B741" s="8"/>
      <c r="C741" s="8"/>
      <c r="D741" s="8"/>
      <c r="E741" s="8"/>
      <c r="F741" s="8"/>
      <c r="G741" s="789"/>
      <c r="H741" s="789"/>
      <c r="I741" s="789"/>
      <c r="J741" s="790"/>
      <c r="K741" s="789"/>
      <c r="L741" s="789"/>
      <c r="M741" s="789"/>
      <c r="N741" s="789"/>
      <c r="O741" s="8"/>
      <c r="P741" s="8"/>
      <c r="Q741" s="8"/>
      <c r="R741" s="8"/>
      <c r="S741" s="789"/>
      <c r="T741" s="789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</row>
    <row r="742" spans="1:96" ht="15.75" customHeight="1">
      <c r="A742" s="8"/>
      <c r="B742" s="8"/>
      <c r="C742" s="8"/>
      <c r="D742" s="8"/>
      <c r="E742" s="8"/>
      <c r="F742" s="8"/>
      <c r="G742" s="789"/>
      <c r="H742" s="789"/>
      <c r="I742" s="789"/>
      <c r="J742" s="790"/>
      <c r="K742" s="789"/>
      <c r="L742" s="789"/>
      <c r="M742" s="789"/>
      <c r="N742" s="789"/>
      <c r="O742" s="8"/>
      <c r="P742" s="8"/>
      <c r="Q742" s="8"/>
      <c r="R742" s="8"/>
      <c r="S742" s="789"/>
      <c r="T742" s="789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</row>
    <row r="743" spans="1:96" ht="15.75" customHeight="1">
      <c r="A743" s="8"/>
      <c r="B743" s="8"/>
      <c r="C743" s="8"/>
      <c r="D743" s="8"/>
      <c r="E743" s="8"/>
      <c r="F743" s="8"/>
      <c r="G743" s="789"/>
      <c r="H743" s="789"/>
      <c r="I743" s="789"/>
      <c r="J743" s="790"/>
      <c r="K743" s="789"/>
      <c r="L743" s="789"/>
      <c r="M743" s="789"/>
      <c r="N743" s="789"/>
      <c r="O743" s="8"/>
      <c r="P743" s="8"/>
      <c r="Q743" s="8"/>
      <c r="R743" s="8"/>
      <c r="S743" s="789"/>
      <c r="T743" s="789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</row>
    <row r="744" spans="1:96" ht="15.75" customHeight="1">
      <c r="A744" s="8"/>
      <c r="B744" s="8"/>
      <c r="C744" s="8"/>
      <c r="D744" s="8"/>
      <c r="E744" s="8"/>
      <c r="F744" s="8"/>
      <c r="G744" s="789"/>
      <c r="H744" s="789"/>
      <c r="I744" s="789"/>
      <c r="J744" s="790"/>
      <c r="K744" s="789"/>
      <c r="L744" s="789"/>
      <c r="M744" s="789"/>
      <c r="N744" s="789"/>
      <c r="O744" s="8"/>
      <c r="P744" s="8"/>
      <c r="Q744" s="8"/>
      <c r="R744" s="8"/>
      <c r="S744" s="789"/>
      <c r="T744" s="789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</row>
    <row r="745" spans="1:96" ht="15.75" customHeight="1">
      <c r="A745" s="8"/>
      <c r="B745" s="8"/>
      <c r="C745" s="8"/>
      <c r="D745" s="8"/>
      <c r="E745" s="8"/>
      <c r="F745" s="8"/>
      <c r="G745" s="789"/>
      <c r="H745" s="789"/>
      <c r="I745" s="789"/>
      <c r="J745" s="790"/>
      <c r="K745" s="789"/>
      <c r="L745" s="789"/>
      <c r="M745" s="789"/>
      <c r="N745" s="789"/>
      <c r="O745" s="8"/>
      <c r="P745" s="8"/>
      <c r="Q745" s="8"/>
      <c r="R745" s="8"/>
      <c r="S745" s="789"/>
      <c r="T745" s="789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</row>
    <row r="746" spans="1:96" ht="15.75" customHeight="1">
      <c r="A746" s="8"/>
      <c r="B746" s="8"/>
      <c r="C746" s="8"/>
      <c r="D746" s="8"/>
      <c r="E746" s="8"/>
      <c r="F746" s="8"/>
      <c r="G746" s="789"/>
      <c r="H746" s="789"/>
      <c r="I746" s="789"/>
      <c r="J746" s="790"/>
      <c r="K746" s="789"/>
      <c r="L746" s="789"/>
      <c r="M746" s="789"/>
      <c r="N746" s="789"/>
      <c r="O746" s="8"/>
      <c r="P746" s="8"/>
      <c r="Q746" s="8"/>
      <c r="R746" s="8"/>
      <c r="S746" s="789"/>
      <c r="T746" s="789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</row>
    <row r="747" spans="1:96" ht="15.75" customHeight="1">
      <c r="A747" s="8"/>
      <c r="B747" s="8"/>
      <c r="C747" s="8"/>
      <c r="D747" s="8"/>
      <c r="E747" s="8"/>
      <c r="F747" s="8"/>
      <c r="G747" s="789"/>
      <c r="H747" s="789"/>
      <c r="I747" s="789"/>
      <c r="J747" s="790"/>
      <c r="K747" s="789"/>
      <c r="L747" s="789"/>
      <c r="M747" s="789"/>
      <c r="N747" s="789"/>
      <c r="O747" s="8"/>
      <c r="P747" s="8"/>
      <c r="Q747" s="8"/>
      <c r="R747" s="8"/>
      <c r="S747" s="789"/>
      <c r="T747" s="789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</row>
    <row r="748" spans="1:96" ht="15.75" customHeight="1">
      <c r="A748" s="8"/>
      <c r="B748" s="8"/>
      <c r="C748" s="8"/>
      <c r="D748" s="8"/>
      <c r="E748" s="8"/>
      <c r="F748" s="8"/>
      <c r="G748" s="789"/>
      <c r="H748" s="789"/>
      <c r="I748" s="789"/>
      <c r="J748" s="790"/>
      <c r="K748" s="789"/>
      <c r="L748" s="789"/>
      <c r="M748" s="789"/>
      <c r="N748" s="789"/>
      <c r="O748" s="8"/>
      <c r="P748" s="8"/>
      <c r="Q748" s="8"/>
      <c r="R748" s="8"/>
      <c r="S748" s="789"/>
      <c r="T748" s="789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</row>
    <row r="749" spans="1:96" ht="15.75" customHeight="1">
      <c r="A749" s="8"/>
      <c r="B749" s="8"/>
      <c r="C749" s="8"/>
      <c r="D749" s="8"/>
      <c r="E749" s="8"/>
      <c r="F749" s="8"/>
      <c r="G749" s="789"/>
      <c r="H749" s="789"/>
      <c r="I749" s="789"/>
      <c r="J749" s="790"/>
      <c r="K749" s="789"/>
      <c r="L749" s="789"/>
      <c r="M749" s="789"/>
      <c r="N749" s="789"/>
      <c r="O749" s="8"/>
      <c r="P749" s="8"/>
      <c r="Q749" s="8"/>
      <c r="R749" s="8"/>
      <c r="S749" s="789"/>
      <c r="T749" s="789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</row>
    <row r="750" spans="1:96" ht="15.75" customHeight="1">
      <c r="A750" s="8"/>
      <c r="B750" s="8"/>
      <c r="C750" s="8"/>
      <c r="D750" s="8"/>
      <c r="E750" s="8"/>
      <c r="F750" s="8"/>
      <c r="G750" s="789"/>
      <c r="H750" s="789"/>
      <c r="I750" s="789"/>
      <c r="J750" s="790"/>
      <c r="K750" s="789"/>
      <c r="L750" s="789"/>
      <c r="M750" s="789"/>
      <c r="N750" s="789"/>
      <c r="O750" s="8"/>
      <c r="P750" s="8"/>
      <c r="Q750" s="8"/>
      <c r="R750" s="8"/>
      <c r="S750" s="789"/>
      <c r="T750" s="789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</row>
    <row r="751" spans="1:96" ht="15.75" customHeight="1">
      <c r="A751" s="8"/>
      <c r="B751" s="8"/>
      <c r="C751" s="8"/>
      <c r="D751" s="8"/>
      <c r="E751" s="8"/>
      <c r="F751" s="8"/>
      <c r="G751" s="789"/>
      <c r="H751" s="789"/>
      <c r="I751" s="789"/>
      <c r="J751" s="790"/>
      <c r="K751" s="789"/>
      <c r="L751" s="789"/>
      <c r="M751" s="789"/>
      <c r="N751" s="789"/>
      <c r="O751" s="8"/>
      <c r="P751" s="8"/>
      <c r="Q751" s="8"/>
      <c r="R751" s="8"/>
      <c r="S751" s="789"/>
      <c r="T751" s="789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</row>
    <row r="752" spans="1:96" ht="15.75" customHeight="1">
      <c r="A752" s="8"/>
      <c r="B752" s="8"/>
      <c r="C752" s="8"/>
      <c r="D752" s="8"/>
      <c r="E752" s="8"/>
      <c r="F752" s="8"/>
      <c r="G752" s="789"/>
      <c r="H752" s="789"/>
      <c r="I752" s="789"/>
      <c r="J752" s="790"/>
      <c r="K752" s="789"/>
      <c r="L752" s="789"/>
      <c r="M752" s="789"/>
      <c r="N752" s="789"/>
      <c r="O752" s="8"/>
      <c r="P752" s="8"/>
      <c r="Q752" s="8"/>
      <c r="R752" s="8"/>
      <c r="S752" s="789"/>
      <c r="T752" s="789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</row>
    <row r="753" spans="1:96" ht="15.75" customHeight="1">
      <c r="A753" s="8"/>
      <c r="B753" s="8"/>
      <c r="C753" s="8"/>
      <c r="D753" s="8"/>
      <c r="E753" s="8"/>
      <c r="F753" s="8"/>
      <c r="G753" s="789"/>
      <c r="H753" s="789"/>
      <c r="I753" s="789"/>
      <c r="J753" s="790"/>
      <c r="K753" s="789"/>
      <c r="L753" s="789"/>
      <c r="M753" s="789"/>
      <c r="N753" s="789"/>
      <c r="O753" s="8"/>
      <c r="P753" s="8"/>
      <c r="Q753" s="8"/>
      <c r="R753" s="8"/>
      <c r="S753" s="789"/>
      <c r="T753" s="789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</row>
    <row r="754" spans="1:96" ht="15.75" customHeight="1">
      <c r="A754" s="8"/>
      <c r="B754" s="8"/>
      <c r="C754" s="8"/>
      <c r="D754" s="8"/>
      <c r="E754" s="8"/>
      <c r="F754" s="8"/>
      <c r="G754" s="789"/>
      <c r="H754" s="789"/>
      <c r="I754" s="789"/>
      <c r="J754" s="790"/>
      <c r="K754" s="789"/>
      <c r="L754" s="789"/>
      <c r="M754" s="789"/>
      <c r="N754" s="789"/>
      <c r="O754" s="8"/>
      <c r="P754" s="8"/>
      <c r="Q754" s="8"/>
      <c r="R754" s="8"/>
      <c r="S754" s="789"/>
      <c r="T754" s="789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</row>
    <row r="755" spans="1:96" ht="15.75" customHeight="1">
      <c r="A755" s="8"/>
      <c r="B755" s="8"/>
      <c r="C755" s="8"/>
      <c r="D755" s="8"/>
      <c r="E755" s="8"/>
      <c r="F755" s="8"/>
      <c r="G755" s="789"/>
      <c r="H755" s="789"/>
      <c r="I755" s="789"/>
      <c r="J755" s="790"/>
      <c r="K755" s="789"/>
      <c r="L755" s="789"/>
      <c r="M755" s="789"/>
      <c r="N755" s="789"/>
      <c r="O755" s="8"/>
      <c r="P755" s="8"/>
      <c r="Q755" s="8"/>
      <c r="R755" s="8"/>
      <c r="S755" s="789"/>
      <c r="T755" s="789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</row>
    <row r="756" spans="1:96" ht="15.75" customHeight="1">
      <c r="A756" s="8"/>
      <c r="B756" s="8"/>
      <c r="C756" s="8"/>
      <c r="D756" s="8"/>
      <c r="E756" s="8"/>
      <c r="F756" s="8"/>
      <c r="G756" s="789"/>
      <c r="H756" s="789"/>
      <c r="I756" s="789"/>
      <c r="J756" s="790"/>
      <c r="K756" s="789"/>
      <c r="L756" s="789"/>
      <c r="M756" s="789"/>
      <c r="N756" s="789"/>
      <c r="O756" s="8"/>
      <c r="P756" s="8"/>
      <c r="Q756" s="8"/>
      <c r="R756" s="8"/>
      <c r="S756" s="789"/>
      <c r="T756" s="789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</row>
    <row r="757" spans="1:96" ht="15.75" customHeight="1">
      <c r="A757" s="8"/>
      <c r="B757" s="8"/>
      <c r="C757" s="8"/>
      <c r="D757" s="8"/>
      <c r="E757" s="8"/>
      <c r="F757" s="8"/>
      <c r="G757" s="789"/>
      <c r="H757" s="789"/>
      <c r="I757" s="789"/>
      <c r="J757" s="790"/>
      <c r="K757" s="789"/>
      <c r="L757" s="789"/>
      <c r="M757" s="789"/>
      <c r="N757" s="789"/>
      <c r="O757" s="8"/>
      <c r="P757" s="8"/>
      <c r="Q757" s="8"/>
      <c r="R757" s="8"/>
      <c r="S757" s="789"/>
      <c r="T757" s="789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</row>
    <row r="758" spans="1:96" ht="15.75" customHeight="1">
      <c r="A758" s="8"/>
      <c r="B758" s="8"/>
      <c r="C758" s="8"/>
      <c r="D758" s="8"/>
      <c r="E758" s="8"/>
      <c r="F758" s="8"/>
      <c r="G758" s="789"/>
      <c r="H758" s="789"/>
      <c r="I758" s="789"/>
      <c r="J758" s="790"/>
      <c r="K758" s="789"/>
      <c r="L758" s="789"/>
      <c r="M758" s="789"/>
      <c r="N758" s="789"/>
      <c r="O758" s="8"/>
      <c r="P758" s="8"/>
      <c r="Q758" s="8"/>
      <c r="R758" s="8"/>
      <c r="S758" s="789"/>
      <c r="T758" s="789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</row>
    <row r="759" spans="1:96" ht="15.75" customHeight="1">
      <c r="A759" s="8"/>
      <c r="B759" s="8"/>
      <c r="C759" s="8"/>
      <c r="D759" s="8"/>
      <c r="E759" s="8"/>
      <c r="F759" s="8"/>
      <c r="G759" s="789"/>
      <c r="H759" s="789"/>
      <c r="I759" s="789"/>
      <c r="J759" s="790"/>
      <c r="K759" s="789"/>
      <c r="L759" s="789"/>
      <c r="M759" s="789"/>
      <c r="N759" s="789"/>
      <c r="O759" s="8"/>
      <c r="P759" s="8"/>
      <c r="Q759" s="8"/>
      <c r="R759" s="8"/>
      <c r="S759" s="789"/>
      <c r="T759" s="789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</row>
    <row r="760" spans="1:96" ht="15.75" customHeight="1">
      <c r="A760" s="8"/>
      <c r="B760" s="8"/>
      <c r="C760" s="8"/>
      <c r="D760" s="8"/>
      <c r="E760" s="8"/>
      <c r="F760" s="8"/>
      <c r="G760" s="789"/>
      <c r="H760" s="789"/>
      <c r="I760" s="789"/>
      <c r="J760" s="790"/>
      <c r="K760" s="789"/>
      <c r="L760" s="789"/>
      <c r="M760" s="789"/>
      <c r="N760" s="789"/>
      <c r="O760" s="8"/>
      <c r="P760" s="8"/>
      <c r="Q760" s="8"/>
      <c r="R760" s="8"/>
      <c r="S760" s="789"/>
      <c r="T760" s="789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</row>
    <row r="761" spans="1:96" ht="15.75" customHeight="1">
      <c r="A761" s="8"/>
      <c r="B761" s="8"/>
      <c r="C761" s="8"/>
      <c r="D761" s="8"/>
      <c r="E761" s="8"/>
      <c r="F761" s="8"/>
      <c r="G761" s="789"/>
      <c r="H761" s="789"/>
      <c r="I761" s="789"/>
      <c r="J761" s="790"/>
      <c r="K761" s="789"/>
      <c r="L761" s="789"/>
      <c r="M761" s="789"/>
      <c r="N761" s="789"/>
      <c r="O761" s="8"/>
      <c r="P761" s="8"/>
      <c r="Q761" s="8"/>
      <c r="R761" s="8"/>
      <c r="S761" s="789"/>
      <c r="T761" s="789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</row>
    <row r="762" spans="1:96" ht="15.75" customHeight="1">
      <c r="A762" s="8"/>
      <c r="B762" s="8"/>
      <c r="C762" s="8"/>
      <c r="D762" s="8"/>
      <c r="E762" s="8"/>
      <c r="F762" s="8"/>
      <c r="G762" s="789"/>
      <c r="H762" s="789"/>
      <c r="I762" s="789"/>
      <c r="J762" s="790"/>
      <c r="K762" s="789"/>
      <c r="L762" s="789"/>
      <c r="M762" s="789"/>
      <c r="N762" s="789"/>
      <c r="O762" s="8"/>
      <c r="P762" s="8"/>
      <c r="Q762" s="8"/>
      <c r="R762" s="8"/>
      <c r="S762" s="789"/>
      <c r="T762" s="789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</row>
    <row r="763" spans="1:96" ht="15.75" customHeight="1">
      <c r="A763" s="8"/>
      <c r="B763" s="8"/>
      <c r="C763" s="8"/>
      <c r="D763" s="8"/>
      <c r="E763" s="8"/>
      <c r="F763" s="8"/>
      <c r="G763" s="789"/>
      <c r="H763" s="789"/>
      <c r="I763" s="789"/>
      <c r="J763" s="790"/>
      <c r="K763" s="789"/>
      <c r="L763" s="789"/>
      <c r="M763" s="789"/>
      <c r="N763" s="789"/>
      <c r="O763" s="8"/>
      <c r="P763" s="8"/>
      <c r="Q763" s="8"/>
      <c r="R763" s="8"/>
      <c r="S763" s="789"/>
      <c r="T763" s="789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</row>
    <row r="764" spans="1:96" ht="15.75" customHeight="1">
      <c r="A764" s="8"/>
      <c r="B764" s="8"/>
      <c r="C764" s="8"/>
      <c r="D764" s="8"/>
      <c r="E764" s="8"/>
      <c r="F764" s="8"/>
      <c r="G764" s="789"/>
      <c r="H764" s="789"/>
      <c r="I764" s="789"/>
      <c r="J764" s="790"/>
      <c r="K764" s="789"/>
      <c r="L764" s="789"/>
      <c r="M764" s="789"/>
      <c r="N764" s="789"/>
      <c r="O764" s="8"/>
      <c r="P764" s="8"/>
      <c r="Q764" s="8"/>
      <c r="R764" s="8"/>
      <c r="S764" s="789"/>
      <c r="T764" s="789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</row>
    <row r="765" spans="1:96" ht="15.75" customHeight="1">
      <c r="A765" s="8"/>
      <c r="B765" s="8"/>
      <c r="C765" s="8"/>
      <c r="D765" s="8"/>
      <c r="E765" s="8"/>
      <c r="F765" s="8"/>
      <c r="G765" s="789"/>
      <c r="H765" s="789"/>
      <c r="I765" s="789"/>
      <c r="J765" s="790"/>
      <c r="K765" s="789"/>
      <c r="L765" s="789"/>
      <c r="M765" s="789"/>
      <c r="N765" s="789"/>
      <c r="O765" s="8"/>
      <c r="P765" s="8"/>
      <c r="Q765" s="8"/>
      <c r="R765" s="8"/>
      <c r="S765" s="789"/>
      <c r="T765" s="789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</row>
    <row r="766" spans="1:96" ht="15.75" customHeight="1">
      <c r="A766" s="8"/>
      <c r="B766" s="8"/>
      <c r="C766" s="8"/>
      <c r="D766" s="8"/>
      <c r="E766" s="8"/>
      <c r="F766" s="8"/>
      <c r="G766" s="789"/>
      <c r="H766" s="789"/>
      <c r="I766" s="789"/>
      <c r="J766" s="790"/>
      <c r="K766" s="789"/>
      <c r="L766" s="789"/>
      <c r="M766" s="789"/>
      <c r="N766" s="789"/>
      <c r="O766" s="8"/>
      <c r="P766" s="8"/>
      <c r="Q766" s="8"/>
      <c r="R766" s="8"/>
      <c r="S766" s="789"/>
      <c r="T766" s="789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</row>
    <row r="767" spans="1:96" ht="15.75" customHeight="1">
      <c r="A767" s="8"/>
      <c r="B767" s="8"/>
      <c r="C767" s="8"/>
      <c r="D767" s="8"/>
      <c r="E767" s="8"/>
      <c r="F767" s="8"/>
      <c r="G767" s="789"/>
      <c r="H767" s="789"/>
      <c r="I767" s="789"/>
      <c r="J767" s="790"/>
      <c r="K767" s="789"/>
      <c r="L767" s="789"/>
      <c r="M767" s="789"/>
      <c r="N767" s="789"/>
      <c r="O767" s="8"/>
      <c r="P767" s="8"/>
      <c r="Q767" s="8"/>
      <c r="R767" s="8"/>
      <c r="S767" s="789"/>
      <c r="T767" s="789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</row>
    <row r="768" spans="1:96" ht="15.75" customHeight="1">
      <c r="A768" s="8"/>
      <c r="B768" s="8"/>
      <c r="C768" s="8"/>
      <c r="D768" s="8"/>
      <c r="E768" s="8"/>
      <c r="F768" s="8"/>
      <c r="G768" s="789"/>
      <c r="H768" s="789"/>
      <c r="I768" s="789"/>
      <c r="J768" s="790"/>
      <c r="K768" s="789"/>
      <c r="L768" s="789"/>
      <c r="M768" s="789"/>
      <c r="N768" s="789"/>
      <c r="O768" s="8"/>
      <c r="P768" s="8"/>
      <c r="Q768" s="8"/>
      <c r="R768" s="8"/>
      <c r="S768" s="789"/>
      <c r="T768" s="789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</row>
    <row r="769" spans="1:96" ht="15.75" customHeight="1">
      <c r="A769" s="8"/>
      <c r="B769" s="8"/>
      <c r="C769" s="8"/>
      <c r="D769" s="8"/>
      <c r="E769" s="8"/>
      <c r="F769" s="8"/>
      <c r="G769" s="789"/>
      <c r="H769" s="789"/>
      <c r="I769" s="789"/>
      <c r="J769" s="790"/>
      <c r="K769" s="789"/>
      <c r="L769" s="789"/>
      <c r="M769" s="789"/>
      <c r="N769" s="789"/>
      <c r="O769" s="8"/>
      <c r="P769" s="8"/>
      <c r="Q769" s="8"/>
      <c r="R769" s="8"/>
      <c r="S769" s="789"/>
      <c r="T769" s="789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</row>
    <row r="770" spans="1:96" ht="15.75" customHeight="1">
      <c r="A770" s="8"/>
      <c r="B770" s="8"/>
      <c r="C770" s="8"/>
      <c r="D770" s="8"/>
      <c r="E770" s="8"/>
      <c r="F770" s="8"/>
      <c r="G770" s="789"/>
      <c r="H770" s="789"/>
      <c r="I770" s="789"/>
      <c r="J770" s="790"/>
      <c r="K770" s="789"/>
      <c r="L770" s="789"/>
      <c r="M770" s="789"/>
      <c r="N770" s="789"/>
      <c r="O770" s="8"/>
      <c r="P770" s="8"/>
      <c r="Q770" s="8"/>
      <c r="R770" s="8"/>
      <c r="S770" s="789"/>
      <c r="T770" s="789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</row>
    <row r="771" spans="1:96" ht="15.75" customHeight="1">
      <c r="A771" s="8"/>
      <c r="B771" s="8"/>
      <c r="C771" s="8"/>
      <c r="D771" s="8"/>
      <c r="E771" s="8"/>
      <c r="F771" s="8"/>
      <c r="G771" s="789"/>
      <c r="H771" s="789"/>
      <c r="I771" s="789"/>
      <c r="J771" s="790"/>
      <c r="K771" s="789"/>
      <c r="L771" s="789"/>
      <c r="M771" s="789"/>
      <c r="N771" s="789"/>
      <c r="O771" s="8"/>
      <c r="P771" s="8"/>
      <c r="Q771" s="8"/>
      <c r="R771" s="8"/>
      <c r="S771" s="789"/>
      <c r="T771" s="789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</row>
    <row r="772" spans="1:96" ht="15.75" customHeight="1">
      <c r="A772" s="8"/>
      <c r="B772" s="8"/>
      <c r="C772" s="8"/>
      <c r="D772" s="8"/>
      <c r="E772" s="8"/>
      <c r="F772" s="8"/>
      <c r="G772" s="789"/>
      <c r="H772" s="789"/>
      <c r="I772" s="789"/>
      <c r="J772" s="790"/>
      <c r="K772" s="789"/>
      <c r="L772" s="789"/>
      <c r="M772" s="789"/>
      <c r="N772" s="789"/>
      <c r="O772" s="8"/>
      <c r="P772" s="8"/>
      <c r="Q772" s="8"/>
      <c r="R772" s="8"/>
      <c r="S772" s="789"/>
      <c r="T772" s="789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</row>
    <row r="773" spans="1:96" ht="15.75" customHeight="1">
      <c r="A773" s="8"/>
      <c r="B773" s="8"/>
      <c r="C773" s="8"/>
      <c r="D773" s="8"/>
      <c r="E773" s="8"/>
      <c r="F773" s="8"/>
      <c r="G773" s="789"/>
      <c r="H773" s="789"/>
      <c r="I773" s="789"/>
      <c r="J773" s="790"/>
      <c r="K773" s="789"/>
      <c r="L773" s="789"/>
      <c r="M773" s="789"/>
      <c r="N773" s="789"/>
      <c r="O773" s="8"/>
      <c r="P773" s="8"/>
      <c r="Q773" s="8"/>
      <c r="R773" s="8"/>
      <c r="S773" s="789"/>
      <c r="T773" s="789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</row>
    <row r="774" spans="1:96" ht="15.75" customHeight="1">
      <c r="A774" s="8"/>
      <c r="B774" s="8"/>
      <c r="C774" s="8"/>
      <c r="D774" s="8"/>
      <c r="E774" s="8"/>
      <c r="F774" s="8"/>
      <c r="G774" s="789"/>
      <c r="H774" s="789"/>
      <c r="I774" s="789"/>
      <c r="J774" s="790"/>
      <c r="K774" s="789"/>
      <c r="L774" s="789"/>
      <c r="M774" s="789"/>
      <c r="N774" s="789"/>
      <c r="O774" s="8"/>
      <c r="P774" s="8"/>
      <c r="Q774" s="8"/>
      <c r="R774" s="8"/>
      <c r="S774" s="789"/>
      <c r="T774" s="789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</row>
    <row r="775" spans="1:96" ht="15.75" customHeight="1">
      <c r="A775" s="8"/>
      <c r="B775" s="8"/>
      <c r="C775" s="8"/>
      <c r="D775" s="8"/>
      <c r="E775" s="8"/>
      <c r="F775" s="8"/>
      <c r="G775" s="789"/>
      <c r="H775" s="789"/>
      <c r="I775" s="789"/>
      <c r="J775" s="790"/>
      <c r="K775" s="789"/>
      <c r="L775" s="789"/>
      <c r="M775" s="789"/>
      <c r="N775" s="789"/>
      <c r="O775" s="8"/>
      <c r="P775" s="8"/>
      <c r="Q775" s="8"/>
      <c r="R775" s="8"/>
      <c r="S775" s="789"/>
      <c r="T775" s="789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</row>
    <row r="776" spans="1:96" ht="15.75" customHeight="1">
      <c r="A776" s="8"/>
      <c r="B776" s="8"/>
      <c r="C776" s="8"/>
      <c r="D776" s="8"/>
      <c r="E776" s="8"/>
      <c r="F776" s="8"/>
      <c r="G776" s="789"/>
      <c r="H776" s="789"/>
      <c r="I776" s="789"/>
      <c r="J776" s="790"/>
      <c r="K776" s="789"/>
      <c r="L776" s="789"/>
      <c r="M776" s="789"/>
      <c r="N776" s="789"/>
      <c r="O776" s="8"/>
      <c r="P776" s="8"/>
      <c r="Q776" s="8"/>
      <c r="R776" s="8"/>
      <c r="S776" s="789"/>
      <c r="T776" s="789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</row>
    <row r="777" spans="1:96" ht="15.75" customHeight="1">
      <c r="A777" s="8"/>
      <c r="B777" s="8"/>
      <c r="C777" s="8"/>
      <c r="D777" s="8"/>
      <c r="E777" s="8"/>
      <c r="F777" s="8"/>
      <c r="G777" s="789"/>
      <c r="H777" s="789"/>
      <c r="I777" s="789"/>
      <c r="J777" s="790"/>
      <c r="K777" s="789"/>
      <c r="L777" s="789"/>
      <c r="M777" s="789"/>
      <c r="N777" s="789"/>
      <c r="O777" s="8"/>
      <c r="P777" s="8"/>
      <c r="Q777" s="8"/>
      <c r="R777" s="8"/>
      <c r="S777" s="789"/>
      <c r="T777" s="789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</row>
    <row r="778" spans="1:96" ht="15.75" customHeight="1">
      <c r="A778" s="8"/>
      <c r="B778" s="8"/>
      <c r="C778" s="8"/>
      <c r="D778" s="8"/>
      <c r="E778" s="8"/>
      <c r="F778" s="8"/>
      <c r="G778" s="789"/>
      <c r="H778" s="789"/>
      <c r="I778" s="789"/>
      <c r="J778" s="790"/>
      <c r="K778" s="789"/>
      <c r="L778" s="789"/>
      <c r="M778" s="789"/>
      <c r="N778" s="789"/>
      <c r="O778" s="8"/>
      <c r="P778" s="8"/>
      <c r="Q778" s="8"/>
      <c r="R778" s="8"/>
      <c r="S778" s="789"/>
      <c r="T778" s="789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</row>
    <row r="779" spans="1:96" ht="15.75" customHeight="1">
      <c r="A779" s="8"/>
      <c r="B779" s="8"/>
      <c r="C779" s="8"/>
      <c r="D779" s="8"/>
      <c r="E779" s="8"/>
      <c r="F779" s="8"/>
      <c r="G779" s="789"/>
      <c r="H779" s="789"/>
      <c r="I779" s="789"/>
      <c r="J779" s="790"/>
      <c r="K779" s="789"/>
      <c r="L779" s="789"/>
      <c r="M779" s="789"/>
      <c r="N779" s="789"/>
      <c r="O779" s="8"/>
      <c r="P779" s="8"/>
      <c r="Q779" s="8"/>
      <c r="R779" s="8"/>
      <c r="S779" s="789"/>
      <c r="T779" s="789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</row>
    <row r="780" spans="1:96" ht="15.75" customHeight="1">
      <c r="A780" s="8"/>
      <c r="B780" s="8"/>
      <c r="C780" s="8"/>
      <c r="D780" s="8"/>
      <c r="E780" s="8"/>
      <c r="F780" s="8"/>
      <c r="G780" s="789"/>
      <c r="H780" s="789"/>
      <c r="I780" s="789"/>
      <c r="J780" s="790"/>
      <c r="K780" s="789"/>
      <c r="L780" s="789"/>
      <c r="M780" s="789"/>
      <c r="N780" s="789"/>
      <c r="O780" s="8"/>
      <c r="P780" s="8"/>
      <c r="Q780" s="8"/>
      <c r="R780" s="8"/>
      <c r="S780" s="789"/>
      <c r="T780" s="789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</row>
    <row r="781" spans="1:96" ht="15.75" customHeight="1">
      <c r="A781" s="8"/>
      <c r="B781" s="8"/>
      <c r="C781" s="8"/>
      <c r="D781" s="8"/>
      <c r="E781" s="8"/>
      <c r="F781" s="8"/>
      <c r="G781" s="789"/>
      <c r="H781" s="789"/>
      <c r="I781" s="789"/>
      <c r="J781" s="790"/>
      <c r="K781" s="789"/>
      <c r="L781" s="789"/>
      <c r="M781" s="789"/>
      <c r="N781" s="789"/>
      <c r="O781" s="8"/>
      <c r="P781" s="8"/>
      <c r="Q781" s="8"/>
      <c r="R781" s="8"/>
      <c r="S781" s="789"/>
      <c r="T781" s="789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</row>
    <row r="782" spans="1:96" ht="15.75" customHeight="1">
      <c r="A782" s="8"/>
      <c r="B782" s="8"/>
      <c r="C782" s="8"/>
      <c r="D782" s="8"/>
      <c r="E782" s="8"/>
      <c r="F782" s="8"/>
      <c r="G782" s="789"/>
      <c r="H782" s="789"/>
      <c r="I782" s="789"/>
      <c r="J782" s="790"/>
      <c r="K782" s="789"/>
      <c r="L782" s="789"/>
      <c r="M782" s="789"/>
      <c r="N782" s="789"/>
      <c r="O782" s="8"/>
      <c r="P782" s="8"/>
      <c r="Q782" s="8"/>
      <c r="R782" s="8"/>
      <c r="S782" s="789"/>
      <c r="T782" s="789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</row>
    <row r="783" spans="1:96" ht="15.75" customHeight="1">
      <c r="A783" s="8"/>
      <c r="B783" s="8"/>
      <c r="C783" s="8"/>
      <c r="D783" s="8"/>
      <c r="E783" s="8"/>
      <c r="F783" s="8"/>
      <c r="G783" s="789"/>
      <c r="H783" s="789"/>
      <c r="I783" s="789"/>
      <c r="J783" s="790"/>
      <c r="K783" s="789"/>
      <c r="L783" s="789"/>
      <c r="M783" s="789"/>
      <c r="N783" s="789"/>
      <c r="O783" s="8"/>
      <c r="P783" s="8"/>
      <c r="Q783" s="8"/>
      <c r="R783" s="8"/>
      <c r="S783" s="789"/>
      <c r="T783" s="789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</row>
    <row r="784" spans="1:96" ht="15.75" customHeight="1">
      <c r="A784" s="8"/>
      <c r="B784" s="8"/>
      <c r="C784" s="8"/>
      <c r="D784" s="8"/>
      <c r="E784" s="8"/>
      <c r="F784" s="8"/>
      <c r="G784" s="789"/>
      <c r="H784" s="789"/>
      <c r="I784" s="789"/>
      <c r="J784" s="790"/>
      <c r="K784" s="789"/>
      <c r="L784" s="789"/>
      <c r="M784" s="789"/>
      <c r="N784" s="789"/>
      <c r="O784" s="8"/>
      <c r="P784" s="8"/>
      <c r="Q784" s="8"/>
      <c r="R784" s="8"/>
      <c r="S784" s="789"/>
      <c r="T784" s="789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</row>
    <row r="785" spans="1:96" ht="15.75" customHeight="1">
      <c r="A785" s="8"/>
      <c r="B785" s="8"/>
      <c r="C785" s="8"/>
      <c r="D785" s="8"/>
      <c r="E785" s="8"/>
      <c r="F785" s="8"/>
      <c r="G785" s="789"/>
      <c r="H785" s="789"/>
      <c r="I785" s="789"/>
      <c r="J785" s="790"/>
      <c r="K785" s="789"/>
      <c r="L785" s="789"/>
      <c r="M785" s="789"/>
      <c r="N785" s="789"/>
      <c r="O785" s="8"/>
      <c r="P785" s="8"/>
      <c r="Q785" s="8"/>
      <c r="R785" s="8"/>
      <c r="S785" s="789"/>
      <c r="T785" s="789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</row>
    <row r="786" spans="1:96" ht="15.75" customHeight="1">
      <c r="A786" s="8"/>
      <c r="B786" s="8"/>
      <c r="C786" s="8"/>
      <c r="D786" s="8"/>
      <c r="E786" s="8"/>
      <c r="F786" s="8"/>
      <c r="G786" s="789"/>
      <c r="H786" s="789"/>
      <c r="I786" s="789"/>
      <c r="J786" s="790"/>
      <c r="K786" s="789"/>
      <c r="L786" s="789"/>
      <c r="M786" s="789"/>
      <c r="N786" s="789"/>
      <c r="O786" s="8"/>
      <c r="P786" s="8"/>
      <c r="Q786" s="8"/>
      <c r="R786" s="8"/>
      <c r="S786" s="789"/>
      <c r="T786" s="789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</row>
    <row r="787" spans="1:96" ht="15.75" customHeight="1">
      <c r="A787" s="8"/>
      <c r="B787" s="8"/>
      <c r="C787" s="8"/>
      <c r="D787" s="8"/>
      <c r="E787" s="8"/>
      <c r="F787" s="8"/>
      <c r="G787" s="789"/>
      <c r="H787" s="789"/>
      <c r="I787" s="789"/>
      <c r="J787" s="790"/>
      <c r="K787" s="789"/>
      <c r="L787" s="789"/>
      <c r="M787" s="789"/>
      <c r="N787" s="789"/>
      <c r="O787" s="8"/>
      <c r="P787" s="8"/>
      <c r="Q787" s="8"/>
      <c r="R787" s="8"/>
      <c r="S787" s="789"/>
      <c r="T787" s="789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</row>
    <row r="788" spans="1:96" ht="15.75" customHeight="1">
      <c r="A788" s="8"/>
      <c r="B788" s="8"/>
      <c r="C788" s="8"/>
      <c r="D788" s="8"/>
      <c r="E788" s="8"/>
      <c r="F788" s="8"/>
      <c r="G788" s="789"/>
      <c r="H788" s="789"/>
      <c r="I788" s="789"/>
      <c r="J788" s="790"/>
      <c r="K788" s="789"/>
      <c r="L788" s="789"/>
      <c r="M788" s="789"/>
      <c r="N788" s="789"/>
      <c r="O788" s="8"/>
      <c r="P788" s="8"/>
      <c r="Q788" s="8"/>
      <c r="R788" s="8"/>
      <c r="S788" s="789"/>
      <c r="T788" s="789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</row>
    <row r="789" spans="1:96" ht="15.75" customHeight="1">
      <c r="A789" s="8"/>
      <c r="B789" s="8"/>
      <c r="C789" s="8"/>
      <c r="D789" s="8"/>
      <c r="E789" s="8"/>
      <c r="F789" s="8"/>
      <c r="G789" s="789"/>
      <c r="H789" s="789"/>
      <c r="I789" s="789"/>
      <c r="J789" s="790"/>
      <c r="K789" s="789"/>
      <c r="L789" s="789"/>
      <c r="M789" s="789"/>
      <c r="N789" s="789"/>
      <c r="O789" s="8"/>
      <c r="P789" s="8"/>
      <c r="Q789" s="8"/>
      <c r="R789" s="8"/>
      <c r="S789" s="789"/>
      <c r="T789" s="789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</row>
    <row r="790" spans="1:96" ht="15.75" customHeight="1">
      <c r="A790" s="8"/>
      <c r="B790" s="8"/>
      <c r="C790" s="8"/>
      <c r="D790" s="8"/>
      <c r="E790" s="8"/>
      <c r="F790" s="8"/>
      <c r="G790" s="789"/>
      <c r="H790" s="789"/>
      <c r="I790" s="789"/>
      <c r="J790" s="790"/>
      <c r="K790" s="789"/>
      <c r="L790" s="789"/>
      <c r="M790" s="789"/>
      <c r="N790" s="789"/>
      <c r="O790" s="8"/>
      <c r="P790" s="8"/>
      <c r="Q790" s="8"/>
      <c r="R790" s="8"/>
      <c r="S790" s="789"/>
      <c r="T790" s="789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</row>
    <row r="791" spans="1:96" ht="15.75" customHeight="1">
      <c r="A791" s="8"/>
      <c r="B791" s="8"/>
      <c r="C791" s="8"/>
      <c r="D791" s="8"/>
      <c r="E791" s="8"/>
      <c r="F791" s="8"/>
      <c r="G791" s="789"/>
      <c r="H791" s="789"/>
      <c r="I791" s="789"/>
      <c r="J791" s="790"/>
      <c r="K791" s="789"/>
      <c r="L791" s="789"/>
      <c r="M791" s="789"/>
      <c r="N791" s="789"/>
      <c r="O791" s="8"/>
      <c r="P791" s="8"/>
      <c r="Q791" s="8"/>
      <c r="R791" s="8"/>
      <c r="S791" s="789"/>
      <c r="T791" s="789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</row>
    <row r="792" spans="1:96" ht="15.75" customHeight="1">
      <c r="A792" s="8"/>
      <c r="B792" s="8"/>
      <c r="C792" s="8"/>
      <c r="D792" s="8"/>
      <c r="E792" s="8"/>
      <c r="F792" s="8"/>
      <c r="G792" s="789"/>
      <c r="H792" s="789"/>
      <c r="I792" s="789"/>
      <c r="J792" s="790"/>
      <c r="K792" s="789"/>
      <c r="L792" s="789"/>
      <c r="M792" s="789"/>
      <c r="N792" s="789"/>
      <c r="O792" s="8"/>
      <c r="P792" s="8"/>
      <c r="Q792" s="8"/>
      <c r="R792" s="8"/>
      <c r="S792" s="789"/>
      <c r="T792" s="789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</row>
    <row r="793" spans="1:96" ht="15.75" customHeight="1">
      <c r="A793" s="8"/>
      <c r="B793" s="8"/>
      <c r="C793" s="8"/>
      <c r="D793" s="8"/>
      <c r="E793" s="8"/>
      <c r="F793" s="8"/>
      <c r="G793" s="789"/>
      <c r="H793" s="789"/>
      <c r="I793" s="789"/>
      <c r="J793" s="790"/>
      <c r="K793" s="789"/>
      <c r="L793" s="789"/>
      <c r="M793" s="789"/>
      <c r="N793" s="789"/>
      <c r="O793" s="8"/>
      <c r="P793" s="8"/>
      <c r="Q793" s="8"/>
      <c r="R793" s="8"/>
      <c r="S793" s="789"/>
      <c r="T793" s="789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</row>
    <row r="794" spans="1:96" ht="15.75" customHeight="1">
      <c r="A794" s="8"/>
      <c r="B794" s="8"/>
      <c r="C794" s="8"/>
      <c r="D794" s="8"/>
      <c r="E794" s="8"/>
      <c r="F794" s="8"/>
      <c r="G794" s="789"/>
      <c r="H794" s="789"/>
      <c r="I794" s="789"/>
      <c r="J794" s="790"/>
      <c r="K794" s="789"/>
      <c r="L794" s="789"/>
      <c r="M794" s="789"/>
      <c r="N794" s="789"/>
      <c r="O794" s="8"/>
      <c r="P794" s="8"/>
      <c r="Q794" s="8"/>
      <c r="R794" s="8"/>
      <c r="S794" s="789"/>
      <c r="T794" s="789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</row>
    <row r="795" spans="1:96" ht="15.75" customHeight="1">
      <c r="A795" s="8"/>
      <c r="B795" s="8"/>
      <c r="C795" s="8"/>
      <c r="D795" s="8"/>
      <c r="E795" s="8"/>
      <c r="F795" s="8"/>
      <c r="G795" s="789"/>
      <c r="H795" s="789"/>
      <c r="I795" s="789"/>
      <c r="J795" s="790"/>
      <c r="K795" s="789"/>
      <c r="L795" s="789"/>
      <c r="M795" s="789"/>
      <c r="N795" s="789"/>
      <c r="O795" s="8"/>
      <c r="P795" s="8"/>
      <c r="Q795" s="8"/>
      <c r="R795" s="8"/>
      <c r="S795" s="789"/>
      <c r="T795" s="789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</row>
    <row r="796" spans="1:96" ht="15.75" customHeight="1">
      <c r="A796" s="8"/>
      <c r="B796" s="8"/>
      <c r="C796" s="8"/>
      <c r="D796" s="8"/>
      <c r="E796" s="8"/>
      <c r="F796" s="8"/>
      <c r="G796" s="789"/>
      <c r="H796" s="789"/>
      <c r="I796" s="789"/>
      <c r="J796" s="790"/>
      <c r="K796" s="789"/>
      <c r="L796" s="789"/>
      <c r="M796" s="789"/>
      <c r="N796" s="789"/>
      <c r="O796" s="8"/>
      <c r="P796" s="8"/>
      <c r="Q796" s="8"/>
      <c r="R796" s="8"/>
      <c r="S796" s="789"/>
      <c r="T796" s="789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</row>
    <row r="797" spans="1:96" ht="15.75" customHeight="1">
      <c r="A797" s="8"/>
      <c r="B797" s="8"/>
      <c r="C797" s="8"/>
      <c r="D797" s="8"/>
      <c r="E797" s="8"/>
      <c r="F797" s="8"/>
      <c r="G797" s="789"/>
      <c r="H797" s="789"/>
      <c r="I797" s="789"/>
      <c r="J797" s="790"/>
      <c r="K797" s="789"/>
      <c r="L797" s="789"/>
      <c r="M797" s="789"/>
      <c r="N797" s="789"/>
      <c r="O797" s="8"/>
      <c r="P797" s="8"/>
      <c r="Q797" s="8"/>
      <c r="R797" s="8"/>
      <c r="S797" s="789"/>
      <c r="T797" s="789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</row>
    <row r="798" spans="1:96" ht="15.75" customHeight="1">
      <c r="A798" s="8"/>
      <c r="B798" s="8"/>
      <c r="C798" s="8"/>
      <c r="D798" s="8"/>
      <c r="E798" s="8"/>
      <c r="F798" s="8"/>
      <c r="G798" s="789"/>
      <c r="H798" s="789"/>
      <c r="I798" s="789"/>
      <c r="J798" s="790"/>
      <c r="K798" s="789"/>
      <c r="L798" s="789"/>
      <c r="M798" s="789"/>
      <c r="N798" s="789"/>
      <c r="O798" s="8"/>
      <c r="P798" s="8"/>
      <c r="Q798" s="8"/>
      <c r="R798" s="8"/>
      <c r="S798" s="789"/>
      <c r="T798" s="789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</row>
    <row r="799" spans="1:96" ht="15.75" customHeight="1">
      <c r="A799" s="8"/>
      <c r="B799" s="8"/>
      <c r="C799" s="8"/>
      <c r="D799" s="8"/>
      <c r="E799" s="8"/>
      <c r="F799" s="8"/>
      <c r="G799" s="789"/>
      <c r="H799" s="789"/>
      <c r="I799" s="789"/>
      <c r="J799" s="790"/>
      <c r="K799" s="789"/>
      <c r="L799" s="789"/>
      <c r="M799" s="789"/>
      <c r="N799" s="789"/>
      <c r="O799" s="8"/>
      <c r="P799" s="8"/>
      <c r="Q799" s="8"/>
      <c r="R799" s="8"/>
      <c r="S799" s="789"/>
      <c r="T799" s="789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</row>
    <row r="800" spans="1:96" ht="15.75" customHeight="1">
      <c r="A800" s="8"/>
      <c r="B800" s="8"/>
      <c r="C800" s="8"/>
      <c r="D800" s="8"/>
      <c r="E800" s="8"/>
      <c r="F800" s="8"/>
      <c r="G800" s="789"/>
      <c r="H800" s="789"/>
      <c r="I800" s="789"/>
      <c r="J800" s="790"/>
      <c r="K800" s="789"/>
      <c r="L800" s="789"/>
      <c r="M800" s="789"/>
      <c r="N800" s="789"/>
      <c r="O800" s="8"/>
      <c r="P800" s="8"/>
      <c r="Q800" s="8"/>
      <c r="R800" s="8"/>
      <c r="S800" s="789"/>
      <c r="T800" s="789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</row>
    <row r="801" spans="1:96" ht="15.75" customHeight="1">
      <c r="A801" s="8"/>
      <c r="B801" s="8"/>
      <c r="C801" s="8"/>
      <c r="D801" s="8"/>
      <c r="E801" s="8"/>
      <c r="F801" s="8"/>
      <c r="G801" s="789"/>
      <c r="H801" s="789"/>
      <c r="I801" s="789"/>
      <c r="J801" s="790"/>
      <c r="K801" s="789"/>
      <c r="L801" s="789"/>
      <c r="M801" s="789"/>
      <c r="N801" s="789"/>
      <c r="O801" s="8"/>
      <c r="P801" s="8"/>
      <c r="Q801" s="8"/>
      <c r="R801" s="8"/>
      <c r="S801" s="789"/>
      <c r="T801" s="789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</row>
    <row r="802" spans="1:96" ht="15.75" customHeight="1">
      <c r="A802" s="8"/>
      <c r="B802" s="8"/>
      <c r="C802" s="8"/>
      <c r="D802" s="8"/>
      <c r="E802" s="8"/>
      <c r="F802" s="8"/>
      <c r="G802" s="789"/>
      <c r="H802" s="789"/>
      <c r="I802" s="789"/>
      <c r="J802" s="790"/>
      <c r="K802" s="789"/>
      <c r="L802" s="789"/>
      <c r="M802" s="789"/>
      <c r="N802" s="789"/>
      <c r="O802" s="8"/>
      <c r="P802" s="8"/>
      <c r="Q802" s="8"/>
      <c r="R802" s="8"/>
      <c r="S802" s="789"/>
      <c r="T802" s="789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</row>
    <row r="803" spans="1:96" ht="15.75" customHeight="1">
      <c r="A803" s="8"/>
      <c r="B803" s="8"/>
      <c r="C803" s="8"/>
      <c r="D803" s="8"/>
      <c r="E803" s="8"/>
      <c r="F803" s="8"/>
      <c r="G803" s="789"/>
      <c r="H803" s="789"/>
      <c r="I803" s="789"/>
      <c r="J803" s="790"/>
      <c r="K803" s="789"/>
      <c r="L803" s="789"/>
      <c r="M803" s="789"/>
      <c r="N803" s="789"/>
      <c r="O803" s="8"/>
      <c r="P803" s="8"/>
      <c r="Q803" s="8"/>
      <c r="R803" s="8"/>
      <c r="S803" s="789"/>
      <c r="T803" s="789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</row>
    <row r="804" spans="1:96" ht="15.75" customHeight="1">
      <c r="A804" s="8"/>
      <c r="B804" s="8"/>
      <c r="C804" s="8"/>
      <c r="D804" s="8"/>
      <c r="E804" s="8"/>
      <c r="F804" s="8"/>
      <c r="G804" s="789"/>
      <c r="H804" s="789"/>
      <c r="I804" s="789"/>
      <c r="J804" s="790"/>
      <c r="K804" s="789"/>
      <c r="L804" s="789"/>
      <c r="M804" s="789"/>
      <c r="N804" s="789"/>
      <c r="O804" s="8"/>
      <c r="P804" s="8"/>
      <c r="Q804" s="8"/>
      <c r="R804" s="8"/>
      <c r="S804" s="789"/>
      <c r="T804" s="789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</row>
    <row r="805" spans="1:96" ht="15.75" customHeight="1">
      <c r="A805" s="8"/>
      <c r="B805" s="8"/>
      <c r="C805" s="8"/>
      <c r="D805" s="8"/>
      <c r="E805" s="8"/>
      <c r="F805" s="8"/>
      <c r="G805" s="789"/>
      <c r="H805" s="789"/>
      <c r="I805" s="789"/>
      <c r="J805" s="790"/>
      <c r="K805" s="789"/>
      <c r="L805" s="789"/>
      <c r="M805" s="789"/>
      <c r="N805" s="789"/>
      <c r="O805" s="8"/>
      <c r="P805" s="8"/>
      <c r="Q805" s="8"/>
      <c r="R805" s="8"/>
      <c r="S805" s="789"/>
      <c r="T805" s="789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</row>
    <row r="806" spans="1:96" ht="15.75" customHeight="1">
      <c r="A806" s="8"/>
      <c r="B806" s="8"/>
      <c r="C806" s="8"/>
      <c r="D806" s="8"/>
      <c r="E806" s="8"/>
      <c r="F806" s="8"/>
      <c r="G806" s="789"/>
      <c r="H806" s="789"/>
      <c r="I806" s="789"/>
      <c r="J806" s="790"/>
      <c r="K806" s="789"/>
      <c r="L806" s="789"/>
      <c r="M806" s="789"/>
      <c r="N806" s="789"/>
      <c r="O806" s="8"/>
      <c r="P806" s="8"/>
      <c r="Q806" s="8"/>
      <c r="R806" s="8"/>
      <c r="S806" s="789"/>
      <c r="T806" s="789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</row>
    <row r="807" spans="1:96" ht="15.75" customHeight="1">
      <c r="A807" s="8"/>
      <c r="B807" s="8"/>
      <c r="C807" s="8"/>
      <c r="D807" s="8"/>
      <c r="E807" s="8"/>
      <c r="F807" s="8"/>
      <c r="G807" s="789"/>
      <c r="H807" s="789"/>
      <c r="I807" s="789"/>
      <c r="J807" s="790"/>
      <c r="K807" s="789"/>
      <c r="L807" s="789"/>
      <c r="M807" s="789"/>
      <c r="N807" s="789"/>
      <c r="O807" s="8"/>
      <c r="P807" s="8"/>
      <c r="Q807" s="8"/>
      <c r="R807" s="8"/>
      <c r="S807" s="789"/>
      <c r="T807" s="789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</row>
    <row r="808" spans="1:96" ht="15.75" customHeight="1">
      <c r="A808" s="8"/>
      <c r="B808" s="8"/>
      <c r="C808" s="8"/>
      <c r="D808" s="8"/>
      <c r="E808" s="8"/>
      <c r="F808" s="8"/>
      <c r="G808" s="789"/>
      <c r="H808" s="789"/>
      <c r="I808" s="789"/>
      <c r="J808" s="790"/>
      <c r="K808" s="789"/>
      <c r="L808" s="789"/>
      <c r="M808" s="789"/>
      <c r="N808" s="789"/>
      <c r="O808" s="8"/>
      <c r="P808" s="8"/>
      <c r="Q808" s="8"/>
      <c r="R808" s="8"/>
      <c r="S808" s="789"/>
      <c r="T808" s="789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</row>
    <row r="809" spans="1:96" ht="15.75" customHeight="1">
      <c r="A809" s="8"/>
      <c r="B809" s="8"/>
      <c r="C809" s="8"/>
      <c r="D809" s="8"/>
      <c r="E809" s="8"/>
      <c r="F809" s="8"/>
      <c r="G809" s="789"/>
      <c r="H809" s="789"/>
      <c r="I809" s="789"/>
      <c r="J809" s="790"/>
      <c r="K809" s="789"/>
      <c r="L809" s="789"/>
      <c r="M809" s="789"/>
      <c r="N809" s="789"/>
      <c r="O809" s="8"/>
      <c r="P809" s="8"/>
      <c r="Q809" s="8"/>
      <c r="R809" s="8"/>
      <c r="S809" s="789"/>
      <c r="T809" s="789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</row>
    <row r="810" spans="1:96" ht="15.75" customHeight="1">
      <c r="A810" s="8"/>
      <c r="B810" s="8"/>
      <c r="C810" s="8"/>
      <c r="D810" s="8"/>
      <c r="E810" s="8"/>
      <c r="F810" s="8"/>
      <c r="G810" s="789"/>
      <c r="H810" s="789"/>
      <c r="I810" s="789"/>
      <c r="J810" s="790"/>
      <c r="K810" s="789"/>
      <c r="L810" s="789"/>
      <c r="M810" s="789"/>
      <c r="N810" s="789"/>
      <c r="O810" s="8"/>
      <c r="P810" s="8"/>
      <c r="Q810" s="8"/>
      <c r="R810" s="8"/>
      <c r="S810" s="789"/>
      <c r="T810" s="789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</row>
    <row r="811" spans="1:96" ht="15.75" customHeight="1">
      <c r="A811" s="8"/>
      <c r="B811" s="8"/>
      <c r="C811" s="8"/>
      <c r="D811" s="8"/>
      <c r="E811" s="8"/>
      <c r="F811" s="8"/>
      <c r="G811" s="789"/>
      <c r="H811" s="789"/>
      <c r="I811" s="789"/>
      <c r="J811" s="790"/>
      <c r="K811" s="789"/>
      <c r="L811" s="789"/>
      <c r="M811" s="789"/>
      <c r="N811" s="789"/>
      <c r="O811" s="8"/>
      <c r="P811" s="8"/>
      <c r="Q811" s="8"/>
      <c r="R811" s="8"/>
      <c r="S811" s="789"/>
      <c r="T811" s="789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</row>
    <row r="812" spans="1:96" ht="15.75" customHeight="1">
      <c r="A812" s="8"/>
      <c r="B812" s="8"/>
      <c r="C812" s="8"/>
      <c r="D812" s="8"/>
      <c r="E812" s="8"/>
      <c r="F812" s="8"/>
      <c r="G812" s="789"/>
      <c r="H812" s="789"/>
      <c r="I812" s="789"/>
      <c r="J812" s="790"/>
      <c r="K812" s="789"/>
      <c r="L812" s="789"/>
      <c r="M812" s="789"/>
      <c r="N812" s="789"/>
      <c r="O812" s="8"/>
      <c r="P812" s="8"/>
      <c r="Q812" s="8"/>
      <c r="R812" s="8"/>
      <c r="S812" s="789"/>
      <c r="T812" s="789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</row>
    <row r="813" spans="1:96" ht="15.75" customHeight="1">
      <c r="A813" s="8"/>
      <c r="B813" s="8"/>
      <c r="C813" s="8"/>
      <c r="D813" s="8"/>
      <c r="E813" s="8"/>
      <c r="F813" s="8"/>
      <c r="G813" s="789"/>
      <c r="H813" s="789"/>
      <c r="I813" s="789"/>
      <c r="J813" s="790"/>
      <c r="K813" s="789"/>
      <c r="L813" s="789"/>
      <c r="M813" s="789"/>
      <c r="N813" s="789"/>
      <c r="O813" s="8"/>
      <c r="P813" s="8"/>
      <c r="Q813" s="8"/>
      <c r="R813" s="8"/>
      <c r="S813" s="789"/>
      <c r="T813" s="789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</row>
    <row r="814" spans="1:96" ht="15.75" customHeight="1">
      <c r="A814" s="8"/>
      <c r="B814" s="8"/>
      <c r="C814" s="8"/>
      <c r="D814" s="8"/>
      <c r="E814" s="8"/>
      <c r="F814" s="8"/>
      <c r="G814" s="789"/>
      <c r="H814" s="789"/>
      <c r="I814" s="789"/>
      <c r="J814" s="790"/>
      <c r="K814" s="789"/>
      <c r="L814" s="789"/>
      <c r="M814" s="789"/>
      <c r="N814" s="789"/>
      <c r="O814" s="8"/>
      <c r="P814" s="8"/>
      <c r="Q814" s="8"/>
      <c r="R814" s="8"/>
      <c r="S814" s="789"/>
      <c r="T814" s="789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</row>
    <row r="815" spans="1:96" ht="15.75" customHeight="1">
      <c r="A815" s="8"/>
      <c r="B815" s="8"/>
      <c r="C815" s="8"/>
      <c r="D815" s="8"/>
      <c r="E815" s="8"/>
      <c r="F815" s="8"/>
      <c r="G815" s="789"/>
      <c r="H815" s="789"/>
      <c r="I815" s="789"/>
      <c r="J815" s="790"/>
      <c r="K815" s="789"/>
      <c r="L815" s="789"/>
      <c r="M815" s="789"/>
      <c r="N815" s="789"/>
      <c r="O815" s="8"/>
      <c r="P815" s="8"/>
      <c r="Q815" s="8"/>
      <c r="R815" s="8"/>
      <c r="S815" s="789"/>
      <c r="T815" s="789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</row>
    <row r="816" spans="1:96" ht="15.75" customHeight="1">
      <c r="A816" s="8"/>
      <c r="B816" s="8"/>
      <c r="C816" s="8"/>
      <c r="D816" s="8"/>
      <c r="E816" s="8"/>
      <c r="F816" s="8"/>
      <c r="G816" s="789"/>
      <c r="H816" s="789"/>
      <c r="I816" s="789"/>
      <c r="J816" s="790"/>
      <c r="K816" s="789"/>
      <c r="L816" s="789"/>
      <c r="M816" s="789"/>
      <c r="N816" s="789"/>
      <c r="O816" s="8"/>
      <c r="P816" s="8"/>
      <c r="Q816" s="8"/>
      <c r="R816" s="8"/>
      <c r="S816" s="789"/>
      <c r="T816" s="789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</row>
    <row r="817" spans="1:96" ht="15.75" customHeight="1">
      <c r="A817" s="8"/>
      <c r="B817" s="8"/>
      <c r="C817" s="8"/>
      <c r="D817" s="8"/>
      <c r="E817" s="8"/>
      <c r="F817" s="8"/>
      <c r="G817" s="789"/>
      <c r="H817" s="789"/>
      <c r="I817" s="789"/>
      <c r="J817" s="790"/>
      <c r="K817" s="789"/>
      <c r="L817" s="789"/>
      <c r="M817" s="789"/>
      <c r="N817" s="789"/>
      <c r="O817" s="8"/>
      <c r="P817" s="8"/>
      <c r="Q817" s="8"/>
      <c r="R817" s="8"/>
      <c r="S817" s="789"/>
      <c r="T817" s="789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</row>
    <row r="818" spans="1:96" ht="15.75" customHeight="1">
      <c r="A818" s="8"/>
      <c r="B818" s="8"/>
      <c r="C818" s="8"/>
      <c r="D818" s="8"/>
      <c r="E818" s="8"/>
      <c r="F818" s="8"/>
      <c r="G818" s="789"/>
      <c r="H818" s="789"/>
      <c r="I818" s="789"/>
      <c r="J818" s="790"/>
      <c r="K818" s="789"/>
      <c r="L818" s="789"/>
      <c r="M818" s="789"/>
      <c r="N818" s="789"/>
      <c r="O818" s="8"/>
      <c r="P818" s="8"/>
      <c r="Q818" s="8"/>
      <c r="R818" s="8"/>
      <c r="S818" s="789"/>
      <c r="T818" s="789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</row>
    <row r="819" spans="1:96" ht="15.75" customHeight="1">
      <c r="A819" s="8"/>
      <c r="B819" s="8"/>
      <c r="C819" s="8"/>
      <c r="D819" s="8"/>
      <c r="E819" s="8"/>
      <c r="F819" s="8"/>
      <c r="G819" s="789"/>
      <c r="H819" s="789"/>
      <c r="I819" s="789"/>
      <c r="J819" s="790"/>
      <c r="K819" s="789"/>
      <c r="L819" s="789"/>
      <c r="M819" s="789"/>
      <c r="N819" s="789"/>
      <c r="O819" s="8"/>
      <c r="P819" s="8"/>
      <c r="Q819" s="8"/>
      <c r="R819" s="8"/>
      <c r="S819" s="789"/>
      <c r="T819" s="789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</row>
    <row r="820" spans="1:96" ht="15.75" customHeight="1">
      <c r="A820" s="8"/>
      <c r="B820" s="8"/>
      <c r="C820" s="8"/>
      <c r="D820" s="8"/>
      <c r="E820" s="8"/>
      <c r="F820" s="8"/>
      <c r="G820" s="789"/>
      <c r="H820" s="789"/>
      <c r="I820" s="789"/>
      <c r="J820" s="790"/>
      <c r="K820" s="789"/>
      <c r="L820" s="789"/>
      <c r="M820" s="789"/>
      <c r="N820" s="789"/>
      <c r="O820" s="8"/>
      <c r="P820" s="8"/>
      <c r="Q820" s="8"/>
      <c r="R820" s="8"/>
      <c r="S820" s="789"/>
      <c r="T820" s="789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</row>
    <row r="821" spans="1:96" ht="15.75" customHeight="1">
      <c r="A821" s="8"/>
      <c r="B821" s="8"/>
      <c r="C821" s="8"/>
      <c r="D821" s="8"/>
      <c r="E821" s="8"/>
      <c r="F821" s="8"/>
      <c r="G821" s="789"/>
      <c r="H821" s="789"/>
      <c r="I821" s="789"/>
      <c r="J821" s="790"/>
      <c r="K821" s="789"/>
      <c r="L821" s="789"/>
      <c r="M821" s="789"/>
      <c r="N821" s="789"/>
      <c r="O821" s="8"/>
      <c r="P821" s="8"/>
      <c r="Q821" s="8"/>
      <c r="R821" s="8"/>
      <c r="S821" s="789"/>
      <c r="T821" s="789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</row>
    <row r="822" spans="1:96" ht="15.75" customHeight="1">
      <c r="A822" s="8"/>
      <c r="B822" s="8"/>
      <c r="C822" s="8"/>
      <c r="D822" s="8"/>
      <c r="E822" s="8"/>
      <c r="F822" s="8"/>
      <c r="G822" s="789"/>
      <c r="H822" s="789"/>
      <c r="I822" s="789"/>
      <c r="J822" s="790"/>
      <c r="K822" s="789"/>
      <c r="L822" s="789"/>
      <c r="M822" s="789"/>
      <c r="N822" s="789"/>
      <c r="O822" s="8"/>
      <c r="P822" s="8"/>
      <c r="Q822" s="8"/>
      <c r="R822" s="8"/>
      <c r="S822" s="789"/>
      <c r="T822" s="789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</row>
    <row r="823" spans="1:96" ht="15.75" customHeight="1">
      <c r="A823" s="8"/>
      <c r="B823" s="8"/>
      <c r="C823" s="8"/>
      <c r="D823" s="8"/>
      <c r="E823" s="8"/>
      <c r="F823" s="8"/>
      <c r="G823" s="789"/>
      <c r="H823" s="789"/>
      <c r="I823" s="789"/>
      <c r="J823" s="790"/>
      <c r="K823" s="789"/>
      <c r="L823" s="789"/>
      <c r="M823" s="789"/>
      <c r="N823" s="789"/>
      <c r="O823" s="8"/>
      <c r="P823" s="8"/>
      <c r="Q823" s="8"/>
      <c r="R823" s="8"/>
      <c r="S823" s="789"/>
      <c r="T823" s="789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</row>
    <row r="824" spans="1:96" ht="15.75" customHeight="1">
      <c r="A824" s="8"/>
      <c r="B824" s="8"/>
      <c r="C824" s="8"/>
      <c r="D824" s="8"/>
      <c r="E824" s="8"/>
      <c r="F824" s="8"/>
      <c r="G824" s="789"/>
      <c r="H824" s="789"/>
      <c r="I824" s="789"/>
      <c r="J824" s="790"/>
      <c r="K824" s="789"/>
      <c r="L824" s="789"/>
      <c r="M824" s="789"/>
      <c r="N824" s="789"/>
      <c r="O824" s="8"/>
      <c r="P824" s="8"/>
      <c r="Q824" s="8"/>
      <c r="R824" s="8"/>
      <c r="S824" s="789"/>
      <c r="T824" s="789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</row>
    <row r="825" spans="1:96" ht="15.75" customHeight="1">
      <c r="A825" s="8"/>
      <c r="B825" s="8"/>
      <c r="C825" s="8"/>
      <c r="D825" s="8"/>
      <c r="E825" s="8"/>
      <c r="F825" s="8"/>
      <c r="G825" s="789"/>
      <c r="H825" s="789"/>
      <c r="I825" s="789"/>
      <c r="J825" s="790"/>
      <c r="K825" s="789"/>
      <c r="L825" s="789"/>
      <c r="M825" s="789"/>
      <c r="N825" s="789"/>
      <c r="O825" s="8"/>
      <c r="P825" s="8"/>
      <c r="Q825" s="8"/>
      <c r="R825" s="8"/>
      <c r="S825" s="789"/>
      <c r="T825" s="789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</row>
    <row r="826" spans="1:96" ht="15.75" customHeight="1">
      <c r="A826" s="8"/>
      <c r="B826" s="8"/>
      <c r="C826" s="8"/>
      <c r="D826" s="8"/>
      <c r="E826" s="8"/>
      <c r="F826" s="8"/>
      <c r="G826" s="789"/>
      <c r="H826" s="789"/>
      <c r="I826" s="789"/>
      <c r="J826" s="790"/>
      <c r="K826" s="789"/>
      <c r="L826" s="789"/>
      <c r="M826" s="789"/>
      <c r="N826" s="789"/>
      <c r="O826" s="8"/>
      <c r="P826" s="8"/>
      <c r="Q826" s="8"/>
      <c r="R826" s="8"/>
      <c r="S826" s="789"/>
      <c r="T826" s="789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</row>
    <row r="827" spans="1:96" ht="15.75" customHeight="1">
      <c r="A827" s="8"/>
      <c r="B827" s="8"/>
      <c r="C827" s="8"/>
      <c r="D827" s="8"/>
      <c r="E827" s="8"/>
      <c r="F827" s="8"/>
      <c r="G827" s="789"/>
      <c r="H827" s="789"/>
      <c r="I827" s="789"/>
      <c r="J827" s="790"/>
      <c r="K827" s="789"/>
      <c r="L827" s="789"/>
      <c r="M827" s="789"/>
      <c r="N827" s="789"/>
      <c r="O827" s="8"/>
      <c r="P827" s="8"/>
      <c r="Q827" s="8"/>
      <c r="R827" s="8"/>
      <c r="S827" s="789"/>
      <c r="T827" s="789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</row>
    <row r="828" spans="1:96" ht="15.75" customHeight="1">
      <c r="A828" s="8"/>
      <c r="B828" s="8"/>
      <c r="C828" s="8"/>
      <c r="D828" s="8"/>
      <c r="E828" s="8"/>
      <c r="F828" s="8"/>
      <c r="G828" s="789"/>
      <c r="H828" s="789"/>
      <c r="I828" s="789"/>
      <c r="J828" s="790"/>
      <c r="K828" s="789"/>
      <c r="L828" s="789"/>
      <c r="M828" s="789"/>
      <c r="N828" s="789"/>
      <c r="O828" s="8"/>
      <c r="P828" s="8"/>
      <c r="Q828" s="8"/>
      <c r="R828" s="8"/>
      <c r="S828" s="789"/>
      <c r="T828" s="789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</row>
    <row r="829" spans="1:96" ht="15.75" customHeight="1">
      <c r="A829" s="8"/>
      <c r="B829" s="8"/>
      <c r="C829" s="8"/>
      <c r="D829" s="8"/>
      <c r="E829" s="8"/>
      <c r="F829" s="8"/>
      <c r="G829" s="789"/>
      <c r="H829" s="789"/>
      <c r="I829" s="789"/>
      <c r="J829" s="790"/>
      <c r="K829" s="789"/>
      <c r="L829" s="789"/>
      <c r="M829" s="789"/>
      <c r="N829" s="789"/>
      <c r="O829" s="8"/>
      <c r="P829" s="8"/>
      <c r="Q829" s="8"/>
      <c r="R829" s="8"/>
      <c r="S829" s="789"/>
      <c r="T829" s="789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</row>
    <row r="830" spans="1:96" ht="15.75" customHeight="1">
      <c r="A830" s="8"/>
      <c r="B830" s="8"/>
      <c r="C830" s="8"/>
      <c r="D830" s="8"/>
      <c r="E830" s="8"/>
      <c r="F830" s="8"/>
      <c r="G830" s="789"/>
      <c r="H830" s="789"/>
      <c r="I830" s="789"/>
      <c r="J830" s="790"/>
      <c r="K830" s="789"/>
      <c r="L830" s="789"/>
      <c r="M830" s="789"/>
      <c r="N830" s="789"/>
      <c r="O830" s="8"/>
      <c r="P830" s="8"/>
      <c r="Q830" s="8"/>
      <c r="R830" s="8"/>
      <c r="S830" s="789"/>
      <c r="T830" s="789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</row>
    <row r="831" spans="1:96" ht="15.75" customHeight="1">
      <c r="A831" s="8"/>
      <c r="B831" s="8"/>
      <c r="C831" s="8"/>
      <c r="D831" s="8"/>
      <c r="E831" s="8"/>
      <c r="F831" s="8"/>
      <c r="G831" s="789"/>
      <c r="H831" s="789"/>
      <c r="I831" s="789"/>
      <c r="J831" s="790"/>
      <c r="K831" s="789"/>
      <c r="L831" s="789"/>
      <c r="M831" s="789"/>
      <c r="N831" s="789"/>
      <c r="O831" s="8"/>
      <c r="P831" s="8"/>
      <c r="Q831" s="8"/>
      <c r="R831" s="8"/>
      <c r="S831" s="789"/>
      <c r="T831" s="789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</row>
    <row r="832" spans="1:96" ht="15.75" customHeight="1">
      <c r="A832" s="8"/>
      <c r="B832" s="8"/>
      <c r="C832" s="8"/>
      <c r="D832" s="8"/>
      <c r="E832" s="8"/>
      <c r="F832" s="8"/>
      <c r="G832" s="789"/>
      <c r="H832" s="789"/>
      <c r="I832" s="789"/>
      <c r="J832" s="790"/>
      <c r="K832" s="789"/>
      <c r="L832" s="789"/>
      <c r="M832" s="789"/>
      <c r="N832" s="789"/>
      <c r="O832" s="8"/>
      <c r="P832" s="8"/>
      <c r="Q832" s="8"/>
      <c r="R832" s="8"/>
      <c r="S832" s="789"/>
      <c r="T832" s="789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</row>
    <row r="833" spans="1:96" ht="15.75" customHeight="1">
      <c r="A833" s="8"/>
      <c r="B833" s="8"/>
      <c r="C833" s="8"/>
      <c r="D833" s="8"/>
      <c r="E833" s="8"/>
      <c r="F833" s="8"/>
      <c r="G833" s="789"/>
      <c r="H833" s="789"/>
      <c r="I833" s="789"/>
      <c r="J833" s="790"/>
      <c r="K833" s="789"/>
      <c r="L833" s="789"/>
      <c r="M833" s="789"/>
      <c r="N833" s="789"/>
      <c r="O833" s="8"/>
      <c r="P833" s="8"/>
      <c r="Q833" s="8"/>
      <c r="R833" s="8"/>
      <c r="S833" s="789"/>
      <c r="T833" s="789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</row>
    <row r="834" spans="1:96" ht="15.75" customHeight="1">
      <c r="A834" s="8"/>
      <c r="B834" s="8"/>
      <c r="C834" s="8"/>
      <c r="D834" s="8"/>
      <c r="E834" s="8"/>
      <c r="F834" s="8"/>
      <c r="G834" s="789"/>
      <c r="H834" s="789"/>
      <c r="I834" s="789"/>
      <c r="J834" s="790"/>
      <c r="K834" s="789"/>
      <c r="L834" s="789"/>
      <c r="M834" s="789"/>
      <c r="N834" s="789"/>
      <c r="O834" s="8"/>
      <c r="P834" s="8"/>
      <c r="Q834" s="8"/>
      <c r="R834" s="8"/>
      <c r="S834" s="789"/>
      <c r="T834" s="789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</row>
    <row r="835" spans="1:96" ht="15.75" customHeight="1">
      <c r="A835" s="8"/>
      <c r="B835" s="8"/>
      <c r="C835" s="8"/>
      <c r="D835" s="8"/>
      <c r="E835" s="8"/>
      <c r="F835" s="8"/>
      <c r="G835" s="789"/>
      <c r="H835" s="789"/>
      <c r="I835" s="789"/>
      <c r="J835" s="790"/>
      <c r="K835" s="789"/>
      <c r="L835" s="789"/>
      <c r="M835" s="789"/>
      <c r="N835" s="789"/>
      <c r="O835" s="8"/>
      <c r="P835" s="8"/>
      <c r="Q835" s="8"/>
      <c r="R835" s="8"/>
      <c r="S835" s="789"/>
      <c r="T835" s="789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</row>
    <row r="836" spans="1:96" ht="15.75" customHeight="1">
      <c r="A836" s="8"/>
      <c r="B836" s="8"/>
      <c r="C836" s="8"/>
      <c r="D836" s="8"/>
      <c r="E836" s="8"/>
      <c r="F836" s="8"/>
      <c r="G836" s="789"/>
      <c r="H836" s="789"/>
      <c r="I836" s="789"/>
      <c r="J836" s="790"/>
      <c r="K836" s="789"/>
      <c r="L836" s="789"/>
      <c r="M836" s="789"/>
      <c r="N836" s="789"/>
      <c r="O836" s="8"/>
      <c r="P836" s="8"/>
      <c r="Q836" s="8"/>
      <c r="R836" s="8"/>
      <c r="S836" s="789"/>
      <c r="T836" s="789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</row>
    <row r="837" spans="1:96" ht="15.75" customHeight="1">
      <c r="A837" s="8"/>
      <c r="B837" s="8"/>
      <c r="C837" s="8"/>
      <c r="D837" s="8"/>
      <c r="E837" s="8"/>
      <c r="F837" s="8"/>
      <c r="G837" s="789"/>
      <c r="H837" s="789"/>
      <c r="I837" s="789"/>
      <c r="J837" s="790"/>
      <c r="K837" s="789"/>
      <c r="L837" s="789"/>
      <c r="M837" s="789"/>
      <c r="N837" s="789"/>
      <c r="O837" s="8"/>
      <c r="P837" s="8"/>
      <c r="Q837" s="8"/>
      <c r="R837" s="8"/>
      <c r="S837" s="789"/>
      <c r="T837" s="789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</row>
    <row r="838" spans="1:96" ht="15.75" customHeight="1">
      <c r="A838" s="8"/>
      <c r="B838" s="8"/>
      <c r="C838" s="8"/>
      <c r="D838" s="8"/>
      <c r="E838" s="8"/>
      <c r="F838" s="8"/>
      <c r="G838" s="789"/>
      <c r="H838" s="789"/>
      <c r="I838" s="789"/>
      <c r="J838" s="790"/>
      <c r="K838" s="789"/>
      <c r="L838" s="789"/>
      <c r="M838" s="789"/>
      <c r="N838" s="789"/>
      <c r="O838" s="8"/>
      <c r="P838" s="8"/>
      <c r="Q838" s="8"/>
      <c r="R838" s="8"/>
      <c r="S838" s="789"/>
      <c r="T838" s="789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</row>
    <row r="839" spans="1:96" ht="15.75" customHeight="1">
      <c r="A839" s="8"/>
      <c r="B839" s="8"/>
      <c r="C839" s="8"/>
      <c r="D839" s="8"/>
      <c r="E839" s="8"/>
      <c r="F839" s="8"/>
      <c r="G839" s="789"/>
      <c r="H839" s="789"/>
      <c r="I839" s="789"/>
      <c r="J839" s="790"/>
      <c r="K839" s="789"/>
      <c r="L839" s="789"/>
      <c r="M839" s="789"/>
      <c r="N839" s="789"/>
      <c r="O839" s="8"/>
      <c r="P839" s="8"/>
      <c r="Q839" s="8"/>
      <c r="R839" s="8"/>
      <c r="S839" s="789"/>
      <c r="T839" s="789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</row>
    <row r="840" spans="1:96" ht="15.75" customHeight="1">
      <c r="A840" s="8"/>
      <c r="B840" s="8"/>
      <c r="C840" s="8"/>
      <c r="D840" s="8"/>
      <c r="E840" s="8"/>
      <c r="F840" s="8"/>
      <c r="G840" s="789"/>
      <c r="H840" s="789"/>
      <c r="I840" s="789"/>
      <c r="J840" s="790"/>
      <c r="K840" s="789"/>
      <c r="L840" s="789"/>
      <c r="M840" s="789"/>
      <c r="N840" s="789"/>
      <c r="O840" s="8"/>
      <c r="P840" s="8"/>
      <c r="Q840" s="8"/>
      <c r="R840" s="8"/>
      <c r="S840" s="789"/>
      <c r="T840" s="789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</row>
    <row r="841" spans="1:96" ht="15.75" customHeight="1">
      <c r="A841" s="8"/>
      <c r="B841" s="8"/>
      <c r="C841" s="8"/>
      <c r="D841" s="8"/>
      <c r="E841" s="8"/>
      <c r="F841" s="8"/>
      <c r="G841" s="789"/>
      <c r="H841" s="789"/>
      <c r="I841" s="789"/>
      <c r="J841" s="790"/>
      <c r="K841" s="789"/>
      <c r="L841" s="789"/>
      <c r="M841" s="789"/>
      <c r="N841" s="789"/>
      <c r="O841" s="8"/>
      <c r="P841" s="8"/>
      <c r="Q841" s="8"/>
      <c r="R841" s="8"/>
      <c r="S841" s="789"/>
      <c r="T841" s="789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</row>
    <row r="842" spans="1:96" ht="15.75" customHeight="1">
      <c r="A842" s="8"/>
      <c r="B842" s="8"/>
      <c r="C842" s="8"/>
      <c r="D842" s="8"/>
      <c r="E842" s="8"/>
      <c r="F842" s="8"/>
      <c r="G842" s="789"/>
      <c r="H842" s="789"/>
      <c r="I842" s="789"/>
      <c r="J842" s="790"/>
      <c r="K842" s="789"/>
      <c r="L842" s="789"/>
      <c r="M842" s="789"/>
      <c r="N842" s="789"/>
      <c r="O842" s="8"/>
      <c r="P842" s="8"/>
      <c r="Q842" s="8"/>
      <c r="R842" s="8"/>
      <c r="S842" s="789"/>
      <c r="T842" s="789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</row>
    <row r="843" spans="1:96" ht="15.75" customHeight="1">
      <c r="A843" s="8"/>
      <c r="B843" s="8"/>
      <c r="C843" s="8"/>
      <c r="D843" s="8"/>
      <c r="E843" s="8"/>
      <c r="F843" s="8"/>
      <c r="G843" s="789"/>
      <c r="H843" s="789"/>
      <c r="I843" s="789"/>
      <c r="J843" s="790"/>
      <c r="K843" s="789"/>
      <c r="L843" s="789"/>
      <c r="M843" s="789"/>
      <c r="N843" s="789"/>
      <c r="O843" s="8"/>
      <c r="P843" s="8"/>
      <c r="Q843" s="8"/>
      <c r="R843" s="8"/>
      <c r="S843" s="789"/>
      <c r="T843" s="789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</row>
    <row r="844" spans="1:96" ht="15.75" customHeight="1">
      <c r="A844" s="8"/>
      <c r="B844" s="8"/>
      <c r="C844" s="8"/>
      <c r="D844" s="8"/>
      <c r="E844" s="8"/>
      <c r="F844" s="8"/>
      <c r="G844" s="789"/>
      <c r="H844" s="789"/>
      <c r="I844" s="789"/>
      <c r="J844" s="790"/>
      <c r="K844" s="789"/>
      <c r="L844" s="789"/>
      <c r="M844" s="789"/>
      <c r="N844" s="789"/>
      <c r="O844" s="8"/>
      <c r="P844" s="8"/>
      <c r="Q844" s="8"/>
      <c r="R844" s="8"/>
      <c r="S844" s="789"/>
      <c r="T844" s="789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</row>
    <row r="845" spans="1:96" ht="15.75" customHeight="1">
      <c r="A845" s="8"/>
      <c r="B845" s="8"/>
      <c r="C845" s="8"/>
      <c r="D845" s="8"/>
      <c r="E845" s="8"/>
      <c r="F845" s="8"/>
      <c r="G845" s="789"/>
      <c r="H845" s="789"/>
      <c r="I845" s="789"/>
      <c r="J845" s="790"/>
      <c r="K845" s="789"/>
      <c r="L845" s="789"/>
      <c r="M845" s="789"/>
      <c r="N845" s="789"/>
      <c r="O845" s="8"/>
      <c r="P845" s="8"/>
      <c r="Q845" s="8"/>
      <c r="R845" s="8"/>
      <c r="S845" s="789"/>
      <c r="T845" s="789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</row>
    <row r="846" spans="1:96" ht="15.75" customHeight="1">
      <c r="A846" s="8"/>
      <c r="B846" s="8"/>
      <c r="C846" s="8"/>
      <c r="D846" s="8"/>
      <c r="E846" s="8"/>
      <c r="F846" s="8"/>
      <c r="G846" s="789"/>
      <c r="H846" s="789"/>
      <c r="I846" s="789"/>
      <c r="J846" s="790"/>
      <c r="K846" s="789"/>
      <c r="L846" s="789"/>
      <c r="M846" s="789"/>
      <c r="N846" s="789"/>
      <c r="O846" s="8"/>
      <c r="P846" s="8"/>
      <c r="Q846" s="8"/>
      <c r="R846" s="8"/>
      <c r="S846" s="789"/>
      <c r="T846" s="789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</row>
    <row r="847" spans="1:96" ht="15.75" customHeight="1">
      <c r="A847" s="8"/>
      <c r="B847" s="8"/>
      <c r="C847" s="8"/>
      <c r="D847" s="8"/>
      <c r="E847" s="8"/>
      <c r="F847" s="8"/>
      <c r="G847" s="789"/>
      <c r="H847" s="789"/>
      <c r="I847" s="789"/>
      <c r="J847" s="790"/>
      <c r="K847" s="789"/>
      <c r="L847" s="789"/>
      <c r="M847" s="789"/>
      <c r="N847" s="789"/>
      <c r="O847" s="8"/>
      <c r="P847" s="8"/>
      <c r="Q847" s="8"/>
      <c r="R847" s="8"/>
      <c r="S847" s="789"/>
      <c r="T847" s="789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</row>
    <row r="848" spans="1:96" ht="15.75" customHeight="1">
      <c r="A848" s="8"/>
      <c r="B848" s="8"/>
      <c r="C848" s="8"/>
      <c r="D848" s="8"/>
      <c r="E848" s="8"/>
      <c r="F848" s="8"/>
      <c r="G848" s="789"/>
      <c r="H848" s="789"/>
      <c r="I848" s="789"/>
      <c r="J848" s="790"/>
      <c r="K848" s="789"/>
      <c r="L848" s="789"/>
      <c r="M848" s="789"/>
      <c r="N848" s="789"/>
      <c r="O848" s="8"/>
      <c r="P848" s="8"/>
      <c r="Q848" s="8"/>
      <c r="R848" s="8"/>
      <c r="S848" s="789"/>
      <c r="T848" s="789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</row>
    <row r="849" spans="1:96" ht="15.75" customHeight="1">
      <c r="A849" s="8"/>
      <c r="B849" s="8"/>
      <c r="C849" s="8"/>
      <c r="D849" s="8"/>
      <c r="E849" s="8"/>
      <c r="F849" s="8"/>
      <c r="G849" s="789"/>
      <c r="H849" s="789"/>
      <c r="I849" s="789"/>
      <c r="J849" s="790"/>
      <c r="K849" s="789"/>
      <c r="L849" s="789"/>
      <c r="M849" s="789"/>
      <c r="N849" s="789"/>
      <c r="O849" s="8"/>
      <c r="P849" s="8"/>
      <c r="Q849" s="8"/>
      <c r="R849" s="8"/>
      <c r="S849" s="789"/>
      <c r="T849" s="789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</row>
    <row r="850" spans="1:96" ht="15.75" customHeight="1">
      <c r="A850" s="8"/>
      <c r="B850" s="8"/>
      <c r="C850" s="8"/>
      <c r="D850" s="8"/>
      <c r="E850" s="8"/>
      <c r="F850" s="8"/>
      <c r="G850" s="789"/>
      <c r="H850" s="789"/>
      <c r="I850" s="789"/>
      <c r="J850" s="790"/>
      <c r="K850" s="789"/>
      <c r="L850" s="789"/>
      <c r="M850" s="789"/>
      <c r="N850" s="789"/>
      <c r="O850" s="8"/>
      <c r="P850" s="8"/>
      <c r="Q850" s="8"/>
      <c r="R850" s="8"/>
      <c r="S850" s="789"/>
      <c r="T850" s="789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</row>
    <row r="851" spans="1:96" ht="15.75" customHeight="1">
      <c r="A851" s="8"/>
      <c r="B851" s="8"/>
      <c r="C851" s="8"/>
      <c r="D851" s="8"/>
      <c r="E851" s="8"/>
      <c r="F851" s="8"/>
      <c r="G851" s="789"/>
      <c r="H851" s="789"/>
      <c r="I851" s="789"/>
      <c r="J851" s="790"/>
      <c r="K851" s="789"/>
      <c r="L851" s="789"/>
      <c r="M851" s="789"/>
      <c r="N851" s="789"/>
      <c r="O851" s="8"/>
      <c r="P851" s="8"/>
      <c r="Q851" s="8"/>
      <c r="R851" s="8"/>
      <c r="S851" s="789"/>
      <c r="T851" s="789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</row>
    <row r="852" spans="1:96" ht="15.75" customHeight="1">
      <c r="A852" s="8"/>
      <c r="B852" s="8"/>
      <c r="C852" s="8"/>
      <c r="D852" s="8"/>
      <c r="E852" s="8"/>
      <c r="F852" s="8"/>
      <c r="G852" s="789"/>
      <c r="H852" s="789"/>
      <c r="I852" s="789"/>
      <c r="J852" s="790"/>
      <c r="K852" s="789"/>
      <c r="L852" s="789"/>
      <c r="M852" s="789"/>
      <c r="N852" s="789"/>
      <c r="O852" s="8"/>
      <c r="P852" s="8"/>
      <c r="Q852" s="8"/>
      <c r="R852" s="8"/>
      <c r="S852" s="789"/>
      <c r="T852" s="789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</row>
    <row r="853" spans="1:96" ht="15.75" customHeight="1">
      <c r="A853" s="8"/>
      <c r="B853" s="8"/>
      <c r="C853" s="8"/>
      <c r="D853" s="8"/>
      <c r="E853" s="8"/>
      <c r="F853" s="8"/>
      <c r="G853" s="789"/>
      <c r="H853" s="789"/>
      <c r="I853" s="789"/>
      <c r="J853" s="790"/>
      <c r="K853" s="789"/>
      <c r="L853" s="789"/>
      <c r="M853" s="789"/>
      <c r="N853" s="789"/>
      <c r="O853" s="8"/>
      <c r="P853" s="8"/>
      <c r="Q853" s="8"/>
      <c r="R853" s="8"/>
      <c r="S853" s="789"/>
      <c r="T853" s="789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</row>
    <row r="854" spans="1:96" ht="15.75" customHeight="1">
      <c r="A854" s="8"/>
      <c r="B854" s="8"/>
      <c r="C854" s="8"/>
      <c r="D854" s="8"/>
      <c r="E854" s="8"/>
      <c r="F854" s="8"/>
      <c r="G854" s="789"/>
      <c r="H854" s="789"/>
      <c r="I854" s="789"/>
      <c r="J854" s="790"/>
      <c r="K854" s="789"/>
      <c r="L854" s="789"/>
      <c r="M854" s="789"/>
      <c r="N854" s="789"/>
      <c r="O854" s="8"/>
      <c r="P854" s="8"/>
      <c r="Q854" s="8"/>
      <c r="R854" s="8"/>
      <c r="S854" s="789"/>
      <c r="T854" s="789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</row>
    <row r="855" spans="1:96" ht="15.75" customHeight="1">
      <c r="A855" s="8"/>
      <c r="B855" s="8"/>
      <c r="C855" s="8"/>
      <c r="D855" s="8"/>
      <c r="E855" s="8"/>
      <c r="F855" s="8"/>
      <c r="G855" s="789"/>
      <c r="H855" s="789"/>
      <c r="I855" s="789"/>
      <c r="J855" s="790"/>
      <c r="K855" s="789"/>
      <c r="L855" s="789"/>
      <c r="M855" s="789"/>
      <c r="N855" s="789"/>
      <c r="O855" s="8"/>
      <c r="P855" s="8"/>
      <c r="Q855" s="8"/>
      <c r="R855" s="8"/>
      <c r="S855" s="789"/>
      <c r="T855" s="789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</row>
    <row r="856" spans="1:96" ht="15.75" customHeight="1">
      <c r="A856" s="8"/>
      <c r="B856" s="8"/>
      <c r="C856" s="8"/>
      <c r="D856" s="8"/>
      <c r="E856" s="8"/>
      <c r="F856" s="8"/>
      <c r="G856" s="789"/>
      <c r="H856" s="789"/>
      <c r="I856" s="789"/>
      <c r="J856" s="790"/>
      <c r="K856" s="789"/>
      <c r="L856" s="789"/>
      <c r="M856" s="789"/>
      <c r="N856" s="789"/>
      <c r="O856" s="8"/>
      <c r="P856" s="8"/>
      <c r="Q856" s="8"/>
      <c r="R856" s="8"/>
      <c r="S856" s="789"/>
      <c r="T856" s="789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</row>
    <row r="857" spans="1:96" ht="15.75" customHeight="1">
      <c r="A857" s="8"/>
      <c r="B857" s="8"/>
      <c r="C857" s="8"/>
      <c r="D857" s="8"/>
      <c r="E857" s="8"/>
      <c r="F857" s="8"/>
      <c r="G857" s="789"/>
      <c r="H857" s="789"/>
      <c r="I857" s="789"/>
      <c r="J857" s="790"/>
      <c r="K857" s="789"/>
      <c r="L857" s="789"/>
      <c r="M857" s="789"/>
      <c r="N857" s="789"/>
      <c r="O857" s="8"/>
      <c r="P857" s="8"/>
      <c r="Q857" s="8"/>
      <c r="R857" s="8"/>
      <c r="S857" s="789"/>
      <c r="T857" s="789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</row>
    <row r="858" spans="1:96" ht="15.75" customHeight="1">
      <c r="A858" s="8"/>
      <c r="B858" s="8"/>
      <c r="C858" s="8"/>
      <c r="D858" s="8"/>
      <c r="E858" s="8"/>
      <c r="F858" s="8"/>
      <c r="G858" s="789"/>
      <c r="H858" s="789"/>
      <c r="I858" s="789"/>
      <c r="J858" s="790"/>
      <c r="K858" s="789"/>
      <c r="L858" s="789"/>
      <c r="M858" s="789"/>
      <c r="N858" s="789"/>
      <c r="O858" s="8"/>
      <c r="P858" s="8"/>
      <c r="Q858" s="8"/>
      <c r="R858" s="8"/>
      <c r="S858" s="789"/>
      <c r="T858" s="789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</row>
    <row r="859" spans="1:96" ht="15.75" customHeight="1">
      <c r="A859" s="8"/>
      <c r="B859" s="8"/>
      <c r="C859" s="8"/>
      <c r="D859" s="8"/>
      <c r="E859" s="8"/>
      <c r="F859" s="8"/>
      <c r="G859" s="789"/>
      <c r="H859" s="789"/>
      <c r="I859" s="789"/>
      <c r="J859" s="790"/>
      <c r="K859" s="789"/>
      <c r="L859" s="789"/>
      <c r="M859" s="789"/>
      <c r="N859" s="789"/>
      <c r="O859" s="8"/>
      <c r="P859" s="8"/>
      <c r="Q859" s="8"/>
      <c r="R859" s="8"/>
      <c r="S859" s="789"/>
      <c r="T859" s="789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</row>
    <row r="860" spans="1:96" ht="15.75" customHeight="1">
      <c r="A860" s="8"/>
      <c r="B860" s="8"/>
      <c r="C860" s="8"/>
      <c r="D860" s="8"/>
      <c r="E860" s="8"/>
      <c r="F860" s="8"/>
      <c r="G860" s="789"/>
      <c r="H860" s="789"/>
      <c r="I860" s="789"/>
      <c r="J860" s="790"/>
      <c r="K860" s="789"/>
      <c r="L860" s="789"/>
      <c r="M860" s="789"/>
      <c r="N860" s="789"/>
      <c r="O860" s="8"/>
      <c r="P860" s="8"/>
      <c r="Q860" s="8"/>
      <c r="R860" s="8"/>
      <c r="S860" s="789"/>
      <c r="T860" s="789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</row>
    <row r="861" spans="1:96" ht="15.75" customHeight="1">
      <c r="A861" s="8"/>
      <c r="B861" s="8"/>
      <c r="C861" s="8"/>
      <c r="D861" s="8"/>
      <c r="E861" s="8"/>
      <c r="F861" s="8"/>
      <c r="G861" s="789"/>
      <c r="H861" s="789"/>
      <c r="I861" s="789"/>
      <c r="J861" s="790"/>
      <c r="K861" s="789"/>
      <c r="L861" s="789"/>
      <c r="M861" s="789"/>
      <c r="N861" s="789"/>
      <c r="O861" s="8"/>
      <c r="P861" s="8"/>
      <c r="Q861" s="8"/>
      <c r="R861" s="8"/>
      <c r="S861" s="789"/>
      <c r="T861" s="789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</row>
    <row r="862" spans="1:96" ht="15.75" customHeight="1">
      <c r="A862" s="8"/>
      <c r="B862" s="8"/>
      <c r="C862" s="8"/>
      <c r="D862" s="8"/>
      <c r="E862" s="8"/>
      <c r="F862" s="8"/>
      <c r="G862" s="789"/>
      <c r="H862" s="789"/>
      <c r="I862" s="789"/>
      <c r="J862" s="790"/>
      <c r="K862" s="789"/>
      <c r="L862" s="789"/>
      <c r="M862" s="789"/>
      <c r="N862" s="789"/>
      <c r="O862" s="8"/>
      <c r="P862" s="8"/>
      <c r="Q862" s="8"/>
      <c r="R862" s="8"/>
      <c r="S862" s="789"/>
      <c r="T862" s="789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</row>
    <row r="863" spans="1:96" ht="15.75" customHeight="1">
      <c r="A863" s="8"/>
      <c r="B863" s="8"/>
      <c r="C863" s="8"/>
      <c r="D863" s="8"/>
      <c r="E863" s="8"/>
      <c r="F863" s="8"/>
      <c r="G863" s="789"/>
      <c r="H863" s="789"/>
      <c r="I863" s="789"/>
      <c r="J863" s="790"/>
      <c r="K863" s="789"/>
      <c r="L863" s="789"/>
      <c r="M863" s="789"/>
      <c r="N863" s="789"/>
      <c r="O863" s="8"/>
      <c r="P863" s="8"/>
      <c r="Q863" s="8"/>
      <c r="R863" s="8"/>
      <c r="S863" s="789"/>
      <c r="T863" s="789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</row>
    <row r="864" spans="1:96" ht="15.75" customHeight="1">
      <c r="A864" s="8"/>
      <c r="B864" s="8"/>
      <c r="C864" s="8"/>
      <c r="D864" s="8"/>
      <c r="E864" s="8"/>
      <c r="F864" s="8"/>
      <c r="G864" s="789"/>
      <c r="H864" s="789"/>
      <c r="I864" s="789"/>
      <c r="J864" s="790"/>
      <c r="K864" s="789"/>
      <c r="L864" s="789"/>
      <c r="M864" s="789"/>
      <c r="N864" s="789"/>
      <c r="O864" s="8"/>
      <c r="P864" s="8"/>
      <c r="Q864" s="8"/>
      <c r="R864" s="8"/>
      <c r="S864" s="789"/>
      <c r="T864" s="789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</row>
    <row r="865" spans="1:96" ht="15.75" customHeight="1">
      <c r="A865" s="8"/>
      <c r="B865" s="8"/>
      <c r="C865" s="8"/>
      <c r="D865" s="8"/>
      <c r="E865" s="8"/>
      <c r="F865" s="8"/>
      <c r="G865" s="789"/>
      <c r="H865" s="789"/>
      <c r="I865" s="789"/>
      <c r="J865" s="790"/>
      <c r="K865" s="789"/>
      <c r="L865" s="789"/>
      <c r="M865" s="789"/>
      <c r="N865" s="789"/>
      <c r="O865" s="8"/>
      <c r="P865" s="8"/>
      <c r="Q865" s="8"/>
      <c r="R865" s="8"/>
      <c r="S865" s="789"/>
      <c r="T865" s="789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</row>
    <row r="866" spans="1:96" ht="15.75" customHeight="1">
      <c r="A866" s="8"/>
      <c r="B866" s="8"/>
      <c r="C866" s="8"/>
      <c r="D866" s="8"/>
      <c r="E866" s="8"/>
      <c r="F866" s="8"/>
      <c r="G866" s="789"/>
      <c r="H866" s="789"/>
      <c r="I866" s="789"/>
      <c r="J866" s="790"/>
      <c r="K866" s="789"/>
      <c r="L866" s="789"/>
      <c r="M866" s="789"/>
      <c r="N866" s="789"/>
      <c r="O866" s="8"/>
      <c r="P866" s="8"/>
      <c r="Q866" s="8"/>
      <c r="R866" s="8"/>
      <c r="S866" s="789"/>
      <c r="T866" s="789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</row>
    <row r="867" spans="1:96" ht="15.75" customHeight="1">
      <c r="A867" s="8"/>
      <c r="B867" s="8"/>
      <c r="C867" s="8"/>
      <c r="D867" s="8"/>
      <c r="E867" s="8"/>
      <c r="F867" s="8"/>
      <c r="G867" s="789"/>
      <c r="H867" s="789"/>
      <c r="I867" s="789"/>
      <c r="J867" s="790"/>
      <c r="K867" s="789"/>
      <c r="L867" s="789"/>
      <c r="M867" s="789"/>
      <c r="N867" s="789"/>
      <c r="O867" s="8"/>
      <c r="P867" s="8"/>
      <c r="Q867" s="8"/>
      <c r="R867" s="8"/>
      <c r="S867" s="789"/>
      <c r="T867" s="789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</row>
    <row r="868" spans="1:96" ht="15.75" customHeight="1">
      <c r="A868" s="8"/>
      <c r="B868" s="8"/>
      <c r="C868" s="8"/>
      <c r="D868" s="8"/>
      <c r="E868" s="8"/>
      <c r="F868" s="8"/>
      <c r="G868" s="789"/>
      <c r="H868" s="789"/>
      <c r="I868" s="789"/>
      <c r="J868" s="790"/>
      <c r="K868" s="789"/>
      <c r="L868" s="789"/>
      <c r="M868" s="789"/>
      <c r="N868" s="789"/>
      <c r="O868" s="8"/>
      <c r="P868" s="8"/>
      <c r="Q868" s="8"/>
      <c r="R868" s="8"/>
      <c r="S868" s="789"/>
      <c r="T868" s="789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</row>
    <row r="869" spans="1:96" ht="15.75" customHeight="1">
      <c r="A869" s="8"/>
      <c r="B869" s="8"/>
      <c r="C869" s="8"/>
      <c r="D869" s="8"/>
      <c r="E869" s="8"/>
      <c r="F869" s="8"/>
      <c r="G869" s="789"/>
      <c r="H869" s="789"/>
      <c r="I869" s="789"/>
      <c r="J869" s="790"/>
      <c r="K869" s="789"/>
      <c r="L869" s="789"/>
      <c r="M869" s="789"/>
      <c r="N869" s="789"/>
      <c r="O869" s="8"/>
      <c r="P869" s="8"/>
      <c r="Q869" s="8"/>
      <c r="R869" s="8"/>
      <c r="S869" s="789"/>
      <c r="T869" s="789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</row>
    <row r="870" spans="1:96" ht="15.75" customHeight="1">
      <c r="A870" s="8"/>
      <c r="B870" s="8"/>
      <c r="C870" s="8"/>
      <c r="D870" s="8"/>
      <c r="E870" s="8"/>
      <c r="F870" s="8"/>
      <c r="G870" s="789"/>
      <c r="H870" s="789"/>
      <c r="I870" s="789"/>
      <c r="J870" s="790"/>
      <c r="K870" s="789"/>
      <c r="L870" s="789"/>
      <c r="M870" s="789"/>
      <c r="N870" s="789"/>
      <c r="O870" s="8"/>
      <c r="P870" s="8"/>
      <c r="Q870" s="8"/>
      <c r="R870" s="8"/>
      <c r="S870" s="789"/>
      <c r="T870" s="789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</row>
    <row r="871" spans="1:96" ht="15.75" customHeight="1">
      <c r="A871" s="8"/>
      <c r="B871" s="8"/>
      <c r="C871" s="8"/>
      <c r="D871" s="8"/>
      <c r="E871" s="8"/>
      <c r="F871" s="8"/>
      <c r="G871" s="789"/>
      <c r="H871" s="789"/>
      <c r="I871" s="789"/>
      <c r="J871" s="790"/>
      <c r="K871" s="789"/>
      <c r="L871" s="789"/>
      <c r="M871" s="789"/>
      <c r="N871" s="789"/>
      <c r="O871" s="8"/>
      <c r="P871" s="8"/>
      <c r="Q871" s="8"/>
      <c r="R871" s="8"/>
      <c r="S871" s="789"/>
      <c r="T871" s="789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</row>
    <row r="872" spans="1:96" ht="15.75" customHeight="1">
      <c r="A872" s="8"/>
      <c r="B872" s="8"/>
      <c r="C872" s="8"/>
      <c r="D872" s="8"/>
      <c r="E872" s="8"/>
      <c r="F872" s="8"/>
      <c r="G872" s="789"/>
      <c r="H872" s="789"/>
      <c r="I872" s="789"/>
      <c r="J872" s="790"/>
      <c r="K872" s="789"/>
      <c r="L872" s="789"/>
      <c r="M872" s="789"/>
      <c r="N872" s="789"/>
      <c r="O872" s="8"/>
      <c r="P872" s="8"/>
      <c r="Q872" s="8"/>
      <c r="R872" s="8"/>
      <c r="S872" s="789"/>
      <c r="T872" s="789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</row>
    <row r="873" spans="1:96" ht="15.75" customHeight="1">
      <c r="A873" s="8"/>
      <c r="B873" s="8"/>
      <c r="C873" s="8"/>
      <c r="D873" s="8"/>
      <c r="E873" s="8"/>
      <c r="F873" s="8"/>
      <c r="G873" s="789"/>
      <c r="H873" s="789"/>
      <c r="I873" s="789"/>
      <c r="J873" s="790"/>
      <c r="K873" s="789"/>
      <c r="L873" s="789"/>
      <c r="M873" s="789"/>
      <c r="N873" s="789"/>
      <c r="O873" s="8"/>
      <c r="P873" s="8"/>
      <c r="Q873" s="8"/>
      <c r="R873" s="8"/>
      <c r="S873" s="789"/>
      <c r="T873" s="789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</row>
    <row r="874" spans="1:96" ht="15.75" customHeight="1">
      <c r="A874" s="8"/>
      <c r="B874" s="8"/>
      <c r="C874" s="8"/>
      <c r="D874" s="8"/>
      <c r="E874" s="8"/>
      <c r="F874" s="8"/>
      <c r="G874" s="789"/>
      <c r="H874" s="789"/>
      <c r="I874" s="789"/>
      <c r="J874" s="790"/>
      <c r="K874" s="789"/>
      <c r="L874" s="789"/>
      <c r="M874" s="789"/>
      <c r="N874" s="789"/>
      <c r="O874" s="8"/>
      <c r="P874" s="8"/>
      <c r="Q874" s="8"/>
      <c r="R874" s="8"/>
      <c r="S874" s="789"/>
      <c r="T874" s="789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</row>
    <row r="875" spans="1:96" ht="15.75" customHeight="1">
      <c r="A875" s="8"/>
      <c r="B875" s="8"/>
      <c r="C875" s="8"/>
      <c r="D875" s="8"/>
      <c r="E875" s="8"/>
      <c r="F875" s="8"/>
      <c r="G875" s="789"/>
      <c r="H875" s="789"/>
      <c r="I875" s="789"/>
      <c r="J875" s="790"/>
      <c r="K875" s="789"/>
      <c r="L875" s="789"/>
      <c r="M875" s="789"/>
      <c r="N875" s="789"/>
      <c r="O875" s="8"/>
      <c r="P875" s="8"/>
      <c r="Q875" s="8"/>
      <c r="R875" s="8"/>
      <c r="S875" s="789"/>
      <c r="T875" s="789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</row>
    <row r="876" spans="1:96" ht="15.75" customHeight="1">
      <c r="A876" s="8"/>
      <c r="B876" s="8"/>
      <c r="C876" s="8"/>
      <c r="D876" s="8"/>
      <c r="E876" s="8"/>
      <c r="F876" s="8"/>
      <c r="G876" s="789"/>
      <c r="H876" s="789"/>
      <c r="I876" s="789"/>
      <c r="J876" s="790"/>
      <c r="K876" s="789"/>
      <c r="L876" s="789"/>
      <c r="M876" s="789"/>
      <c r="N876" s="789"/>
      <c r="O876" s="8"/>
      <c r="P876" s="8"/>
      <c r="Q876" s="8"/>
      <c r="R876" s="8"/>
      <c r="S876" s="789"/>
      <c r="T876" s="789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</row>
    <row r="877" spans="1:96" ht="15.75" customHeight="1">
      <c r="A877" s="8"/>
      <c r="B877" s="8"/>
      <c r="C877" s="8"/>
      <c r="D877" s="8"/>
      <c r="E877" s="8"/>
      <c r="F877" s="8"/>
      <c r="G877" s="789"/>
      <c r="H877" s="789"/>
      <c r="I877" s="789"/>
      <c r="J877" s="790"/>
      <c r="K877" s="789"/>
      <c r="L877" s="789"/>
      <c r="M877" s="789"/>
      <c r="N877" s="789"/>
      <c r="O877" s="8"/>
      <c r="P877" s="8"/>
      <c r="Q877" s="8"/>
      <c r="R877" s="8"/>
      <c r="S877" s="789"/>
      <c r="T877" s="789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</row>
    <row r="878" spans="1:96" ht="15.75" customHeight="1">
      <c r="A878" s="8"/>
      <c r="B878" s="8"/>
      <c r="C878" s="8"/>
      <c r="D878" s="8"/>
      <c r="E878" s="8"/>
      <c r="F878" s="8"/>
      <c r="G878" s="789"/>
      <c r="H878" s="789"/>
      <c r="I878" s="789"/>
      <c r="J878" s="790"/>
      <c r="K878" s="789"/>
      <c r="L878" s="789"/>
      <c r="M878" s="789"/>
      <c r="N878" s="789"/>
      <c r="O878" s="8"/>
      <c r="P878" s="8"/>
      <c r="Q878" s="8"/>
      <c r="R878" s="8"/>
      <c r="S878" s="789"/>
      <c r="T878" s="789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</row>
    <row r="879" spans="1:96" ht="15.75" customHeight="1">
      <c r="A879" s="8"/>
      <c r="B879" s="8"/>
      <c r="C879" s="8"/>
      <c r="D879" s="8"/>
      <c r="E879" s="8"/>
      <c r="F879" s="8"/>
      <c r="G879" s="789"/>
      <c r="H879" s="789"/>
      <c r="I879" s="789"/>
      <c r="J879" s="790"/>
      <c r="K879" s="789"/>
      <c r="L879" s="789"/>
      <c r="M879" s="789"/>
      <c r="N879" s="789"/>
      <c r="O879" s="8"/>
      <c r="P879" s="8"/>
      <c r="Q879" s="8"/>
      <c r="R879" s="8"/>
      <c r="S879" s="789"/>
      <c r="T879" s="789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</row>
    <row r="880" spans="1:96" ht="15.75" customHeight="1">
      <c r="A880" s="8"/>
      <c r="B880" s="8"/>
      <c r="C880" s="8"/>
      <c r="D880" s="8"/>
      <c r="E880" s="8"/>
      <c r="F880" s="8"/>
      <c r="G880" s="789"/>
      <c r="H880" s="789"/>
      <c r="I880" s="789"/>
      <c r="J880" s="790"/>
      <c r="K880" s="789"/>
      <c r="L880" s="789"/>
      <c r="M880" s="789"/>
      <c r="N880" s="789"/>
      <c r="O880" s="8"/>
      <c r="P880" s="8"/>
      <c r="Q880" s="8"/>
      <c r="R880" s="8"/>
      <c r="S880" s="789"/>
      <c r="T880" s="789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</row>
    <row r="881" spans="1:96" ht="15.75" customHeight="1">
      <c r="A881" s="8"/>
      <c r="B881" s="8"/>
      <c r="C881" s="8"/>
      <c r="D881" s="8"/>
      <c r="E881" s="8"/>
      <c r="F881" s="8"/>
      <c r="G881" s="789"/>
      <c r="H881" s="789"/>
      <c r="I881" s="789"/>
      <c r="J881" s="790"/>
      <c r="K881" s="789"/>
      <c r="L881" s="789"/>
      <c r="M881" s="789"/>
      <c r="N881" s="789"/>
      <c r="O881" s="8"/>
      <c r="P881" s="8"/>
      <c r="Q881" s="8"/>
      <c r="R881" s="8"/>
      <c r="S881" s="789"/>
      <c r="T881" s="789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</row>
    <row r="882" spans="1:96" ht="15.75" customHeight="1">
      <c r="A882" s="8"/>
      <c r="B882" s="8"/>
      <c r="C882" s="8"/>
      <c r="D882" s="8"/>
      <c r="E882" s="8"/>
      <c r="F882" s="8"/>
      <c r="G882" s="789"/>
      <c r="H882" s="789"/>
      <c r="I882" s="789"/>
      <c r="J882" s="790"/>
      <c r="K882" s="789"/>
      <c r="L882" s="789"/>
      <c r="M882" s="789"/>
      <c r="N882" s="789"/>
      <c r="O882" s="8"/>
      <c r="P882" s="8"/>
      <c r="Q882" s="8"/>
      <c r="R882" s="8"/>
      <c r="S882" s="789"/>
      <c r="T882" s="789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</row>
    <row r="883" spans="1:96" ht="15.75" customHeight="1">
      <c r="A883" s="8"/>
      <c r="B883" s="8"/>
      <c r="C883" s="8"/>
      <c r="D883" s="8"/>
      <c r="E883" s="8"/>
      <c r="F883" s="8"/>
      <c r="G883" s="789"/>
      <c r="H883" s="789"/>
      <c r="I883" s="789"/>
      <c r="J883" s="790"/>
      <c r="K883" s="789"/>
      <c r="L883" s="789"/>
      <c r="M883" s="789"/>
      <c r="N883" s="789"/>
      <c r="O883" s="8"/>
      <c r="P883" s="8"/>
      <c r="Q883" s="8"/>
      <c r="R883" s="8"/>
      <c r="S883" s="789"/>
      <c r="T883" s="789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</row>
    <row r="884" spans="1:96" ht="15.75" customHeight="1">
      <c r="A884" s="8"/>
      <c r="B884" s="8"/>
      <c r="C884" s="8"/>
      <c r="D884" s="8"/>
      <c r="E884" s="8"/>
      <c r="F884" s="8"/>
      <c r="G884" s="789"/>
      <c r="H884" s="789"/>
      <c r="I884" s="789"/>
      <c r="J884" s="790"/>
      <c r="K884" s="789"/>
      <c r="L884" s="789"/>
      <c r="M884" s="789"/>
      <c r="N884" s="789"/>
      <c r="O884" s="8"/>
      <c r="P884" s="8"/>
      <c r="Q884" s="8"/>
      <c r="R884" s="8"/>
      <c r="S884" s="789"/>
      <c r="T884" s="789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</row>
    <row r="885" spans="1:96" ht="15.75" customHeight="1">
      <c r="A885" s="8"/>
      <c r="B885" s="8"/>
      <c r="C885" s="8"/>
      <c r="D885" s="8"/>
      <c r="E885" s="8"/>
      <c r="F885" s="8"/>
      <c r="G885" s="789"/>
      <c r="H885" s="789"/>
      <c r="I885" s="789"/>
      <c r="J885" s="790"/>
      <c r="K885" s="789"/>
      <c r="L885" s="789"/>
      <c r="M885" s="789"/>
      <c r="N885" s="789"/>
      <c r="O885" s="8"/>
      <c r="P885" s="8"/>
      <c r="Q885" s="8"/>
      <c r="R885" s="8"/>
      <c r="S885" s="789"/>
      <c r="T885" s="789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</row>
    <row r="886" spans="1:96" ht="15.75" customHeight="1">
      <c r="A886" s="8"/>
      <c r="B886" s="8"/>
      <c r="C886" s="8"/>
      <c r="D886" s="8"/>
      <c r="E886" s="8"/>
      <c r="F886" s="8"/>
      <c r="G886" s="789"/>
      <c r="H886" s="789"/>
      <c r="I886" s="789"/>
      <c r="J886" s="790"/>
      <c r="K886" s="789"/>
      <c r="L886" s="789"/>
      <c r="M886" s="789"/>
      <c r="N886" s="789"/>
      <c r="O886" s="8"/>
      <c r="P886" s="8"/>
      <c r="Q886" s="8"/>
      <c r="R886" s="8"/>
      <c r="S886" s="789"/>
      <c r="T886" s="789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</row>
    <row r="887" spans="1:96" ht="15.75" customHeight="1">
      <c r="A887" s="8"/>
      <c r="B887" s="8"/>
      <c r="C887" s="8"/>
      <c r="D887" s="8"/>
      <c r="E887" s="8"/>
      <c r="F887" s="8"/>
      <c r="G887" s="789"/>
      <c r="H887" s="789"/>
      <c r="I887" s="789"/>
      <c r="J887" s="790"/>
      <c r="K887" s="789"/>
      <c r="L887" s="789"/>
      <c r="M887" s="789"/>
      <c r="N887" s="789"/>
      <c r="O887" s="8"/>
      <c r="P887" s="8"/>
      <c r="Q887" s="8"/>
      <c r="R887" s="8"/>
      <c r="S887" s="789"/>
      <c r="T887" s="789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</row>
    <row r="888" spans="1:96" ht="15.75" customHeight="1">
      <c r="A888" s="8"/>
      <c r="B888" s="8"/>
      <c r="C888" s="8"/>
      <c r="D888" s="8"/>
      <c r="E888" s="8"/>
      <c r="F888" s="8"/>
      <c r="G888" s="789"/>
      <c r="H888" s="789"/>
      <c r="I888" s="789"/>
      <c r="J888" s="790"/>
      <c r="K888" s="789"/>
      <c r="L888" s="789"/>
      <c r="M888" s="789"/>
      <c r="N888" s="789"/>
      <c r="O888" s="8"/>
      <c r="P888" s="8"/>
      <c r="Q888" s="8"/>
      <c r="R888" s="8"/>
      <c r="S888" s="789"/>
      <c r="T888" s="789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</row>
    <row r="889" spans="1:96" ht="15.75" customHeight="1">
      <c r="A889" s="8"/>
      <c r="B889" s="8"/>
      <c r="C889" s="8"/>
      <c r="D889" s="8"/>
      <c r="E889" s="8"/>
      <c r="F889" s="8"/>
      <c r="G889" s="789"/>
      <c r="H889" s="789"/>
      <c r="I889" s="789"/>
      <c r="J889" s="790"/>
      <c r="K889" s="789"/>
      <c r="L889" s="789"/>
      <c r="M889" s="789"/>
      <c r="N889" s="789"/>
      <c r="O889" s="8"/>
      <c r="P889" s="8"/>
      <c r="Q889" s="8"/>
      <c r="R889" s="8"/>
      <c r="S889" s="789"/>
      <c r="T889" s="789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</row>
    <row r="890" spans="1:96" ht="15.75" customHeight="1">
      <c r="A890" s="8"/>
      <c r="B890" s="8"/>
      <c r="C890" s="8"/>
      <c r="D890" s="8"/>
      <c r="E890" s="8"/>
      <c r="F890" s="8"/>
      <c r="G890" s="789"/>
      <c r="H890" s="789"/>
      <c r="I890" s="789"/>
      <c r="J890" s="790"/>
      <c r="K890" s="789"/>
      <c r="L890" s="789"/>
      <c r="M890" s="789"/>
      <c r="N890" s="789"/>
      <c r="O890" s="8"/>
      <c r="P890" s="8"/>
      <c r="Q890" s="8"/>
      <c r="R890" s="8"/>
      <c r="S890" s="789"/>
      <c r="T890" s="789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</row>
    <row r="891" spans="1:96" ht="15.75" customHeight="1">
      <c r="A891" s="8"/>
      <c r="B891" s="8"/>
      <c r="C891" s="8"/>
      <c r="D891" s="8"/>
      <c r="E891" s="8"/>
      <c r="F891" s="8"/>
      <c r="G891" s="789"/>
      <c r="H891" s="789"/>
      <c r="I891" s="789"/>
      <c r="J891" s="790"/>
      <c r="K891" s="789"/>
      <c r="L891" s="789"/>
      <c r="M891" s="789"/>
      <c r="N891" s="789"/>
      <c r="O891" s="8"/>
      <c r="P891" s="8"/>
      <c r="Q891" s="8"/>
      <c r="R891" s="8"/>
      <c r="S891" s="789"/>
      <c r="T891" s="789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</row>
    <row r="892" spans="1:96" ht="15.75" customHeight="1">
      <c r="A892" s="8"/>
      <c r="B892" s="8"/>
      <c r="C892" s="8"/>
      <c r="D892" s="8"/>
      <c r="E892" s="8"/>
      <c r="F892" s="8"/>
      <c r="G892" s="789"/>
      <c r="H892" s="789"/>
      <c r="I892" s="789"/>
      <c r="J892" s="790"/>
      <c r="K892" s="789"/>
      <c r="L892" s="789"/>
      <c r="M892" s="789"/>
      <c r="N892" s="789"/>
      <c r="O892" s="8"/>
      <c r="P892" s="8"/>
      <c r="Q892" s="8"/>
      <c r="R892" s="8"/>
      <c r="S892" s="789"/>
      <c r="T892" s="789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</row>
    <row r="893" spans="1:96" ht="15.75" customHeight="1">
      <c r="A893" s="8"/>
      <c r="B893" s="8"/>
      <c r="C893" s="8"/>
      <c r="D893" s="8"/>
      <c r="E893" s="8"/>
      <c r="F893" s="8"/>
      <c r="G893" s="789"/>
      <c r="H893" s="789"/>
      <c r="I893" s="789"/>
      <c r="J893" s="790"/>
      <c r="K893" s="789"/>
      <c r="L893" s="789"/>
      <c r="M893" s="789"/>
      <c r="N893" s="789"/>
      <c r="O893" s="8"/>
      <c r="P893" s="8"/>
      <c r="Q893" s="8"/>
      <c r="R893" s="8"/>
      <c r="S893" s="789"/>
      <c r="T893" s="789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</row>
    <row r="894" spans="1:96" ht="15.75" customHeight="1">
      <c r="A894" s="8"/>
      <c r="B894" s="8"/>
      <c r="C894" s="8"/>
      <c r="D894" s="8"/>
      <c r="E894" s="8"/>
      <c r="F894" s="8"/>
      <c r="G894" s="789"/>
      <c r="H894" s="789"/>
      <c r="I894" s="789"/>
      <c r="J894" s="790"/>
      <c r="K894" s="789"/>
      <c r="L894" s="789"/>
      <c r="M894" s="789"/>
      <c r="N894" s="789"/>
      <c r="O894" s="8"/>
      <c r="P894" s="8"/>
      <c r="Q894" s="8"/>
      <c r="R894" s="8"/>
      <c r="S894" s="789"/>
      <c r="T894" s="789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</row>
    <row r="895" spans="1:96" ht="15.75" customHeight="1">
      <c r="A895" s="8"/>
      <c r="B895" s="8"/>
      <c r="C895" s="8"/>
      <c r="D895" s="8"/>
      <c r="E895" s="8"/>
      <c r="F895" s="8"/>
      <c r="G895" s="789"/>
      <c r="H895" s="789"/>
      <c r="I895" s="789"/>
      <c r="J895" s="790"/>
      <c r="K895" s="789"/>
      <c r="L895" s="789"/>
      <c r="M895" s="789"/>
      <c r="N895" s="789"/>
      <c r="O895" s="8"/>
      <c r="P895" s="8"/>
      <c r="Q895" s="8"/>
      <c r="R895" s="8"/>
      <c r="S895" s="789"/>
      <c r="T895" s="789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</row>
    <row r="896" spans="1:96" ht="15.75" customHeight="1">
      <c r="A896" s="8"/>
      <c r="B896" s="8"/>
      <c r="C896" s="8"/>
      <c r="D896" s="8"/>
      <c r="E896" s="8"/>
      <c r="F896" s="8"/>
      <c r="G896" s="789"/>
      <c r="H896" s="789"/>
      <c r="I896" s="789"/>
      <c r="J896" s="790"/>
      <c r="K896" s="789"/>
      <c r="L896" s="789"/>
      <c r="M896" s="789"/>
      <c r="N896" s="789"/>
      <c r="O896" s="8"/>
      <c r="P896" s="8"/>
      <c r="Q896" s="8"/>
      <c r="R896" s="8"/>
      <c r="S896" s="789"/>
      <c r="T896" s="789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</row>
    <row r="897" spans="1:96" ht="15.75" customHeight="1">
      <c r="A897" s="8"/>
      <c r="B897" s="8"/>
      <c r="C897" s="8"/>
      <c r="D897" s="8"/>
      <c r="E897" s="8"/>
      <c r="F897" s="8"/>
      <c r="G897" s="789"/>
      <c r="H897" s="789"/>
      <c r="I897" s="789"/>
      <c r="J897" s="790"/>
      <c r="K897" s="789"/>
      <c r="L897" s="789"/>
      <c r="M897" s="789"/>
      <c r="N897" s="789"/>
      <c r="O897" s="8"/>
      <c r="P897" s="8"/>
      <c r="Q897" s="8"/>
      <c r="R897" s="8"/>
      <c r="S897" s="789"/>
      <c r="T897" s="789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</row>
    <row r="898" spans="1:96" ht="15.75" customHeight="1">
      <c r="A898" s="8"/>
      <c r="B898" s="8"/>
      <c r="C898" s="8"/>
      <c r="D898" s="8"/>
      <c r="E898" s="8"/>
      <c r="F898" s="8"/>
      <c r="G898" s="789"/>
      <c r="H898" s="789"/>
      <c r="I898" s="789"/>
      <c r="J898" s="790"/>
      <c r="K898" s="789"/>
      <c r="L898" s="789"/>
      <c r="M898" s="789"/>
      <c r="N898" s="789"/>
      <c r="O898" s="8"/>
      <c r="P898" s="8"/>
      <c r="Q898" s="8"/>
      <c r="R898" s="8"/>
      <c r="S898" s="789"/>
      <c r="T898" s="789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</row>
    <row r="899" spans="1:96" ht="15.75" customHeight="1">
      <c r="A899" s="8"/>
      <c r="B899" s="8"/>
      <c r="C899" s="8"/>
      <c r="D899" s="8"/>
      <c r="E899" s="8"/>
      <c r="F899" s="8"/>
      <c r="G899" s="789"/>
      <c r="H899" s="789"/>
      <c r="I899" s="789"/>
      <c r="J899" s="790"/>
      <c r="K899" s="789"/>
      <c r="L899" s="789"/>
      <c r="M899" s="789"/>
      <c r="N899" s="789"/>
      <c r="O899" s="8"/>
      <c r="P899" s="8"/>
      <c r="Q899" s="8"/>
      <c r="R899" s="8"/>
      <c r="S899" s="789"/>
      <c r="T899" s="789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</row>
    <row r="900" spans="1:96" ht="15.75" customHeight="1">
      <c r="A900" s="8"/>
      <c r="B900" s="8"/>
      <c r="C900" s="8"/>
      <c r="D900" s="8"/>
      <c r="E900" s="8"/>
      <c r="F900" s="8"/>
      <c r="G900" s="789"/>
      <c r="H900" s="789"/>
      <c r="I900" s="789"/>
      <c r="J900" s="790"/>
      <c r="K900" s="789"/>
      <c r="L900" s="789"/>
      <c r="M900" s="789"/>
      <c r="N900" s="789"/>
      <c r="O900" s="8"/>
      <c r="P900" s="8"/>
      <c r="Q900" s="8"/>
      <c r="R900" s="8"/>
      <c r="S900" s="789"/>
      <c r="T900" s="789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</row>
    <row r="901" spans="1:96" ht="15.75" customHeight="1">
      <c r="A901" s="8"/>
      <c r="B901" s="8"/>
      <c r="C901" s="8"/>
      <c r="D901" s="8"/>
      <c r="E901" s="8"/>
      <c r="F901" s="8"/>
      <c r="G901" s="789"/>
      <c r="H901" s="789"/>
      <c r="I901" s="789"/>
      <c r="J901" s="790"/>
      <c r="K901" s="789"/>
      <c r="L901" s="789"/>
      <c r="M901" s="789"/>
      <c r="N901" s="789"/>
      <c r="O901" s="8"/>
      <c r="P901" s="8"/>
      <c r="Q901" s="8"/>
      <c r="R901" s="8"/>
      <c r="S901" s="789"/>
      <c r="T901" s="789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</row>
    <row r="902" spans="1:96" ht="15.75" customHeight="1">
      <c r="A902" s="8"/>
      <c r="B902" s="8"/>
      <c r="C902" s="8"/>
      <c r="D902" s="8"/>
      <c r="E902" s="8"/>
      <c r="F902" s="8"/>
      <c r="G902" s="789"/>
      <c r="H902" s="789"/>
      <c r="I902" s="789"/>
      <c r="J902" s="790"/>
      <c r="K902" s="789"/>
      <c r="L902" s="789"/>
      <c r="M902" s="789"/>
      <c r="N902" s="789"/>
      <c r="O902" s="8"/>
      <c r="P902" s="8"/>
      <c r="Q902" s="8"/>
      <c r="R902" s="8"/>
      <c r="S902" s="789"/>
      <c r="T902" s="789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</row>
    <row r="903" spans="1:96" ht="15.75" customHeight="1">
      <c r="A903" s="8"/>
      <c r="B903" s="8"/>
      <c r="C903" s="8"/>
      <c r="D903" s="8"/>
      <c r="E903" s="8"/>
      <c r="F903" s="8"/>
      <c r="G903" s="789"/>
      <c r="H903" s="789"/>
      <c r="I903" s="789"/>
      <c r="J903" s="790"/>
      <c r="K903" s="789"/>
      <c r="L903" s="789"/>
      <c r="M903" s="789"/>
      <c r="N903" s="789"/>
      <c r="O903" s="8"/>
      <c r="P903" s="8"/>
      <c r="Q903" s="8"/>
      <c r="R903" s="8"/>
      <c r="S903" s="789"/>
      <c r="T903" s="789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</row>
    <row r="904" spans="1:96" ht="15.75" customHeight="1">
      <c r="A904" s="8"/>
      <c r="B904" s="8"/>
      <c r="C904" s="8"/>
      <c r="D904" s="8"/>
      <c r="E904" s="8"/>
      <c r="F904" s="8"/>
      <c r="G904" s="789"/>
      <c r="H904" s="789"/>
      <c r="I904" s="789"/>
      <c r="J904" s="790"/>
      <c r="K904" s="789"/>
      <c r="L904" s="789"/>
      <c r="M904" s="789"/>
      <c r="N904" s="789"/>
      <c r="O904" s="8"/>
      <c r="P904" s="8"/>
      <c r="Q904" s="8"/>
      <c r="R904" s="8"/>
      <c r="S904" s="789"/>
      <c r="T904" s="789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</row>
    <row r="905" spans="1:96" ht="15.75" customHeight="1">
      <c r="A905" s="8"/>
      <c r="B905" s="8"/>
      <c r="C905" s="8"/>
      <c r="D905" s="8"/>
      <c r="E905" s="8"/>
      <c r="F905" s="8"/>
      <c r="G905" s="789"/>
      <c r="H905" s="789"/>
      <c r="I905" s="789"/>
      <c r="J905" s="790"/>
      <c r="K905" s="789"/>
      <c r="L905" s="789"/>
      <c r="M905" s="789"/>
      <c r="N905" s="789"/>
      <c r="O905" s="8"/>
      <c r="P905" s="8"/>
      <c r="Q905" s="8"/>
      <c r="R905" s="8"/>
      <c r="S905" s="789"/>
      <c r="T905" s="789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</row>
    <row r="906" spans="1:96" ht="15.75" customHeight="1">
      <c r="A906" s="8"/>
      <c r="B906" s="8"/>
      <c r="C906" s="8"/>
      <c r="D906" s="8"/>
      <c r="E906" s="8"/>
      <c r="F906" s="8"/>
      <c r="G906" s="789"/>
      <c r="H906" s="789"/>
      <c r="I906" s="789"/>
      <c r="J906" s="790"/>
      <c r="K906" s="789"/>
      <c r="L906" s="789"/>
      <c r="M906" s="789"/>
      <c r="N906" s="789"/>
      <c r="O906" s="8"/>
      <c r="P906" s="8"/>
      <c r="Q906" s="8"/>
      <c r="R906" s="8"/>
      <c r="S906" s="789"/>
      <c r="T906" s="789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</row>
    <row r="907" spans="1:96" ht="15.75" customHeight="1">
      <c r="A907" s="8"/>
      <c r="B907" s="8"/>
      <c r="C907" s="8"/>
      <c r="D907" s="8"/>
      <c r="E907" s="8"/>
      <c r="F907" s="8"/>
      <c r="G907" s="789"/>
      <c r="H907" s="789"/>
      <c r="I907" s="789"/>
      <c r="J907" s="790"/>
      <c r="K907" s="789"/>
      <c r="L907" s="789"/>
      <c r="M907" s="789"/>
      <c r="N907" s="789"/>
      <c r="O907" s="8"/>
      <c r="P907" s="8"/>
      <c r="Q907" s="8"/>
      <c r="R907" s="8"/>
      <c r="S907" s="789"/>
      <c r="T907" s="789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</row>
    <row r="908" spans="1:96" ht="15.75" customHeight="1">
      <c r="A908" s="8"/>
      <c r="B908" s="8"/>
      <c r="C908" s="8"/>
      <c r="D908" s="8"/>
      <c r="E908" s="8"/>
      <c r="F908" s="8"/>
      <c r="G908" s="789"/>
      <c r="H908" s="789"/>
      <c r="I908" s="789"/>
      <c r="J908" s="790"/>
      <c r="K908" s="789"/>
      <c r="L908" s="789"/>
      <c r="M908" s="789"/>
      <c r="N908" s="789"/>
      <c r="O908" s="8"/>
      <c r="P908" s="8"/>
      <c r="Q908" s="8"/>
      <c r="R908" s="8"/>
      <c r="S908" s="789"/>
      <c r="T908" s="789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</row>
    <row r="909" spans="1:96" ht="15.75" customHeight="1">
      <c r="A909" s="8"/>
      <c r="B909" s="8"/>
      <c r="C909" s="8"/>
      <c r="D909" s="8"/>
      <c r="E909" s="8"/>
      <c r="F909" s="8"/>
      <c r="G909" s="789"/>
      <c r="H909" s="789"/>
      <c r="I909" s="789"/>
      <c r="J909" s="790"/>
      <c r="K909" s="789"/>
      <c r="L909" s="789"/>
      <c r="M909" s="789"/>
      <c r="N909" s="789"/>
      <c r="O909" s="8"/>
      <c r="P909" s="8"/>
      <c r="Q909" s="8"/>
      <c r="R909" s="8"/>
      <c r="S909" s="789"/>
      <c r="T909" s="789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</row>
    <row r="910" spans="1:96" ht="15.75" customHeight="1">
      <c r="A910" s="8"/>
      <c r="B910" s="8"/>
      <c r="C910" s="8"/>
      <c r="D910" s="8"/>
      <c r="E910" s="8"/>
      <c r="F910" s="8"/>
      <c r="G910" s="789"/>
      <c r="H910" s="789"/>
      <c r="I910" s="789"/>
      <c r="J910" s="790"/>
      <c r="K910" s="789"/>
      <c r="L910" s="789"/>
      <c r="M910" s="789"/>
      <c r="N910" s="789"/>
      <c r="O910" s="8"/>
      <c r="P910" s="8"/>
      <c r="Q910" s="8"/>
      <c r="R910" s="8"/>
      <c r="S910" s="789"/>
      <c r="T910" s="789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</row>
    <row r="911" spans="1:96" ht="15.75" customHeight="1">
      <c r="A911" s="8"/>
      <c r="B911" s="8"/>
      <c r="C911" s="8"/>
      <c r="D911" s="8"/>
      <c r="E911" s="8"/>
      <c r="F911" s="8"/>
      <c r="G911" s="789"/>
      <c r="H911" s="789"/>
      <c r="I911" s="789"/>
      <c r="J911" s="790"/>
      <c r="K911" s="789"/>
      <c r="L911" s="789"/>
      <c r="M911" s="789"/>
      <c r="N911" s="789"/>
      <c r="O911" s="8"/>
      <c r="P911" s="8"/>
      <c r="Q911" s="8"/>
      <c r="R911" s="8"/>
      <c r="S911" s="789"/>
      <c r="T911" s="789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</row>
    <row r="912" spans="1:96" ht="15.75" customHeight="1">
      <c r="A912" s="8"/>
      <c r="B912" s="8"/>
      <c r="C912" s="8"/>
      <c r="D912" s="8"/>
      <c r="E912" s="8"/>
      <c r="F912" s="8"/>
      <c r="G912" s="789"/>
      <c r="H912" s="789"/>
      <c r="I912" s="789"/>
      <c r="J912" s="790"/>
      <c r="K912" s="789"/>
      <c r="L912" s="789"/>
      <c r="M912" s="789"/>
      <c r="N912" s="789"/>
      <c r="O912" s="8"/>
      <c r="P912" s="8"/>
      <c r="Q912" s="8"/>
      <c r="R912" s="8"/>
      <c r="S912" s="789"/>
      <c r="T912" s="789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</row>
    <row r="913" spans="1:96" ht="15.75" customHeight="1">
      <c r="A913" s="8"/>
      <c r="B913" s="8"/>
      <c r="C913" s="8"/>
      <c r="D913" s="8"/>
      <c r="E913" s="8"/>
      <c r="F913" s="8"/>
      <c r="G913" s="789"/>
      <c r="H913" s="789"/>
      <c r="I913" s="789"/>
      <c r="J913" s="790"/>
      <c r="K913" s="789"/>
      <c r="L913" s="789"/>
      <c r="M913" s="789"/>
      <c r="N913" s="789"/>
      <c r="O913" s="8"/>
      <c r="P913" s="8"/>
      <c r="Q913" s="8"/>
      <c r="R913" s="8"/>
      <c r="S913" s="789"/>
      <c r="T913" s="789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</row>
    <row r="914" spans="1:96" ht="15.75" customHeight="1">
      <c r="A914" s="8"/>
      <c r="B914" s="8"/>
      <c r="C914" s="8"/>
      <c r="D914" s="8"/>
      <c r="E914" s="8"/>
      <c r="F914" s="8"/>
      <c r="G914" s="789"/>
      <c r="H914" s="789"/>
      <c r="I914" s="789"/>
      <c r="J914" s="790"/>
      <c r="K914" s="789"/>
      <c r="L914" s="789"/>
      <c r="M914" s="789"/>
      <c r="N914" s="789"/>
      <c r="O914" s="8"/>
      <c r="P914" s="8"/>
      <c r="Q914" s="8"/>
      <c r="R914" s="8"/>
      <c r="S914" s="789"/>
      <c r="T914" s="789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</row>
    <row r="915" spans="1:96" ht="15.75" customHeight="1">
      <c r="A915" s="8"/>
      <c r="B915" s="8"/>
      <c r="C915" s="8"/>
      <c r="D915" s="8"/>
      <c r="E915" s="8"/>
      <c r="F915" s="8"/>
      <c r="G915" s="789"/>
      <c r="H915" s="789"/>
      <c r="I915" s="789"/>
      <c r="J915" s="790"/>
      <c r="K915" s="789"/>
      <c r="L915" s="789"/>
      <c r="M915" s="789"/>
      <c r="N915" s="789"/>
      <c r="O915" s="8"/>
      <c r="P915" s="8"/>
      <c r="Q915" s="8"/>
      <c r="R915" s="8"/>
      <c r="S915" s="789"/>
      <c r="T915" s="789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</row>
    <row r="916" spans="1:96" ht="15.75" customHeight="1">
      <c r="A916" s="8"/>
      <c r="B916" s="8"/>
      <c r="C916" s="8"/>
      <c r="D916" s="8"/>
      <c r="E916" s="8"/>
      <c r="F916" s="8"/>
      <c r="G916" s="789"/>
      <c r="H916" s="789"/>
      <c r="I916" s="789"/>
      <c r="J916" s="790"/>
      <c r="K916" s="789"/>
      <c r="L916" s="789"/>
      <c r="M916" s="789"/>
      <c r="N916" s="789"/>
      <c r="O916" s="8"/>
      <c r="P916" s="8"/>
      <c r="Q916" s="8"/>
      <c r="R916" s="8"/>
      <c r="S916" s="789"/>
      <c r="T916" s="789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</row>
    <row r="917" spans="1:96" ht="15.75" customHeight="1">
      <c r="A917" s="8"/>
      <c r="B917" s="8"/>
      <c r="C917" s="8"/>
      <c r="D917" s="8"/>
      <c r="E917" s="8"/>
      <c r="F917" s="8"/>
      <c r="G917" s="789"/>
      <c r="H917" s="789"/>
      <c r="I917" s="789"/>
      <c r="J917" s="790"/>
      <c r="K917" s="789"/>
      <c r="L917" s="789"/>
      <c r="M917" s="789"/>
      <c r="N917" s="789"/>
      <c r="O917" s="8"/>
      <c r="P917" s="8"/>
      <c r="Q917" s="8"/>
      <c r="R917" s="8"/>
      <c r="S917" s="789"/>
      <c r="T917" s="789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</row>
    <row r="918" spans="1:96" ht="15.75" customHeight="1">
      <c r="A918" s="8"/>
      <c r="B918" s="8"/>
      <c r="C918" s="8"/>
      <c r="D918" s="8"/>
      <c r="E918" s="8"/>
      <c r="F918" s="8"/>
      <c r="G918" s="789"/>
      <c r="H918" s="789"/>
      <c r="I918" s="789"/>
      <c r="J918" s="790"/>
      <c r="K918" s="789"/>
      <c r="L918" s="789"/>
      <c r="M918" s="789"/>
      <c r="N918" s="789"/>
      <c r="O918" s="8"/>
      <c r="P918" s="8"/>
      <c r="Q918" s="8"/>
      <c r="R918" s="8"/>
      <c r="S918" s="789"/>
      <c r="T918" s="789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</row>
    <row r="919" spans="1:96" ht="15.75" customHeight="1">
      <c r="A919" s="8"/>
      <c r="B919" s="8"/>
      <c r="C919" s="8"/>
      <c r="D919" s="8"/>
      <c r="E919" s="8"/>
      <c r="F919" s="8"/>
      <c r="G919" s="789"/>
      <c r="H919" s="789"/>
      <c r="I919" s="789"/>
      <c r="J919" s="790"/>
      <c r="K919" s="789"/>
      <c r="L919" s="789"/>
      <c r="M919" s="789"/>
      <c r="N919" s="789"/>
      <c r="O919" s="8"/>
      <c r="P919" s="8"/>
      <c r="Q919" s="8"/>
      <c r="R919" s="8"/>
      <c r="S919" s="789"/>
      <c r="T919" s="789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</row>
    <row r="920" spans="1:96" ht="15.75" customHeight="1">
      <c r="A920" s="8"/>
      <c r="B920" s="8"/>
      <c r="C920" s="8"/>
      <c r="D920" s="8"/>
      <c r="E920" s="8"/>
      <c r="F920" s="8"/>
      <c r="G920" s="789"/>
      <c r="H920" s="789"/>
      <c r="I920" s="789"/>
      <c r="J920" s="790"/>
      <c r="K920" s="789"/>
      <c r="L920" s="789"/>
      <c r="M920" s="789"/>
      <c r="N920" s="789"/>
      <c r="O920" s="8"/>
      <c r="P920" s="8"/>
      <c r="Q920" s="8"/>
      <c r="R920" s="8"/>
      <c r="S920" s="789"/>
      <c r="T920" s="789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</row>
    <row r="921" spans="1:96" ht="15.75" customHeight="1">
      <c r="A921" s="8"/>
      <c r="B921" s="8"/>
      <c r="C921" s="8"/>
      <c r="D921" s="8"/>
      <c r="E921" s="8"/>
      <c r="F921" s="8"/>
      <c r="G921" s="789"/>
      <c r="H921" s="789"/>
      <c r="I921" s="789"/>
      <c r="J921" s="790"/>
      <c r="K921" s="789"/>
      <c r="L921" s="789"/>
      <c r="M921" s="789"/>
      <c r="N921" s="789"/>
      <c r="O921" s="8"/>
      <c r="P921" s="8"/>
      <c r="Q921" s="8"/>
      <c r="R921" s="8"/>
      <c r="S921" s="789"/>
      <c r="T921" s="789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</row>
    <row r="922" spans="1:96" ht="15.75" customHeight="1">
      <c r="A922" s="8"/>
      <c r="B922" s="8"/>
      <c r="C922" s="8"/>
      <c r="D922" s="8"/>
      <c r="E922" s="8"/>
      <c r="F922" s="8"/>
      <c r="G922" s="789"/>
      <c r="H922" s="789"/>
      <c r="I922" s="789"/>
      <c r="J922" s="790"/>
      <c r="K922" s="789"/>
      <c r="L922" s="789"/>
      <c r="M922" s="789"/>
      <c r="N922" s="789"/>
      <c r="O922" s="8"/>
      <c r="P922" s="8"/>
      <c r="Q922" s="8"/>
      <c r="R922" s="8"/>
      <c r="S922" s="789"/>
      <c r="T922" s="789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</row>
    <row r="923" spans="1:96" ht="15.75" customHeight="1">
      <c r="A923" s="8"/>
      <c r="B923" s="8"/>
      <c r="C923" s="8"/>
      <c r="D923" s="8"/>
      <c r="E923" s="8"/>
      <c r="F923" s="8"/>
      <c r="G923" s="789"/>
      <c r="H923" s="789"/>
      <c r="I923" s="789"/>
      <c r="J923" s="790"/>
      <c r="K923" s="789"/>
      <c r="L923" s="789"/>
      <c r="M923" s="789"/>
      <c r="N923" s="789"/>
      <c r="O923" s="8"/>
      <c r="P923" s="8"/>
      <c r="Q923" s="8"/>
      <c r="R923" s="8"/>
      <c r="S923" s="789"/>
      <c r="T923" s="789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</row>
    <row r="924" spans="1:96" ht="15.75" customHeight="1">
      <c r="A924" s="8"/>
      <c r="B924" s="8"/>
      <c r="C924" s="8"/>
      <c r="D924" s="8"/>
      <c r="E924" s="8"/>
      <c r="F924" s="8"/>
      <c r="G924" s="789"/>
      <c r="H924" s="789"/>
      <c r="I924" s="789"/>
      <c r="J924" s="790"/>
      <c r="K924" s="789"/>
      <c r="L924" s="789"/>
      <c r="M924" s="789"/>
      <c r="N924" s="789"/>
      <c r="O924" s="8"/>
      <c r="P924" s="8"/>
      <c r="Q924" s="8"/>
      <c r="R924" s="8"/>
      <c r="S924" s="789"/>
      <c r="T924" s="789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</row>
    <row r="925" spans="1:96" ht="15.75" customHeight="1">
      <c r="A925" s="8"/>
      <c r="B925" s="8"/>
      <c r="C925" s="8"/>
      <c r="D925" s="8"/>
      <c r="E925" s="8"/>
      <c r="F925" s="8"/>
      <c r="G925" s="789"/>
      <c r="H925" s="789"/>
      <c r="I925" s="789"/>
      <c r="J925" s="790"/>
      <c r="K925" s="789"/>
      <c r="L925" s="789"/>
      <c r="M925" s="789"/>
      <c r="N925" s="789"/>
      <c r="O925" s="8"/>
      <c r="P925" s="8"/>
      <c r="Q925" s="8"/>
      <c r="R925" s="8"/>
      <c r="S925" s="789"/>
      <c r="T925" s="789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</row>
    <row r="926" spans="1:96" ht="15.75" customHeight="1">
      <c r="A926" s="8"/>
      <c r="B926" s="8"/>
      <c r="C926" s="8"/>
      <c r="D926" s="8"/>
      <c r="E926" s="8"/>
      <c r="F926" s="8"/>
      <c r="G926" s="789"/>
      <c r="H926" s="789"/>
      <c r="I926" s="789"/>
      <c r="J926" s="790"/>
      <c r="K926" s="789"/>
      <c r="L926" s="789"/>
      <c r="M926" s="789"/>
      <c r="N926" s="789"/>
      <c r="O926" s="8"/>
      <c r="P926" s="8"/>
      <c r="Q926" s="8"/>
      <c r="R926" s="8"/>
      <c r="S926" s="789"/>
      <c r="T926" s="789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</row>
    <row r="927" spans="1:96" ht="15.75" customHeight="1">
      <c r="A927" s="8"/>
      <c r="B927" s="8"/>
      <c r="C927" s="8"/>
      <c r="D927" s="8"/>
      <c r="E927" s="8"/>
      <c r="F927" s="8"/>
      <c r="G927" s="789"/>
      <c r="H927" s="789"/>
      <c r="I927" s="789"/>
      <c r="J927" s="790"/>
      <c r="K927" s="789"/>
      <c r="L927" s="789"/>
      <c r="M927" s="789"/>
      <c r="N927" s="789"/>
      <c r="O927" s="8"/>
      <c r="P927" s="8"/>
      <c r="Q927" s="8"/>
      <c r="R927" s="8"/>
      <c r="S927" s="789"/>
      <c r="T927" s="789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</row>
    <row r="928" spans="1:96" ht="15.75" customHeight="1">
      <c r="A928" s="8"/>
      <c r="B928" s="8"/>
      <c r="C928" s="8"/>
      <c r="D928" s="8"/>
      <c r="E928" s="8"/>
      <c r="F928" s="8"/>
      <c r="G928" s="789"/>
      <c r="H928" s="789"/>
      <c r="I928" s="789"/>
      <c r="J928" s="790"/>
      <c r="K928" s="789"/>
      <c r="L928" s="789"/>
      <c r="M928" s="789"/>
      <c r="N928" s="789"/>
      <c r="O928" s="8"/>
      <c r="P928" s="8"/>
      <c r="Q928" s="8"/>
      <c r="R928" s="8"/>
      <c r="S928" s="789"/>
      <c r="T928" s="789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</row>
    <row r="929" spans="1:96" ht="15.75" customHeight="1">
      <c r="A929" s="8"/>
      <c r="B929" s="8"/>
      <c r="C929" s="8"/>
      <c r="D929" s="8"/>
      <c r="E929" s="8"/>
      <c r="F929" s="8"/>
      <c r="G929" s="789"/>
      <c r="H929" s="789"/>
      <c r="I929" s="789"/>
      <c r="J929" s="790"/>
      <c r="K929" s="789"/>
      <c r="L929" s="789"/>
      <c r="M929" s="789"/>
      <c r="N929" s="789"/>
      <c r="O929" s="8"/>
      <c r="P929" s="8"/>
      <c r="Q929" s="8"/>
      <c r="R929" s="8"/>
      <c r="S929" s="789"/>
      <c r="T929" s="789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</row>
    <row r="930" spans="1:96" ht="15.75" customHeight="1">
      <c r="A930" s="8"/>
      <c r="B930" s="8"/>
      <c r="C930" s="8"/>
      <c r="D930" s="8"/>
      <c r="E930" s="8"/>
      <c r="F930" s="8"/>
      <c r="G930" s="789"/>
      <c r="H930" s="789"/>
      <c r="I930" s="789"/>
      <c r="J930" s="790"/>
      <c r="K930" s="789"/>
      <c r="L930" s="789"/>
      <c r="M930" s="789"/>
      <c r="N930" s="789"/>
      <c r="O930" s="8"/>
      <c r="P930" s="8"/>
      <c r="Q930" s="8"/>
      <c r="R930" s="8"/>
      <c r="S930" s="789"/>
      <c r="T930" s="789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</row>
    <row r="931" spans="1:96" ht="15.75" customHeight="1">
      <c r="A931" s="8"/>
      <c r="B931" s="8"/>
      <c r="C931" s="8"/>
      <c r="D931" s="8"/>
      <c r="E931" s="8"/>
      <c r="F931" s="8"/>
      <c r="G931" s="789"/>
      <c r="H931" s="789"/>
      <c r="I931" s="789"/>
      <c r="J931" s="790"/>
      <c r="K931" s="789"/>
      <c r="L931" s="789"/>
      <c r="M931" s="789"/>
      <c r="N931" s="789"/>
      <c r="O931" s="8"/>
      <c r="P931" s="8"/>
      <c r="Q931" s="8"/>
      <c r="R931" s="8"/>
      <c r="S931" s="789"/>
      <c r="T931" s="789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</row>
    <row r="932" spans="1:96" ht="15.75" customHeight="1">
      <c r="A932" s="8"/>
      <c r="B932" s="8"/>
      <c r="C932" s="8"/>
      <c r="D932" s="8"/>
      <c r="E932" s="8"/>
      <c r="F932" s="8"/>
      <c r="G932" s="789"/>
      <c r="H932" s="789"/>
      <c r="I932" s="789"/>
      <c r="J932" s="790"/>
      <c r="K932" s="789"/>
      <c r="L932" s="789"/>
      <c r="M932" s="789"/>
      <c r="N932" s="789"/>
      <c r="O932" s="8"/>
      <c r="P932" s="8"/>
      <c r="Q932" s="8"/>
      <c r="R932" s="8"/>
      <c r="S932" s="789"/>
      <c r="T932" s="789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</row>
    <row r="933" spans="1:96" ht="15.75" customHeight="1">
      <c r="A933" s="8"/>
      <c r="B933" s="8"/>
      <c r="C933" s="8"/>
      <c r="D933" s="8"/>
      <c r="E933" s="8"/>
      <c r="F933" s="8"/>
      <c r="G933" s="789"/>
      <c r="H933" s="789"/>
      <c r="I933" s="789"/>
      <c r="J933" s="790"/>
      <c r="K933" s="789"/>
      <c r="L933" s="789"/>
      <c r="M933" s="789"/>
      <c r="N933" s="789"/>
      <c r="O933" s="8"/>
      <c r="P933" s="8"/>
      <c r="Q933" s="8"/>
      <c r="R933" s="8"/>
      <c r="S933" s="789"/>
      <c r="T933" s="789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</row>
    <row r="934" spans="1:96" ht="15.75" customHeight="1">
      <c r="A934" s="8"/>
      <c r="B934" s="8"/>
      <c r="C934" s="8"/>
      <c r="D934" s="8"/>
      <c r="E934" s="8"/>
      <c r="F934" s="8"/>
      <c r="G934" s="789"/>
      <c r="H934" s="789"/>
      <c r="I934" s="789"/>
      <c r="J934" s="790"/>
      <c r="K934" s="789"/>
      <c r="L934" s="789"/>
      <c r="M934" s="789"/>
      <c r="N934" s="789"/>
      <c r="O934" s="8"/>
      <c r="P934" s="8"/>
      <c r="Q934" s="8"/>
      <c r="R934" s="8"/>
      <c r="S934" s="789"/>
      <c r="T934" s="789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</row>
    <row r="935" spans="1:96" ht="15.75" customHeight="1">
      <c r="A935" s="8"/>
      <c r="B935" s="8"/>
      <c r="C935" s="8"/>
      <c r="D935" s="8"/>
      <c r="E935" s="8"/>
      <c r="F935" s="8"/>
      <c r="G935" s="789"/>
      <c r="H935" s="789"/>
      <c r="I935" s="789"/>
      <c r="J935" s="790"/>
      <c r="K935" s="789"/>
      <c r="L935" s="789"/>
      <c r="M935" s="789"/>
      <c r="N935" s="789"/>
      <c r="O935" s="8"/>
      <c r="P935" s="8"/>
      <c r="Q935" s="8"/>
      <c r="R935" s="8"/>
      <c r="S935" s="789"/>
      <c r="T935" s="789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</row>
    <row r="936" spans="1:96" ht="15.75" customHeight="1">
      <c r="A936" s="8"/>
      <c r="B936" s="8"/>
      <c r="C936" s="8"/>
      <c r="D936" s="8"/>
      <c r="E936" s="8"/>
      <c r="F936" s="8"/>
      <c r="G936" s="789"/>
      <c r="H936" s="789"/>
      <c r="I936" s="789"/>
      <c r="J936" s="790"/>
      <c r="K936" s="789"/>
      <c r="L936" s="789"/>
      <c r="M936" s="789"/>
      <c r="N936" s="789"/>
      <c r="O936" s="8"/>
      <c r="P936" s="8"/>
      <c r="Q936" s="8"/>
      <c r="R936" s="8"/>
      <c r="S936" s="789"/>
      <c r="T936" s="789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</row>
    <row r="937" spans="1:96" ht="15.75" customHeight="1">
      <c r="A937" s="8"/>
      <c r="B937" s="8"/>
      <c r="C937" s="8"/>
      <c r="D937" s="8"/>
      <c r="E937" s="8"/>
      <c r="F937" s="8"/>
      <c r="G937" s="789"/>
      <c r="H937" s="789"/>
      <c r="I937" s="789"/>
      <c r="J937" s="790"/>
      <c r="K937" s="789"/>
      <c r="L937" s="789"/>
      <c r="M937" s="789"/>
      <c r="N937" s="789"/>
      <c r="O937" s="8"/>
      <c r="P937" s="8"/>
      <c r="Q937" s="8"/>
      <c r="R937" s="8"/>
      <c r="S937" s="789"/>
      <c r="T937" s="789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</row>
    <row r="938" spans="1:96" ht="15.75" customHeight="1">
      <c r="A938" s="8"/>
      <c r="B938" s="8"/>
      <c r="C938" s="8"/>
      <c r="D938" s="8"/>
      <c r="E938" s="8"/>
      <c r="F938" s="8"/>
      <c r="G938" s="789"/>
      <c r="H938" s="789"/>
      <c r="I938" s="789"/>
      <c r="J938" s="790"/>
      <c r="K938" s="789"/>
      <c r="L938" s="789"/>
      <c r="M938" s="789"/>
      <c r="N938" s="789"/>
      <c r="O938" s="8"/>
      <c r="P938" s="8"/>
      <c r="Q938" s="8"/>
      <c r="R938" s="8"/>
      <c r="S938" s="789"/>
      <c r="T938" s="789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</row>
    <row r="939" spans="1:96" ht="15.75" customHeight="1">
      <c r="A939" s="8"/>
      <c r="B939" s="8"/>
      <c r="C939" s="8"/>
      <c r="D939" s="8"/>
      <c r="E939" s="8"/>
      <c r="F939" s="8"/>
      <c r="G939" s="789"/>
      <c r="H939" s="789"/>
      <c r="I939" s="789"/>
      <c r="J939" s="790"/>
      <c r="K939" s="789"/>
      <c r="L939" s="789"/>
      <c r="M939" s="789"/>
      <c r="N939" s="789"/>
      <c r="O939" s="8"/>
      <c r="P939" s="8"/>
      <c r="Q939" s="8"/>
      <c r="R939" s="8"/>
      <c r="S939" s="789"/>
      <c r="T939" s="789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</row>
    <row r="940" spans="1:96" ht="15.75" customHeight="1">
      <c r="A940" s="8"/>
      <c r="B940" s="8"/>
      <c r="C940" s="8"/>
      <c r="D940" s="8"/>
      <c r="E940" s="8"/>
      <c r="F940" s="8"/>
      <c r="G940" s="789"/>
      <c r="H940" s="789"/>
      <c r="I940" s="789"/>
      <c r="J940" s="790"/>
      <c r="K940" s="789"/>
      <c r="L940" s="789"/>
      <c r="M940" s="789"/>
      <c r="N940" s="789"/>
      <c r="O940" s="8"/>
      <c r="P940" s="8"/>
      <c r="Q940" s="8"/>
      <c r="R940" s="8"/>
      <c r="S940" s="789"/>
      <c r="T940" s="789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</row>
    <row r="941" spans="1:96" ht="15.75" customHeight="1">
      <c r="A941" s="8"/>
      <c r="B941" s="8"/>
      <c r="C941" s="8"/>
      <c r="D941" s="8"/>
      <c r="E941" s="8"/>
      <c r="F941" s="8"/>
      <c r="G941" s="789"/>
      <c r="H941" s="789"/>
      <c r="I941" s="789"/>
      <c r="J941" s="790"/>
      <c r="K941" s="789"/>
      <c r="L941" s="789"/>
      <c r="M941" s="789"/>
      <c r="N941" s="789"/>
      <c r="O941" s="8"/>
      <c r="P941" s="8"/>
      <c r="Q941" s="8"/>
      <c r="R941" s="8"/>
      <c r="S941" s="789"/>
      <c r="T941" s="789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</row>
    <row r="942" spans="1:96" ht="15.75" customHeight="1">
      <c r="A942" s="8"/>
      <c r="B942" s="8"/>
      <c r="C942" s="8"/>
      <c r="D942" s="8"/>
      <c r="E942" s="8"/>
      <c r="F942" s="8"/>
      <c r="G942" s="789"/>
      <c r="H942" s="789"/>
      <c r="I942" s="789"/>
      <c r="J942" s="790"/>
      <c r="K942" s="789"/>
      <c r="L942" s="789"/>
      <c r="M942" s="789"/>
      <c r="N942" s="789"/>
      <c r="O942" s="8"/>
      <c r="P942" s="8"/>
      <c r="Q942" s="8"/>
      <c r="R942" s="8"/>
      <c r="S942" s="789"/>
      <c r="T942" s="789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</row>
    <row r="943" spans="1:96" ht="15.75" customHeight="1">
      <c r="A943" s="8"/>
      <c r="B943" s="8"/>
      <c r="C943" s="8"/>
      <c r="D943" s="8"/>
      <c r="E943" s="8"/>
      <c r="F943" s="8"/>
      <c r="G943" s="789"/>
      <c r="H943" s="789"/>
      <c r="I943" s="789"/>
      <c r="J943" s="790"/>
      <c r="K943" s="789"/>
      <c r="L943" s="789"/>
      <c r="M943" s="789"/>
      <c r="N943" s="789"/>
      <c r="O943" s="8"/>
      <c r="P943" s="8"/>
      <c r="Q943" s="8"/>
      <c r="R943" s="8"/>
      <c r="S943" s="789"/>
      <c r="T943" s="789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</row>
    <row r="944" spans="1:96" ht="15.75" customHeight="1">
      <c r="A944" s="8"/>
      <c r="B944" s="8"/>
      <c r="C944" s="8"/>
      <c r="D944" s="8"/>
      <c r="E944" s="8"/>
      <c r="F944" s="8"/>
      <c r="G944" s="789"/>
      <c r="H944" s="789"/>
      <c r="I944" s="789"/>
      <c r="J944" s="790"/>
      <c r="K944" s="789"/>
      <c r="L944" s="789"/>
      <c r="M944" s="789"/>
      <c r="N944" s="789"/>
      <c r="O944" s="8"/>
      <c r="P944" s="8"/>
      <c r="Q944" s="8"/>
      <c r="R944" s="8"/>
      <c r="S944" s="789"/>
      <c r="T944" s="789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</row>
    <row r="945" spans="1:96" ht="15.75" customHeight="1">
      <c r="A945" s="8"/>
      <c r="B945" s="8"/>
      <c r="C945" s="8"/>
      <c r="D945" s="8"/>
      <c r="E945" s="8"/>
      <c r="F945" s="8"/>
      <c r="G945" s="789"/>
      <c r="H945" s="789"/>
      <c r="I945" s="789"/>
      <c r="J945" s="790"/>
      <c r="K945" s="789"/>
      <c r="L945" s="789"/>
      <c r="M945" s="789"/>
      <c r="N945" s="789"/>
      <c r="O945" s="8"/>
      <c r="P945" s="8"/>
      <c r="Q945" s="8"/>
      <c r="R945" s="8"/>
      <c r="S945" s="789"/>
      <c r="T945" s="789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</row>
    <row r="946" spans="1:96" ht="15.75" customHeight="1">
      <c r="A946" s="8"/>
      <c r="B946" s="8"/>
      <c r="C946" s="8"/>
      <c r="D946" s="8"/>
      <c r="E946" s="8"/>
      <c r="F946" s="8"/>
      <c r="G946" s="789"/>
      <c r="H946" s="789"/>
      <c r="I946" s="789"/>
      <c r="J946" s="790"/>
      <c r="K946" s="789"/>
      <c r="L946" s="789"/>
      <c r="M946" s="789"/>
      <c r="N946" s="789"/>
      <c r="O946" s="8"/>
      <c r="P946" s="8"/>
      <c r="Q946" s="8"/>
      <c r="R946" s="8"/>
      <c r="S946" s="789"/>
      <c r="T946" s="789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</row>
    <row r="947" spans="1:96" ht="15.75" customHeight="1">
      <c r="A947" s="8"/>
      <c r="B947" s="8"/>
      <c r="C947" s="8"/>
      <c r="D947" s="8"/>
      <c r="E947" s="8"/>
      <c r="F947" s="8"/>
      <c r="G947" s="789"/>
      <c r="H947" s="789"/>
      <c r="I947" s="789"/>
      <c r="J947" s="790"/>
      <c r="K947" s="789"/>
      <c r="L947" s="789"/>
      <c r="M947" s="789"/>
      <c r="N947" s="789"/>
      <c r="O947" s="8"/>
      <c r="P947" s="8"/>
      <c r="Q947" s="8"/>
      <c r="R947" s="8"/>
      <c r="S947" s="789"/>
      <c r="T947" s="789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</row>
    <row r="948" spans="1:96" ht="15.75" customHeight="1">
      <c r="A948" s="8"/>
      <c r="B948" s="8"/>
      <c r="C948" s="8"/>
      <c r="D948" s="8"/>
      <c r="E948" s="8"/>
      <c r="F948" s="8"/>
      <c r="G948" s="789"/>
      <c r="H948" s="789"/>
      <c r="I948" s="789"/>
      <c r="J948" s="790"/>
      <c r="K948" s="789"/>
      <c r="L948" s="789"/>
      <c r="M948" s="789"/>
      <c r="N948" s="789"/>
      <c r="O948" s="8"/>
      <c r="P948" s="8"/>
      <c r="Q948" s="8"/>
      <c r="R948" s="8"/>
      <c r="S948" s="789"/>
      <c r="T948" s="789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</row>
    <row r="949" spans="1:96" ht="15.75" customHeight="1">
      <c r="A949" s="8"/>
      <c r="B949" s="8"/>
      <c r="C949" s="8"/>
      <c r="D949" s="8"/>
      <c r="E949" s="8"/>
      <c r="F949" s="8"/>
      <c r="G949" s="789"/>
      <c r="H949" s="789"/>
      <c r="I949" s="789"/>
      <c r="J949" s="790"/>
      <c r="K949" s="789"/>
      <c r="L949" s="789"/>
      <c r="M949" s="789"/>
      <c r="N949" s="789"/>
      <c r="O949" s="8"/>
      <c r="P949" s="8"/>
      <c r="Q949" s="8"/>
      <c r="R949" s="8"/>
      <c r="S949" s="789"/>
      <c r="T949" s="789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</row>
    <row r="950" spans="1:96" ht="15.75" customHeight="1">
      <c r="A950" s="8"/>
      <c r="B950" s="8"/>
      <c r="C950" s="8"/>
      <c r="D950" s="8"/>
      <c r="E950" s="8"/>
      <c r="F950" s="8"/>
      <c r="G950" s="789"/>
      <c r="H950" s="789"/>
      <c r="I950" s="789"/>
      <c r="J950" s="790"/>
      <c r="K950" s="789"/>
      <c r="L950" s="789"/>
      <c r="M950" s="789"/>
      <c r="N950" s="789"/>
      <c r="O950" s="8"/>
      <c r="P950" s="8"/>
      <c r="Q950" s="8"/>
      <c r="R950" s="8"/>
      <c r="S950" s="789"/>
      <c r="T950" s="789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</row>
    <row r="951" spans="1:96" ht="15.75" customHeight="1">
      <c r="A951" s="8"/>
      <c r="B951" s="8"/>
      <c r="C951" s="8"/>
      <c r="D951" s="8"/>
      <c r="E951" s="8"/>
      <c r="F951" s="8"/>
      <c r="G951" s="789"/>
      <c r="H951" s="789"/>
      <c r="I951" s="789"/>
      <c r="J951" s="790"/>
      <c r="K951" s="789"/>
      <c r="L951" s="789"/>
      <c r="M951" s="789"/>
      <c r="N951" s="789"/>
      <c r="O951" s="8"/>
      <c r="P951" s="8"/>
      <c r="Q951" s="8"/>
      <c r="R951" s="8"/>
      <c r="S951" s="789"/>
      <c r="T951" s="789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</row>
    <row r="952" spans="1:96" ht="15.75" customHeight="1">
      <c r="A952" s="8"/>
      <c r="B952" s="8"/>
      <c r="C952" s="8"/>
      <c r="D952" s="8"/>
      <c r="E952" s="8"/>
      <c r="F952" s="8"/>
      <c r="G952" s="789"/>
      <c r="H952" s="789"/>
      <c r="I952" s="789"/>
      <c r="J952" s="790"/>
      <c r="K952" s="789"/>
      <c r="L952" s="789"/>
      <c r="M952" s="789"/>
      <c r="N952" s="789"/>
      <c r="O952" s="8"/>
      <c r="P952" s="8"/>
      <c r="Q952" s="8"/>
      <c r="R952" s="8"/>
      <c r="S952" s="789"/>
      <c r="T952" s="789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</row>
    <row r="953" spans="1:96" ht="15.75" customHeight="1">
      <c r="A953" s="8"/>
      <c r="B953" s="8"/>
      <c r="C953" s="8"/>
      <c r="D953" s="8"/>
      <c r="E953" s="8"/>
      <c r="F953" s="8"/>
      <c r="G953" s="789"/>
      <c r="H953" s="789"/>
      <c r="I953" s="789"/>
      <c r="J953" s="790"/>
      <c r="K953" s="789"/>
      <c r="L953" s="789"/>
      <c r="M953" s="789"/>
      <c r="N953" s="789"/>
      <c r="O953" s="8"/>
      <c r="P953" s="8"/>
      <c r="Q953" s="8"/>
      <c r="R953" s="8"/>
      <c r="S953" s="789"/>
      <c r="T953" s="789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</row>
    <row r="954" spans="1:96" ht="15.75" customHeight="1">
      <c r="A954" s="8"/>
      <c r="B954" s="8"/>
      <c r="C954" s="8"/>
      <c r="D954" s="8"/>
      <c r="E954" s="8"/>
      <c r="F954" s="8"/>
      <c r="G954" s="789"/>
      <c r="H954" s="789"/>
      <c r="I954" s="789"/>
      <c r="J954" s="790"/>
      <c r="K954" s="789"/>
      <c r="L954" s="789"/>
      <c r="M954" s="789"/>
      <c r="N954" s="789"/>
      <c r="O954" s="8"/>
      <c r="P954" s="8"/>
      <c r="Q954" s="8"/>
      <c r="R954" s="8"/>
      <c r="S954" s="789"/>
      <c r="T954" s="789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</row>
    <row r="955" spans="1:96" ht="15.75" customHeight="1">
      <c r="A955" s="8"/>
      <c r="B955" s="8"/>
      <c r="C955" s="8"/>
      <c r="D955" s="8"/>
      <c r="E955" s="8"/>
      <c r="F955" s="8"/>
      <c r="G955" s="789"/>
      <c r="H955" s="789"/>
      <c r="I955" s="789"/>
      <c r="J955" s="790"/>
      <c r="K955" s="789"/>
      <c r="L955" s="789"/>
      <c r="M955" s="789"/>
      <c r="N955" s="789"/>
      <c r="O955" s="8"/>
      <c r="P955" s="8"/>
      <c r="Q955" s="8"/>
      <c r="R955" s="8"/>
      <c r="S955" s="789"/>
      <c r="T955" s="789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</row>
    <row r="956" spans="1:96" ht="15.75" customHeight="1">
      <c r="A956" s="8"/>
      <c r="B956" s="8"/>
      <c r="C956" s="8"/>
      <c r="D956" s="8"/>
      <c r="E956" s="8"/>
      <c r="F956" s="8"/>
      <c r="G956" s="789"/>
      <c r="H956" s="789"/>
      <c r="I956" s="789"/>
      <c r="J956" s="790"/>
      <c r="K956" s="789"/>
      <c r="L956" s="789"/>
      <c r="M956" s="789"/>
      <c r="N956" s="789"/>
      <c r="O956" s="8"/>
      <c r="P956" s="8"/>
      <c r="Q956" s="8"/>
      <c r="R956" s="8"/>
      <c r="S956" s="789"/>
      <c r="T956" s="789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</row>
    <row r="957" spans="1:96" ht="15.75" customHeight="1">
      <c r="A957" s="8"/>
      <c r="B957" s="8"/>
      <c r="C957" s="8"/>
      <c r="D957" s="8"/>
      <c r="E957" s="8"/>
      <c r="F957" s="8"/>
      <c r="G957" s="789"/>
      <c r="H957" s="789"/>
      <c r="I957" s="789"/>
      <c r="J957" s="790"/>
      <c r="K957" s="789"/>
      <c r="L957" s="789"/>
      <c r="M957" s="789"/>
      <c r="N957" s="789"/>
      <c r="O957" s="8"/>
      <c r="P957" s="8"/>
      <c r="Q957" s="8"/>
      <c r="R957" s="8"/>
      <c r="S957" s="789"/>
      <c r="T957" s="789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</row>
    <row r="958" spans="1:96" ht="15.75" customHeight="1">
      <c r="A958" s="8"/>
      <c r="B958" s="8"/>
      <c r="C958" s="8"/>
      <c r="D958" s="8"/>
      <c r="E958" s="8"/>
      <c r="F958" s="8"/>
      <c r="G958" s="789"/>
      <c r="H958" s="789"/>
      <c r="I958" s="789"/>
      <c r="J958" s="790"/>
      <c r="K958" s="789"/>
      <c r="L958" s="789"/>
      <c r="M958" s="789"/>
      <c r="N958" s="789"/>
      <c r="O958" s="8"/>
      <c r="P958" s="8"/>
      <c r="Q958" s="8"/>
      <c r="R958" s="8"/>
      <c r="S958" s="789"/>
      <c r="T958" s="789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</row>
    <row r="959" spans="1:96" ht="15.75" customHeight="1">
      <c r="A959" s="8"/>
      <c r="B959" s="8"/>
      <c r="C959" s="8"/>
      <c r="D959" s="8"/>
      <c r="E959" s="8"/>
      <c r="F959" s="8"/>
      <c r="G959" s="789"/>
      <c r="H959" s="789"/>
      <c r="I959" s="789"/>
      <c r="J959" s="790"/>
      <c r="K959" s="789"/>
      <c r="L959" s="789"/>
      <c r="M959" s="789"/>
      <c r="N959" s="789"/>
      <c r="O959" s="8"/>
      <c r="P959" s="8"/>
      <c r="Q959" s="8"/>
      <c r="R959" s="8"/>
      <c r="S959" s="789"/>
      <c r="T959" s="789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</row>
    <row r="960" spans="1:96" ht="15.75" customHeight="1">
      <c r="A960" s="8"/>
      <c r="B960" s="8"/>
      <c r="C960" s="8"/>
      <c r="D960" s="8"/>
      <c r="E960" s="8"/>
      <c r="F960" s="8"/>
      <c r="G960" s="789"/>
      <c r="H960" s="789"/>
      <c r="I960" s="789"/>
      <c r="J960" s="790"/>
      <c r="K960" s="789"/>
      <c r="L960" s="789"/>
      <c r="M960" s="789"/>
      <c r="N960" s="789"/>
      <c r="O960" s="8"/>
      <c r="P960" s="8"/>
      <c r="Q960" s="8"/>
      <c r="R960" s="8"/>
      <c r="S960" s="789"/>
      <c r="T960" s="789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</row>
    <row r="961" spans="1:96" ht="15.75" customHeight="1">
      <c r="A961" s="8"/>
      <c r="B961" s="8"/>
      <c r="C961" s="8"/>
      <c r="D961" s="8"/>
      <c r="E961" s="8"/>
      <c r="F961" s="8"/>
      <c r="G961" s="789"/>
      <c r="H961" s="789"/>
      <c r="I961" s="789"/>
      <c r="J961" s="790"/>
      <c r="K961" s="789"/>
      <c r="L961" s="789"/>
      <c r="M961" s="789"/>
      <c r="N961" s="789"/>
      <c r="O961" s="8"/>
      <c r="P961" s="8"/>
      <c r="Q961" s="8"/>
      <c r="R961" s="8"/>
      <c r="S961" s="789"/>
      <c r="T961" s="789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</row>
    <row r="962" spans="1:96" ht="15.75" customHeight="1">
      <c r="A962" s="8"/>
      <c r="B962" s="8"/>
      <c r="C962" s="8"/>
      <c r="D962" s="8"/>
      <c r="E962" s="8"/>
      <c r="F962" s="8"/>
      <c r="G962" s="789"/>
      <c r="H962" s="789"/>
      <c r="I962" s="789"/>
      <c r="J962" s="790"/>
      <c r="K962" s="789"/>
      <c r="L962" s="789"/>
      <c r="M962" s="789"/>
      <c r="N962" s="789"/>
      <c r="O962" s="8"/>
      <c r="P962" s="8"/>
      <c r="Q962" s="8"/>
      <c r="R962" s="8"/>
      <c r="S962" s="789"/>
      <c r="T962" s="789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</row>
    <row r="963" spans="1:96" ht="15.75" customHeight="1">
      <c r="A963" s="8"/>
      <c r="B963" s="8"/>
      <c r="C963" s="8"/>
      <c r="D963" s="8"/>
      <c r="E963" s="8"/>
      <c r="F963" s="8"/>
      <c r="G963" s="789"/>
      <c r="H963" s="789"/>
      <c r="I963" s="789"/>
      <c r="J963" s="790"/>
      <c r="K963" s="789"/>
      <c r="L963" s="789"/>
      <c r="M963" s="789"/>
      <c r="N963" s="789"/>
      <c r="O963" s="8"/>
      <c r="P963" s="8"/>
      <c r="Q963" s="8"/>
      <c r="R963" s="8"/>
      <c r="S963" s="789"/>
      <c r="T963" s="789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</row>
    <row r="964" spans="1:96" ht="15.75" customHeight="1">
      <c r="A964" s="8"/>
      <c r="B964" s="8"/>
      <c r="C964" s="8"/>
      <c r="D964" s="8"/>
      <c r="E964" s="8"/>
      <c r="F964" s="8"/>
      <c r="G964" s="789"/>
      <c r="H964" s="789"/>
      <c r="I964" s="789"/>
      <c r="J964" s="790"/>
      <c r="K964" s="789"/>
      <c r="L964" s="789"/>
      <c r="M964" s="789"/>
      <c r="N964" s="789"/>
      <c r="O964" s="8"/>
      <c r="P964" s="8"/>
      <c r="Q964" s="8"/>
      <c r="R964" s="8"/>
      <c r="S964" s="789"/>
      <c r="T964" s="789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</row>
    <row r="965" spans="1:96" ht="15.75" customHeight="1">
      <c r="A965" s="8"/>
      <c r="B965" s="8"/>
      <c r="C965" s="8"/>
      <c r="D965" s="8"/>
      <c r="E965" s="8"/>
      <c r="F965" s="8"/>
      <c r="G965" s="789"/>
      <c r="H965" s="789"/>
      <c r="I965" s="789"/>
      <c r="J965" s="790"/>
      <c r="K965" s="789"/>
      <c r="L965" s="789"/>
      <c r="M965" s="789"/>
      <c r="N965" s="789"/>
      <c r="O965" s="8"/>
      <c r="P965" s="8"/>
      <c r="Q965" s="8"/>
      <c r="R965" s="8"/>
      <c r="S965" s="789"/>
      <c r="T965" s="789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</row>
    <row r="966" spans="1:96" ht="15.75" customHeight="1">
      <c r="A966" s="8"/>
      <c r="B966" s="8"/>
      <c r="C966" s="8"/>
      <c r="D966" s="8"/>
      <c r="E966" s="8"/>
      <c r="F966" s="8"/>
      <c r="G966" s="789"/>
      <c r="H966" s="789"/>
      <c r="I966" s="789"/>
      <c r="J966" s="790"/>
      <c r="K966" s="789"/>
      <c r="L966" s="789"/>
      <c r="M966" s="789"/>
      <c r="N966" s="789"/>
      <c r="O966" s="8"/>
      <c r="P966" s="8"/>
      <c r="Q966" s="8"/>
      <c r="R966" s="8"/>
      <c r="S966" s="789"/>
      <c r="T966" s="789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</row>
    <row r="967" spans="1:96" ht="15.75" customHeight="1">
      <c r="A967" s="8"/>
      <c r="B967" s="8"/>
      <c r="C967" s="8"/>
      <c r="D967" s="8"/>
      <c r="E967" s="8"/>
      <c r="F967" s="8"/>
      <c r="G967" s="789"/>
      <c r="H967" s="789"/>
      <c r="I967" s="789"/>
      <c r="J967" s="790"/>
      <c r="K967" s="789"/>
      <c r="L967" s="789"/>
      <c r="M967" s="789"/>
      <c r="N967" s="789"/>
      <c r="O967" s="8"/>
      <c r="P967" s="8"/>
      <c r="Q967" s="8"/>
      <c r="R967" s="8"/>
      <c r="S967" s="789"/>
      <c r="T967" s="789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</row>
    <row r="968" spans="1:96" ht="15.75" customHeight="1">
      <c r="A968" s="8"/>
      <c r="B968" s="8"/>
      <c r="C968" s="8"/>
      <c r="D968" s="8"/>
      <c r="E968" s="8"/>
      <c r="F968" s="8"/>
      <c r="G968" s="789"/>
      <c r="H968" s="789"/>
      <c r="I968" s="789"/>
      <c r="J968" s="790"/>
      <c r="K968" s="789"/>
      <c r="L968" s="789"/>
      <c r="M968" s="789"/>
      <c r="N968" s="789"/>
      <c r="O968" s="8"/>
      <c r="P968" s="8"/>
      <c r="Q968" s="8"/>
      <c r="R968" s="8"/>
      <c r="S968" s="789"/>
      <c r="T968" s="789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</row>
    <row r="969" spans="1:96" ht="15.75" customHeight="1">
      <c r="A969" s="8"/>
      <c r="B969" s="8"/>
      <c r="C969" s="8"/>
      <c r="D969" s="8"/>
      <c r="E969" s="8"/>
      <c r="F969" s="8"/>
      <c r="G969" s="789"/>
      <c r="H969" s="789"/>
      <c r="I969" s="789"/>
      <c r="J969" s="790"/>
      <c r="K969" s="789"/>
      <c r="L969" s="789"/>
      <c r="M969" s="789"/>
      <c r="N969" s="789"/>
      <c r="O969" s="8"/>
      <c r="P969" s="8"/>
      <c r="Q969" s="8"/>
      <c r="R969" s="8"/>
      <c r="S969" s="789"/>
      <c r="T969" s="789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</row>
    <row r="970" spans="1:96" ht="15.75" customHeight="1">
      <c r="A970" s="8"/>
      <c r="B970" s="8"/>
      <c r="C970" s="8"/>
      <c r="D970" s="8"/>
      <c r="E970" s="8"/>
      <c r="F970" s="8"/>
      <c r="G970" s="789"/>
      <c r="H970" s="789"/>
      <c r="I970" s="789"/>
      <c r="J970" s="790"/>
      <c r="K970" s="789"/>
      <c r="L970" s="789"/>
      <c r="M970" s="789"/>
      <c r="N970" s="789"/>
      <c r="O970" s="8"/>
      <c r="P970" s="8"/>
      <c r="Q970" s="8"/>
      <c r="R970" s="8"/>
      <c r="S970" s="789"/>
      <c r="T970" s="789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</row>
    <row r="971" spans="1:96" ht="15.75" customHeight="1">
      <c r="A971" s="8"/>
      <c r="B971" s="8"/>
      <c r="C971" s="8"/>
      <c r="D971" s="8"/>
      <c r="E971" s="8"/>
      <c r="F971" s="8"/>
      <c r="G971" s="789"/>
      <c r="H971" s="789"/>
      <c r="I971" s="789"/>
      <c r="J971" s="790"/>
      <c r="K971" s="789"/>
      <c r="L971" s="789"/>
      <c r="M971" s="789"/>
      <c r="N971" s="789"/>
      <c r="O971" s="8"/>
      <c r="P971" s="8"/>
      <c r="Q971" s="8"/>
      <c r="R971" s="8"/>
      <c r="S971" s="789"/>
      <c r="T971" s="789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</row>
    <row r="972" spans="1:96" ht="15.75" customHeight="1">
      <c r="A972" s="8"/>
      <c r="B972" s="8"/>
      <c r="C972" s="8"/>
      <c r="D972" s="8"/>
      <c r="E972" s="8"/>
      <c r="F972" s="8"/>
      <c r="G972" s="789"/>
      <c r="H972" s="789"/>
      <c r="I972" s="789"/>
      <c r="J972" s="790"/>
      <c r="K972" s="789"/>
      <c r="L972" s="789"/>
      <c r="M972" s="789"/>
      <c r="N972" s="789"/>
      <c r="O972" s="8"/>
      <c r="P972" s="8"/>
      <c r="Q972" s="8"/>
      <c r="R972" s="8"/>
      <c r="S972" s="789"/>
      <c r="T972" s="789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</row>
    <row r="973" spans="1:96" ht="15.75" customHeight="1">
      <c r="A973" s="8"/>
      <c r="B973" s="8"/>
      <c r="C973" s="8"/>
      <c r="D973" s="8"/>
      <c r="E973" s="8"/>
      <c r="F973" s="8"/>
      <c r="G973" s="789"/>
      <c r="H973" s="789"/>
      <c r="I973" s="789"/>
      <c r="J973" s="790"/>
      <c r="K973" s="789"/>
      <c r="L973" s="789"/>
      <c r="M973" s="789"/>
      <c r="N973" s="789"/>
      <c r="O973" s="8"/>
      <c r="P973" s="8"/>
      <c r="Q973" s="8"/>
      <c r="R973" s="8"/>
      <c r="S973" s="789"/>
      <c r="T973" s="789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</row>
    <row r="974" spans="1:96" ht="15.75" customHeight="1">
      <c r="A974" s="8"/>
      <c r="B974" s="8"/>
      <c r="C974" s="8"/>
      <c r="D974" s="8"/>
      <c r="E974" s="8"/>
      <c r="F974" s="8"/>
      <c r="G974" s="789"/>
      <c r="H974" s="789"/>
      <c r="I974" s="789"/>
      <c r="J974" s="790"/>
      <c r="K974" s="789"/>
      <c r="L974" s="789"/>
      <c r="M974" s="789"/>
      <c r="N974" s="789"/>
      <c r="O974" s="8"/>
      <c r="P974" s="8"/>
      <c r="Q974" s="8"/>
      <c r="R974" s="8"/>
      <c r="S974" s="789"/>
      <c r="T974" s="789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</row>
    <row r="975" spans="1:96" ht="15.75" customHeight="1">
      <c r="A975" s="8"/>
      <c r="B975" s="8"/>
      <c r="C975" s="8"/>
      <c r="D975" s="8"/>
      <c r="E975" s="8"/>
      <c r="F975" s="8"/>
      <c r="G975" s="789"/>
      <c r="H975" s="789"/>
      <c r="I975" s="789"/>
      <c r="J975" s="790"/>
      <c r="K975" s="789"/>
      <c r="L975" s="789"/>
      <c r="M975" s="789"/>
      <c r="N975" s="789"/>
      <c r="O975" s="8"/>
      <c r="P975" s="8"/>
      <c r="Q975" s="8"/>
      <c r="R975" s="8"/>
      <c r="S975" s="789"/>
      <c r="T975" s="789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</row>
    <row r="976" spans="1:96" ht="15.75" customHeight="1">
      <c r="A976" s="8"/>
      <c r="B976" s="8"/>
      <c r="C976" s="8"/>
      <c r="D976" s="8"/>
      <c r="E976" s="8"/>
      <c r="F976" s="8"/>
      <c r="G976" s="789"/>
      <c r="H976" s="789"/>
      <c r="I976" s="789"/>
      <c r="J976" s="790"/>
      <c r="K976" s="789"/>
      <c r="L976" s="789"/>
      <c r="M976" s="789"/>
      <c r="N976" s="789"/>
      <c r="O976" s="8"/>
      <c r="P976" s="8"/>
      <c r="Q976" s="8"/>
      <c r="R976" s="8"/>
      <c r="S976" s="789"/>
      <c r="T976" s="789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</row>
    <row r="977" spans="1:96" ht="15.75" customHeight="1">
      <c r="A977" s="8"/>
      <c r="B977" s="8"/>
      <c r="C977" s="8"/>
      <c r="D977" s="8"/>
      <c r="E977" s="8"/>
      <c r="F977" s="8"/>
      <c r="G977" s="789"/>
      <c r="H977" s="789"/>
      <c r="I977" s="789"/>
      <c r="J977" s="790"/>
      <c r="K977" s="789"/>
      <c r="L977" s="789"/>
      <c r="M977" s="789"/>
      <c r="N977" s="789"/>
      <c r="O977" s="8"/>
      <c r="P977" s="8"/>
      <c r="Q977" s="8"/>
      <c r="R977" s="8"/>
      <c r="S977" s="789"/>
      <c r="T977" s="789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</row>
    <row r="978" spans="1:96" ht="15.75" customHeight="1">
      <c r="A978" s="8"/>
      <c r="B978" s="8"/>
      <c r="C978" s="8"/>
      <c r="D978" s="8"/>
      <c r="E978" s="8"/>
      <c r="F978" s="8"/>
      <c r="G978" s="789"/>
      <c r="H978" s="789"/>
      <c r="I978" s="789"/>
      <c r="J978" s="790"/>
      <c r="K978" s="789"/>
      <c r="L978" s="789"/>
      <c r="M978" s="789"/>
      <c r="N978" s="789"/>
      <c r="O978" s="8"/>
      <c r="P978" s="8"/>
      <c r="Q978" s="8"/>
      <c r="R978" s="8"/>
      <c r="S978" s="789"/>
      <c r="T978" s="789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</row>
    <row r="979" spans="1:96" ht="15.75" customHeight="1">
      <c r="A979" s="8"/>
      <c r="B979" s="8"/>
      <c r="C979" s="8"/>
      <c r="D979" s="8"/>
      <c r="E979" s="8"/>
      <c r="F979" s="8"/>
      <c r="G979" s="789"/>
      <c r="H979" s="789"/>
      <c r="I979" s="789"/>
      <c r="J979" s="790"/>
      <c r="K979" s="789"/>
      <c r="L979" s="789"/>
      <c r="M979" s="789"/>
      <c r="N979" s="789"/>
      <c r="O979" s="8"/>
      <c r="P979" s="8"/>
      <c r="Q979" s="8"/>
      <c r="R979" s="8"/>
      <c r="S979" s="789"/>
      <c r="T979" s="789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</row>
    <row r="980" spans="1:96" ht="15.75" customHeight="1">
      <c r="A980" s="8"/>
      <c r="B980" s="8"/>
      <c r="C980" s="8"/>
      <c r="D980" s="8"/>
      <c r="E980" s="8"/>
      <c r="F980" s="8"/>
      <c r="G980" s="789"/>
      <c r="H980" s="789"/>
      <c r="I980" s="789"/>
      <c r="J980" s="790"/>
      <c r="K980" s="789"/>
      <c r="L980" s="789"/>
      <c r="M980" s="789"/>
      <c r="N980" s="789"/>
      <c r="O980" s="8"/>
      <c r="P980" s="8"/>
      <c r="Q980" s="8"/>
      <c r="R980" s="8"/>
      <c r="S980" s="789"/>
      <c r="T980" s="789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</row>
    <row r="981" spans="1:96" ht="15.75" customHeight="1">
      <c r="A981" s="8"/>
      <c r="B981" s="8"/>
      <c r="C981" s="8"/>
      <c r="D981" s="8"/>
      <c r="E981" s="8"/>
      <c r="F981" s="8"/>
      <c r="G981" s="789"/>
      <c r="H981" s="789"/>
      <c r="I981" s="789"/>
      <c r="J981" s="790"/>
      <c r="K981" s="789"/>
      <c r="L981" s="789"/>
      <c r="M981" s="789"/>
      <c r="N981" s="789"/>
      <c r="O981" s="8"/>
      <c r="P981" s="8"/>
      <c r="Q981" s="8"/>
      <c r="R981" s="8"/>
      <c r="S981" s="789"/>
      <c r="T981" s="789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</row>
    <row r="982" spans="1:96" ht="15.75" customHeight="1">
      <c r="A982" s="8"/>
      <c r="B982" s="8"/>
      <c r="C982" s="8"/>
      <c r="D982" s="8"/>
      <c r="E982" s="8"/>
      <c r="F982" s="8"/>
      <c r="G982" s="789"/>
      <c r="H982" s="789"/>
      <c r="I982" s="789"/>
      <c r="J982" s="790"/>
      <c r="K982" s="789"/>
      <c r="L982" s="789"/>
      <c r="M982" s="789"/>
      <c r="N982" s="789"/>
      <c r="O982" s="8"/>
      <c r="P982" s="8"/>
      <c r="Q982" s="8"/>
      <c r="R982" s="8"/>
      <c r="S982" s="789"/>
      <c r="T982" s="789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</row>
    <row r="983" spans="1:96" ht="15.75" customHeight="1">
      <c r="A983" s="8"/>
      <c r="B983" s="8"/>
      <c r="C983" s="8"/>
      <c r="D983" s="8"/>
      <c r="E983" s="8"/>
      <c r="F983" s="8"/>
      <c r="G983" s="789"/>
      <c r="H983" s="789"/>
      <c r="I983" s="789"/>
      <c r="J983" s="790"/>
      <c r="K983" s="789"/>
      <c r="L983" s="789"/>
      <c r="M983" s="789"/>
      <c r="N983" s="789"/>
      <c r="O983" s="8"/>
      <c r="P983" s="8"/>
      <c r="Q983" s="8"/>
      <c r="R983" s="8"/>
      <c r="S983" s="789"/>
      <c r="T983" s="789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</row>
    <row r="984" spans="1:96" ht="15.75" customHeight="1">
      <c r="A984" s="8"/>
      <c r="B984" s="8"/>
      <c r="C984" s="8"/>
      <c r="D984" s="8"/>
      <c r="E984" s="8"/>
      <c r="F984" s="8"/>
      <c r="G984" s="789"/>
      <c r="H984" s="789"/>
      <c r="I984" s="789"/>
      <c r="J984" s="790"/>
      <c r="K984" s="789"/>
      <c r="L984" s="789"/>
      <c r="M984" s="789"/>
      <c r="N984" s="789"/>
      <c r="O984" s="8"/>
      <c r="P984" s="8"/>
      <c r="Q984" s="8"/>
      <c r="R984" s="8"/>
      <c r="S984" s="789"/>
      <c r="T984" s="789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</row>
    <row r="985" spans="1:96" ht="15.75" customHeight="1">
      <c r="A985" s="8"/>
      <c r="B985" s="8"/>
      <c r="C985" s="8"/>
      <c r="D985" s="8"/>
      <c r="E985" s="8"/>
      <c r="F985" s="8"/>
      <c r="G985" s="789"/>
      <c r="H985" s="789"/>
      <c r="I985" s="789"/>
      <c r="J985" s="790"/>
      <c r="K985" s="789"/>
      <c r="L985" s="789"/>
      <c r="M985" s="789"/>
      <c r="N985" s="789"/>
      <c r="O985" s="8"/>
      <c r="P985" s="8"/>
      <c r="Q985" s="8"/>
      <c r="R985" s="8"/>
      <c r="S985" s="789"/>
      <c r="T985" s="789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</row>
    <row r="986" spans="1:96" ht="15.75" customHeight="1">
      <c r="A986" s="8"/>
      <c r="B986" s="8"/>
      <c r="C986" s="8"/>
      <c r="D986" s="8"/>
      <c r="E986" s="8"/>
      <c r="F986" s="8"/>
      <c r="G986" s="789"/>
      <c r="H986" s="789"/>
      <c r="I986" s="789"/>
      <c r="J986" s="790"/>
      <c r="K986" s="789"/>
      <c r="L986" s="789"/>
      <c r="M986" s="789"/>
      <c r="N986" s="789"/>
      <c r="O986" s="8"/>
      <c r="P986" s="8"/>
      <c r="Q986" s="8"/>
      <c r="R986" s="8"/>
      <c r="S986" s="789"/>
      <c r="T986" s="789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</row>
    <row r="987" spans="1:96" ht="15.75" customHeight="1">
      <c r="A987" s="8"/>
      <c r="B987" s="8"/>
      <c r="C987" s="8"/>
      <c r="D987" s="8"/>
      <c r="E987" s="8"/>
      <c r="F987" s="8"/>
      <c r="G987" s="789"/>
      <c r="H987" s="789"/>
      <c r="I987" s="789"/>
      <c r="J987" s="790"/>
      <c r="K987" s="789"/>
      <c r="L987" s="789"/>
      <c r="M987" s="789"/>
      <c r="N987" s="789"/>
      <c r="O987" s="8"/>
      <c r="P987" s="8"/>
      <c r="Q987" s="8"/>
      <c r="R987" s="8"/>
      <c r="S987" s="789"/>
      <c r="T987" s="789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</row>
    <row r="988" spans="1:96" ht="15.75" customHeight="1">
      <c r="A988" s="8"/>
      <c r="B988" s="8"/>
      <c r="C988" s="8"/>
      <c r="D988" s="8"/>
      <c r="E988" s="8"/>
      <c r="F988" s="8"/>
      <c r="G988" s="789"/>
      <c r="H988" s="789"/>
      <c r="I988" s="789"/>
      <c r="J988" s="790"/>
      <c r="K988" s="789"/>
      <c r="L988" s="789"/>
      <c r="M988" s="789"/>
      <c r="N988" s="789"/>
      <c r="O988" s="8"/>
      <c r="P988" s="8"/>
      <c r="Q988" s="8"/>
      <c r="R988" s="8"/>
      <c r="S988" s="789"/>
      <c r="T988" s="789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</row>
    <row r="989" spans="1:96" ht="15.75" customHeight="1">
      <c r="A989" s="8"/>
      <c r="B989" s="8"/>
      <c r="C989" s="8"/>
      <c r="D989" s="8"/>
      <c r="E989" s="8"/>
      <c r="F989" s="8"/>
      <c r="G989" s="789"/>
      <c r="H989" s="789"/>
      <c r="I989" s="789"/>
      <c r="J989" s="790"/>
      <c r="K989" s="789"/>
      <c r="L989" s="789"/>
      <c r="M989" s="789"/>
      <c r="N989" s="789"/>
      <c r="O989" s="8"/>
      <c r="P989" s="8"/>
      <c r="Q989" s="8"/>
      <c r="R989" s="8"/>
      <c r="S989" s="789"/>
      <c r="T989" s="789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</row>
    <row r="990" spans="1:96" ht="15.75" customHeight="1">
      <c r="A990" s="8"/>
      <c r="B990" s="8"/>
      <c r="C990" s="8"/>
      <c r="D990" s="8"/>
      <c r="E990" s="8"/>
      <c r="F990" s="8"/>
      <c r="G990" s="789"/>
      <c r="H990" s="789"/>
      <c r="I990" s="789"/>
      <c r="J990" s="790"/>
      <c r="K990" s="789"/>
      <c r="L990" s="789"/>
      <c r="M990" s="789"/>
      <c r="N990" s="789"/>
      <c r="O990" s="8"/>
      <c r="P990" s="8"/>
      <c r="Q990" s="8"/>
      <c r="R990" s="8"/>
      <c r="S990" s="789"/>
      <c r="T990" s="789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</row>
    <row r="991" spans="1:96" ht="15.75" customHeight="1">
      <c r="A991" s="8"/>
      <c r="B991" s="8"/>
      <c r="C991" s="8"/>
      <c r="D991" s="8"/>
      <c r="E991" s="8"/>
      <c r="F991" s="8"/>
      <c r="G991" s="789"/>
      <c r="H991" s="789"/>
      <c r="I991" s="789"/>
      <c r="J991" s="790"/>
      <c r="K991" s="789"/>
      <c r="L991" s="789"/>
      <c r="M991" s="789"/>
      <c r="N991" s="789"/>
      <c r="O991" s="8"/>
      <c r="P991" s="8"/>
      <c r="Q991" s="8"/>
      <c r="R991" s="8"/>
      <c r="S991" s="789"/>
      <c r="T991" s="789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</row>
    <row r="992" spans="1:96" ht="15.75" customHeight="1">
      <c r="A992" s="8"/>
      <c r="B992" s="8"/>
      <c r="C992" s="8"/>
      <c r="D992" s="8"/>
      <c r="E992" s="8"/>
      <c r="F992" s="8"/>
      <c r="G992" s="789"/>
      <c r="H992" s="789"/>
      <c r="I992" s="789"/>
      <c r="J992" s="790"/>
      <c r="K992" s="789"/>
      <c r="L992" s="789"/>
      <c r="M992" s="789"/>
      <c r="N992" s="789"/>
      <c r="O992" s="8"/>
      <c r="P992" s="8"/>
      <c r="Q992" s="8"/>
      <c r="R992" s="8"/>
      <c r="S992" s="789"/>
      <c r="T992" s="789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</row>
    <row r="993" spans="1:96" ht="15.75" customHeight="1">
      <c r="A993" s="8"/>
      <c r="B993" s="8"/>
      <c r="C993" s="8"/>
      <c r="D993" s="8"/>
      <c r="E993" s="8"/>
      <c r="F993" s="8"/>
      <c r="G993" s="789"/>
      <c r="H993" s="789"/>
      <c r="I993" s="789"/>
      <c r="J993" s="790"/>
      <c r="K993" s="789"/>
      <c r="L993" s="789"/>
      <c r="M993" s="789"/>
      <c r="N993" s="789"/>
      <c r="O993" s="8"/>
      <c r="P993" s="8"/>
      <c r="Q993" s="8"/>
      <c r="R993" s="8"/>
      <c r="S993" s="789"/>
      <c r="T993" s="789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</row>
    <row r="994" spans="1:96" ht="15.75" customHeight="1">
      <c r="A994" s="8"/>
      <c r="B994" s="8"/>
      <c r="C994" s="8"/>
      <c r="D994" s="8"/>
      <c r="E994" s="8"/>
      <c r="F994" s="8"/>
      <c r="G994" s="789"/>
      <c r="H994" s="789"/>
      <c r="I994" s="789"/>
      <c r="J994" s="790"/>
      <c r="K994" s="789"/>
      <c r="L994" s="789"/>
      <c r="M994" s="789"/>
      <c r="N994" s="789"/>
      <c r="O994" s="8"/>
      <c r="P994" s="8"/>
      <c r="Q994" s="8"/>
      <c r="R994" s="8"/>
      <c r="S994" s="789"/>
      <c r="T994" s="789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</row>
    <row r="995" spans="1:96" ht="15.75" customHeight="1">
      <c r="A995" s="8"/>
      <c r="B995" s="8"/>
      <c r="C995" s="8"/>
      <c r="D995" s="8"/>
      <c r="E995" s="8"/>
      <c r="F995" s="8"/>
      <c r="G995" s="789"/>
      <c r="H995" s="789"/>
      <c r="I995" s="789"/>
      <c r="J995" s="790"/>
      <c r="K995" s="789"/>
      <c r="L995" s="789"/>
      <c r="M995" s="789"/>
      <c r="N995" s="789"/>
      <c r="O995" s="8"/>
      <c r="P995" s="8"/>
      <c r="Q995" s="8"/>
      <c r="R995" s="8"/>
      <c r="S995" s="789"/>
      <c r="T995" s="789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</row>
    <row r="996" spans="1:96" ht="15.75" customHeight="1">
      <c r="A996" s="8"/>
      <c r="B996" s="8"/>
      <c r="C996" s="8"/>
      <c r="D996" s="8"/>
      <c r="E996" s="8"/>
      <c r="F996" s="8"/>
      <c r="G996" s="789"/>
      <c r="H996" s="789"/>
      <c r="I996" s="789"/>
      <c r="J996" s="790"/>
      <c r="K996" s="789"/>
      <c r="L996" s="789"/>
      <c r="M996" s="789"/>
      <c r="N996" s="789"/>
      <c r="O996" s="8"/>
      <c r="P996" s="8"/>
      <c r="Q996" s="8"/>
      <c r="R996" s="8"/>
      <c r="S996" s="789"/>
      <c r="T996" s="789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</row>
    <row r="997" spans="1:96" ht="15.75" customHeight="1">
      <c r="A997" s="8"/>
      <c r="B997" s="8"/>
      <c r="C997" s="8"/>
      <c r="D997" s="8"/>
      <c r="E997" s="8"/>
      <c r="F997" s="8"/>
      <c r="G997" s="789"/>
      <c r="H997" s="789"/>
      <c r="I997" s="789"/>
      <c r="J997" s="790"/>
      <c r="K997" s="789"/>
      <c r="L997" s="789"/>
      <c r="M997" s="789"/>
      <c r="N997" s="789"/>
      <c r="O997" s="8"/>
      <c r="P997" s="8"/>
      <c r="Q997" s="8"/>
      <c r="R997" s="8"/>
      <c r="S997" s="789"/>
      <c r="T997" s="789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</row>
    <row r="998" spans="1:96" ht="15.75" customHeight="1">
      <c r="A998" s="8"/>
      <c r="B998" s="8"/>
      <c r="C998" s="8"/>
      <c r="D998" s="8"/>
      <c r="E998" s="8"/>
      <c r="F998" s="8"/>
      <c r="G998" s="789"/>
      <c r="H998" s="789"/>
      <c r="I998" s="789"/>
      <c r="J998" s="790"/>
      <c r="K998" s="789"/>
      <c r="L998" s="789"/>
      <c r="M998" s="789"/>
      <c r="N998" s="789"/>
      <c r="O998" s="8"/>
      <c r="P998" s="8"/>
      <c r="Q998" s="8"/>
      <c r="R998" s="8"/>
      <c r="S998" s="789"/>
      <c r="T998" s="789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</row>
    <row r="999" spans="1:96" ht="15.75" customHeight="1">
      <c r="A999" s="8"/>
      <c r="B999" s="8"/>
      <c r="C999" s="8"/>
      <c r="D999" s="8"/>
      <c r="E999" s="8"/>
      <c r="F999" s="8"/>
      <c r="G999" s="789"/>
      <c r="H999" s="789"/>
      <c r="I999" s="789"/>
      <c r="J999" s="790"/>
      <c r="K999" s="789"/>
      <c r="L999" s="789"/>
      <c r="M999" s="789"/>
      <c r="N999" s="789"/>
      <c r="O999" s="8"/>
      <c r="P999" s="8"/>
      <c r="Q999" s="8"/>
      <c r="R999" s="8"/>
      <c r="S999" s="789"/>
      <c r="T999" s="789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</row>
    <row r="1000" spans="1:96" ht="15.75" customHeight="1">
      <c r="A1000" s="8"/>
      <c r="B1000" s="8"/>
      <c r="C1000" s="8"/>
      <c r="D1000" s="8"/>
      <c r="E1000" s="8"/>
      <c r="F1000" s="8"/>
      <c r="G1000" s="789"/>
      <c r="H1000" s="789"/>
      <c r="I1000" s="789"/>
      <c r="J1000" s="790"/>
      <c r="K1000" s="789"/>
      <c r="L1000" s="789"/>
      <c r="M1000" s="789"/>
      <c r="N1000" s="789"/>
      <c r="O1000" s="8"/>
      <c r="P1000" s="8"/>
      <c r="Q1000" s="8"/>
      <c r="R1000" s="8"/>
      <c r="S1000" s="789"/>
      <c r="T1000" s="789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</row>
    <row r="1001" spans="1:96" ht="15.75" customHeight="1">
      <c r="A1001" s="8"/>
      <c r="B1001" s="8"/>
      <c r="C1001" s="8"/>
      <c r="D1001" s="8"/>
      <c r="E1001" s="8"/>
      <c r="F1001" s="8"/>
      <c r="G1001" s="789"/>
      <c r="H1001" s="789"/>
      <c r="I1001" s="789"/>
      <c r="J1001" s="790"/>
      <c r="K1001" s="789"/>
      <c r="L1001" s="789"/>
      <c r="M1001" s="789"/>
      <c r="N1001" s="789"/>
      <c r="O1001" s="8"/>
      <c r="P1001" s="8"/>
      <c r="Q1001" s="8"/>
      <c r="R1001" s="8"/>
      <c r="S1001" s="789"/>
      <c r="T1001" s="789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</row>
    <row r="1002" spans="1:96" ht="15.75" customHeight="1">
      <c r="A1002" s="8"/>
      <c r="B1002" s="8"/>
      <c r="C1002" s="8"/>
      <c r="D1002" s="8"/>
      <c r="E1002" s="8"/>
      <c r="F1002" s="8"/>
      <c r="G1002" s="789"/>
      <c r="H1002" s="789"/>
      <c r="I1002" s="789"/>
      <c r="J1002" s="790"/>
      <c r="K1002" s="789"/>
      <c r="L1002" s="789"/>
      <c r="M1002" s="789"/>
      <c r="N1002" s="789"/>
      <c r="O1002" s="8"/>
      <c r="P1002" s="8"/>
      <c r="Q1002" s="8"/>
      <c r="R1002" s="8"/>
      <c r="S1002" s="789"/>
      <c r="T1002" s="789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</row>
    <row r="1003" spans="1:96" ht="15.75" customHeight="1">
      <c r="A1003" s="8"/>
      <c r="B1003" s="8"/>
      <c r="C1003" s="8"/>
      <c r="D1003" s="8"/>
      <c r="E1003" s="8"/>
      <c r="F1003" s="8"/>
      <c r="G1003" s="789"/>
      <c r="H1003" s="789"/>
      <c r="I1003" s="789"/>
      <c r="J1003" s="790"/>
      <c r="K1003" s="789"/>
      <c r="L1003" s="789"/>
      <c r="M1003" s="789"/>
      <c r="N1003" s="789"/>
      <c r="O1003" s="8"/>
      <c r="P1003" s="8"/>
      <c r="Q1003" s="8"/>
      <c r="R1003" s="8"/>
      <c r="S1003" s="789"/>
      <c r="T1003" s="789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</row>
    <row r="1004" spans="1:96" ht="15.75" customHeight="1">
      <c r="A1004" s="8"/>
      <c r="B1004" s="8"/>
      <c r="C1004" s="8"/>
      <c r="D1004" s="8"/>
      <c r="E1004" s="8"/>
      <c r="F1004" s="8"/>
      <c r="G1004" s="789"/>
      <c r="H1004" s="789"/>
      <c r="I1004" s="789"/>
      <c r="J1004" s="790"/>
      <c r="K1004" s="789"/>
      <c r="L1004" s="789"/>
      <c r="M1004" s="789"/>
      <c r="N1004" s="789"/>
      <c r="O1004" s="8"/>
      <c r="P1004" s="8"/>
      <c r="Q1004" s="8"/>
      <c r="R1004" s="8"/>
      <c r="S1004" s="789"/>
      <c r="T1004" s="789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</row>
    <row r="1005" spans="1:96" ht="15.75" customHeight="1">
      <c r="A1005" s="8"/>
      <c r="B1005" s="8"/>
      <c r="C1005" s="8"/>
      <c r="D1005" s="8"/>
      <c r="E1005" s="8"/>
      <c r="F1005" s="8"/>
      <c r="G1005" s="789"/>
      <c r="H1005" s="789"/>
      <c r="I1005" s="789"/>
      <c r="J1005" s="790"/>
      <c r="K1005" s="789"/>
      <c r="L1005" s="789"/>
      <c r="M1005" s="789"/>
      <c r="N1005" s="789"/>
      <c r="O1005" s="8"/>
      <c r="P1005" s="8"/>
      <c r="Q1005" s="8"/>
      <c r="R1005" s="8"/>
      <c r="S1005" s="789"/>
      <c r="T1005" s="789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</row>
    <row r="1006" spans="1:96" ht="15.75" customHeight="1">
      <c r="A1006" s="8"/>
      <c r="B1006" s="8"/>
      <c r="C1006" s="8"/>
      <c r="D1006" s="8"/>
      <c r="E1006" s="8"/>
      <c r="F1006" s="8"/>
      <c r="G1006" s="789"/>
      <c r="H1006" s="789"/>
      <c r="I1006" s="789"/>
      <c r="J1006" s="790"/>
      <c r="K1006" s="789"/>
      <c r="L1006" s="789"/>
      <c r="M1006" s="789"/>
      <c r="N1006" s="789"/>
      <c r="O1006" s="8"/>
      <c r="P1006" s="8"/>
      <c r="Q1006" s="8"/>
      <c r="R1006" s="8"/>
      <c r="S1006" s="789"/>
      <c r="T1006" s="789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</row>
    <row r="1007" spans="1:96" ht="15.75" customHeight="1">
      <c r="A1007" s="8"/>
      <c r="B1007" s="8"/>
      <c r="C1007" s="8"/>
      <c r="D1007" s="8"/>
      <c r="E1007" s="8"/>
      <c r="F1007" s="8"/>
      <c r="G1007" s="789"/>
      <c r="H1007" s="789"/>
      <c r="I1007" s="789"/>
      <c r="J1007" s="790"/>
      <c r="K1007" s="789"/>
      <c r="L1007" s="789"/>
      <c r="M1007" s="789"/>
      <c r="N1007" s="789"/>
      <c r="O1007" s="8"/>
      <c r="P1007" s="8"/>
      <c r="Q1007" s="8"/>
      <c r="R1007" s="8"/>
      <c r="S1007" s="789"/>
      <c r="T1007" s="789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</row>
    <row r="1008" spans="1:96" ht="15.75" customHeight="1">
      <c r="A1008" s="8"/>
      <c r="B1008" s="8"/>
      <c r="C1008" s="8"/>
      <c r="D1008" s="8"/>
      <c r="E1008" s="8"/>
      <c r="F1008" s="8"/>
      <c r="G1008" s="789"/>
      <c r="H1008" s="789"/>
      <c r="I1008" s="789"/>
      <c r="J1008" s="790"/>
      <c r="K1008" s="789"/>
      <c r="L1008" s="789"/>
      <c r="M1008" s="789"/>
      <c r="N1008" s="789"/>
      <c r="O1008" s="8"/>
      <c r="P1008" s="8"/>
      <c r="Q1008" s="8"/>
      <c r="R1008" s="8"/>
      <c r="S1008" s="789"/>
      <c r="T1008" s="789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</row>
    <row r="1009" spans="1:96" ht="15.75" customHeight="1">
      <c r="A1009" s="8"/>
      <c r="B1009" s="8"/>
      <c r="C1009" s="8"/>
      <c r="D1009" s="8"/>
      <c r="E1009" s="8"/>
      <c r="F1009" s="8"/>
      <c r="G1009" s="789"/>
      <c r="H1009" s="789"/>
      <c r="I1009" s="789"/>
      <c r="J1009" s="790"/>
      <c r="K1009" s="789"/>
      <c r="L1009" s="789"/>
      <c r="M1009" s="789"/>
      <c r="N1009" s="789"/>
      <c r="O1009" s="8"/>
      <c r="P1009" s="8"/>
      <c r="Q1009" s="8"/>
      <c r="R1009" s="8"/>
      <c r="S1009" s="789"/>
      <c r="T1009" s="789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</row>
    <row r="1010" spans="1:96" ht="15.75" customHeight="1">
      <c r="A1010" s="8"/>
      <c r="B1010" s="8"/>
      <c r="C1010" s="8"/>
      <c r="D1010" s="8"/>
      <c r="E1010" s="8"/>
      <c r="F1010" s="8"/>
      <c r="G1010" s="789"/>
      <c r="H1010" s="789"/>
      <c r="I1010" s="789"/>
      <c r="J1010" s="790"/>
      <c r="K1010" s="789"/>
      <c r="L1010" s="789"/>
      <c r="M1010" s="789"/>
      <c r="N1010" s="789"/>
      <c r="O1010" s="8"/>
      <c r="P1010" s="8"/>
      <c r="Q1010" s="8"/>
      <c r="R1010" s="8"/>
      <c r="S1010" s="789"/>
      <c r="T1010" s="789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</row>
    <row r="1011" spans="1:96" ht="15.75" customHeight="1">
      <c r="A1011" s="8"/>
      <c r="B1011" s="8"/>
      <c r="C1011" s="8"/>
      <c r="D1011" s="8"/>
      <c r="E1011" s="8"/>
      <c r="F1011" s="8"/>
      <c r="G1011" s="789"/>
      <c r="H1011" s="789"/>
      <c r="I1011" s="789"/>
      <c r="J1011" s="790"/>
      <c r="K1011" s="789"/>
      <c r="L1011" s="789"/>
      <c r="M1011" s="789"/>
      <c r="N1011" s="789"/>
      <c r="O1011" s="8"/>
      <c r="P1011" s="8"/>
      <c r="Q1011" s="8"/>
      <c r="R1011" s="8"/>
      <c r="S1011" s="789"/>
      <c r="T1011" s="789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</row>
    <row r="1012" spans="1:96" ht="15.75" customHeight="1">
      <c r="A1012" s="8"/>
      <c r="B1012" s="8"/>
      <c r="C1012" s="8"/>
      <c r="D1012" s="8"/>
      <c r="E1012" s="8"/>
      <c r="F1012" s="8"/>
      <c r="G1012" s="789"/>
      <c r="H1012" s="789"/>
      <c r="I1012" s="789"/>
      <c r="J1012" s="790"/>
      <c r="K1012" s="789"/>
      <c r="L1012" s="789"/>
      <c r="M1012" s="789"/>
      <c r="N1012" s="789"/>
      <c r="O1012" s="8"/>
      <c r="P1012" s="8"/>
      <c r="Q1012" s="8"/>
      <c r="R1012" s="8"/>
      <c r="S1012" s="789"/>
      <c r="T1012" s="789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</row>
    <row r="1013" spans="1:96" ht="15.75" customHeight="1">
      <c r="A1013" s="8"/>
      <c r="B1013" s="8"/>
      <c r="C1013" s="8"/>
      <c r="D1013" s="8"/>
      <c r="E1013" s="8"/>
      <c r="F1013" s="8"/>
      <c r="G1013" s="789"/>
      <c r="H1013" s="789"/>
      <c r="I1013" s="789"/>
      <c r="J1013" s="790"/>
      <c r="K1013" s="789"/>
      <c r="L1013" s="789"/>
      <c r="M1013" s="789"/>
      <c r="N1013" s="789"/>
      <c r="O1013" s="8"/>
      <c r="P1013" s="8"/>
      <c r="Q1013" s="8"/>
      <c r="R1013" s="8"/>
      <c r="S1013" s="789"/>
      <c r="T1013" s="789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</row>
    <row r="1014" spans="1:96" ht="15.75" customHeight="1">
      <c r="A1014" s="8"/>
      <c r="B1014" s="8"/>
      <c r="C1014" s="8"/>
      <c r="D1014" s="8"/>
      <c r="E1014" s="8"/>
      <c r="F1014" s="8"/>
      <c r="G1014" s="789"/>
      <c r="H1014" s="789"/>
      <c r="I1014" s="789"/>
      <c r="J1014" s="790"/>
      <c r="K1014" s="789"/>
      <c r="L1014" s="789"/>
      <c r="M1014" s="789"/>
      <c r="N1014" s="789"/>
      <c r="O1014" s="8"/>
      <c r="P1014" s="8"/>
      <c r="Q1014" s="8"/>
      <c r="R1014" s="8"/>
      <c r="S1014" s="789"/>
      <c r="T1014" s="789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</row>
    <row r="1015" spans="1:96" ht="15.75" customHeight="1">
      <c r="A1015" s="8"/>
      <c r="B1015" s="8"/>
      <c r="C1015" s="8"/>
      <c r="D1015" s="8"/>
      <c r="E1015" s="8"/>
      <c r="F1015" s="8"/>
      <c r="G1015" s="789"/>
      <c r="H1015" s="789"/>
      <c r="I1015" s="789"/>
      <c r="J1015" s="790"/>
      <c r="K1015" s="789"/>
      <c r="L1015" s="789"/>
      <c r="M1015" s="789"/>
      <c r="N1015" s="789"/>
      <c r="O1015" s="8"/>
      <c r="P1015" s="8"/>
      <c r="Q1015" s="8"/>
      <c r="R1015" s="8"/>
      <c r="S1015" s="789"/>
      <c r="T1015" s="789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</row>
    <row r="1016" spans="1:96" ht="15.75" customHeight="1">
      <c r="A1016" s="8"/>
      <c r="B1016" s="8"/>
      <c r="C1016" s="8"/>
      <c r="D1016" s="8"/>
      <c r="E1016" s="8"/>
      <c r="F1016" s="8"/>
      <c r="G1016" s="789"/>
      <c r="H1016" s="789"/>
      <c r="I1016" s="789"/>
      <c r="J1016" s="790"/>
      <c r="K1016" s="789"/>
      <c r="L1016" s="789"/>
      <c r="M1016" s="789"/>
      <c r="N1016" s="789"/>
      <c r="O1016" s="8"/>
      <c r="P1016" s="8"/>
      <c r="Q1016" s="8"/>
      <c r="R1016" s="8"/>
      <c r="S1016" s="789"/>
      <c r="T1016" s="789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</row>
    <row r="1017" spans="1:96" ht="15.75" customHeight="1">
      <c r="A1017" s="8"/>
      <c r="B1017" s="8"/>
      <c r="C1017" s="8"/>
      <c r="D1017" s="8"/>
      <c r="E1017" s="8"/>
      <c r="F1017" s="8"/>
      <c r="G1017" s="789"/>
      <c r="H1017" s="789"/>
      <c r="I1017" s="789"/>
      <c r="J1017" s="790"/>
      <c r="K1017" s="789"/>
      <c r="L1017" s="789"/>
      <c r="M1017" s="789"/>
      <c r="N1017" s="789"/>
      <c r="O1017" s="8"/>
      <c r="P1017" s="8"/>
      <c r="Q1017" s="8"/>
      <c r="R1017" s="8"/>
      <c r="S1017" s="789"/>
      <c r="T1017" s="789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</row>
    <row r="1018" spans="1:96" ht="15.75" customHeight="1">
      <c r="A1018" s="8"/>
      <c r="B1018" s="8"/>
      <c r="C1018" s="8"/>
      <c r="D1018" s="8"/>
      <c r="E1018" s="8"/>
      <c r="F1018" s="8"/>
      <c r="G1018" s="789"/>
      <c r="H1018" s="789"/>
      <c r="I1018" s="789"/>
      <c r="J1018" s="790"/>
      <c r="K1018" s="789"/>
      <c r="L1018" s="789"/>
      <c r="M1018" s="789"/>
      <c r="N1018" s="789"/>
      <c r="O1018" s="8"/>
      <c r="P1018" s="8"/>
      <c r="Q1018" s="8"/>
      <c r="R1018" s="8"/>
      <c r="S1018" s="789"/>
      <c r="T1018" s="789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</row>
    <row r="1019" spans="1:96" ht="15.75" customHeight="1">
      <c r="A1019" s="8"/>
      <c r="B1019" s="8"/>
      <c r="C1019" s="8"/>
      <c r="D1019" s="8"/>
      <c r="E1019" s="8"/>
      <c r="F1019" s="8"/>
      <c r="G1019" s="789"/>
      <c r="H1019" s="789"/>
      <c r="I1019" s="789"/>
      <c r="J1019" s="790"/>
      <c r="K1019" s="789"/>
      <c r="L1019" s="789"/>
      <c r="M1019" s="789"/>
      <c r="N1019" s="789"/>
      <c r="O1019" s="8"/>
      <c r="P1019" s="8"/>
      <c r="Q1019" s="8"/>
      <c r="R1019" s="8"/>
      <c r="S1019" s="789"/>
      <c r="T1019" s="789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  <c r="BB1019" s="8"/>
      <c r="BC1019" s="8"/>
      <c r="BD1019" s="8"/>
      <c r="BE1019" s="8"/>
      <c r="BF1019" s="8"/>
      <c r="BG1019" s="8"/>
      <c r="BH1019" s="8"/>
      <c r="BI1019" s="8"/>
      <c r="BJ1019" s="8"/>
      <c r="BK1019" s="8"/>
      <c r="BL1019" s="8"/>
      <c r="BM1019" s="8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</row>
    <row r="1020" spans="1:96" ht="15.75" customHeight="1">
      <c r="A1020" s="8"/>
      <c r="B1020" s="8"/>
      <c r="C1020" s="8"/>
      <c r="D1020" s="8"/>
      <c r="E1020" s="8"/>
      <c r="F1020" s="8"/>
      <c r="G1020" s="789"/>
      <c r="H1020" s="789"/>
      <c r="I1020" s="789"/>
      <c r="J1020" s="790"/>
      <c r="K1020" s="789"/>
      <c r="L1020" s="789"/>
      <c r="M1020" s="789"/>
      <c r="N1020" s="789"/>
      <c r="O1020" s="8"/>
      <c r="P1020" s="8"/>
      <c r="Q1020" s="8"/>
      <c r="R1020" s="8"/>
      <c r="S1020" s="789"/>
      <c r="T1020" s="789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</row>
    <row r="1021" spans="1:96" ht="15.75" customHeight="1">
      <c r="A1021" s="8"/>
      <c r="B1021" s="8"/>
      <c r="C1021" s="8"/>
      <c r="D1021" s="8"/>
      <c r="E1021" s="8"/>
      <c r="F1021" s="8"/>
      <c r="G1021" s="789"/>
      <c r="H1021" s="789"/>
      <c r="I1021" s="789"/>
      <c r="J1021" s="790"/>
      <c r="K1021" s="789"/>
      <c r="L1021" s="789"/>
      <c r="M1021" s="789"/>
      <c r="N1021" s="789"/>
      <c r="O1021" s="8"/>
      <c r="P1021" s="8"/>
      <c r="Q1021" s="8"/>
      <c r="R1021" s="8"/>
      <c r="S1021" s="789"/>
      <c r="T1021" s="789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8"/>
      <c r="BA1021" s="8"/>
      <c r="BB1021" s="8"/>
      <c r="BC1021" s="8"/>
      <c r="BD1021" s="8"/>
      <c r="BE1021" s="8"/>
      <c r="BF1021" s="8"/>
      <c r="BG1021" s="8"/>
      <c r="BH1021" s="8"/>
      <c r="BI1021" s="8"/>
      <c r="BJ1021" s="8"/>
      <c r="BK1021" s="8"/>
      <c r="BL1021" s="8"/>
      <c r="BM1021" s="8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</row>
    <row r="1022" spans="1:96" ht="15.75" customHeight="1">
      <c r="A1022" s="8"/>
      <c r="B1022" s="8"/>
      <c r="C1022" s="8"/>
      <c r="D1022" s="8"/>
      <c r="E1022" s="8"/>
      <c r="F1022" s="8"/>
      <c r="G1022" s="789"/>
      <c r="H1022" s="789"/>
      <c r="I1022" s="789"/>
      <c r="J1022" s="790"/>
      <c r="K1022" s="789"/>
      <c r="L1022" s="789"/>
      <c r="M1022" s="789"/>
      <c r="N1022" s="789"/>
      <c r="O1022" s="8"/>
      <c r="P1022" s="8"/>
      <c r="Q1022" s="8"/>
      <c r="R1022" s="8"/>
      <c r="S1022" s="789"/>
      <c r="T1022" s="789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  <c r="AV1022" s="8"/>
      <c r="AW1022" s="8"/>
      <c r="AX1022" s="8"/>
      <c r="AY1022" s="8"/>
      <c r="AZ1022" s="8"/>
      <c r="BA1022" s="8"/>
      <c r="BB1022" s="8"/>
      <c r="BC1022" s="8"/>
      <c r="BD1022" s="8"/>
      <c r="BE1022" s="8"/>
      <c r="BF1022" s="8"/>
      <c r="BG1022" s="8"/>
      <c r="BH1022" s="8"/>
      <c r="BI1022" s="8"/>
      <c r="BJ1022" s="8"/>
      <c r="BK1022" s="8"/>
      <c r="BL1022" s="8"/>
      <c r="BM1022" s="8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</row>
    <row r="1023" spans="1:96" ht="15.75" customHeight="1">
      <c r="A1023" s="8"/>
      <c r="B1023" s="8"/>
      <c r="C1023" s="8"/>
      <c r="D1023" s="8"/>
      <c r="E1023" s="8"/>
      <c r="F1023" s="8"/>
      <c r="G1023" s="789"/>
      <c r="H1023" s="789"/>
      <c r="I1023" s="789"/>
      <c r="J1023" s="790"/>
      <c r="K1023" s="789"/>
      <c r="L1023" s="789"/>
      <c r="M1023" s="789"/>
      <c r="N1023" s="789"/>
      <c r="O1023" s="8"/>
      <c r="P1023" s="8"/>
      <c r="Q1023" s="8"/>
      <c r="R1023" s="8"/>
      <c r="S1023" s="789"/>
      <c r="T1023" s="789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  <c r="AV1023" s="8"/>
      <c r="AW1023" s="8"/>
      <c r="AX1023" s="8"/>
      <c r="AY1023" s="8"/>
      <c r="AZ1023" s="8"/>
      <c r="BA1023" s="8"/>
      <c r="BB1023" s="8"/>
      <c r="BC1023" s="8"/>
      <c r="BD1023" s="8"/>
      <c r="BE1023" s="8"/>
      <c r="BF1023" s="8"/>
      <c r="BG1023" s="8"/>
      <c r="BH1023" s="8"/>
      <c r="BI1023" s="8"/>
      <c r="BJ1023" s="8"/>
      <c r="BK1023" s="8"/>
      <c r="BL1023" s="8"/>
      <c r="BM1023" s="8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</row>
    <row r="1024" spans="1:96" ht="15.75" customHeight="1">
      <c r="A1024" s="8"/>
      <c r="B1024" s="8"/>
      <c r="C1024" s="8"/>
      <c r="D1024" s="8"/>
      <c r="E1024" s="8"/>
      <c r="F1024" s="8"/>
      <c r="G1024" s="789"/>
      <c r="H1024" s="789"/>
      <c r="I1024" s="789"/>
      <c r="J1024" s="790"/>
      <c r="K1024" s="789"/>
      <c r="L1024" s="789"/>
      <c r="M1024" s="789"/>
      <c r="N1024" s="789"/>
      <c r="O1024" s="8"/>
      <c r="P1024" s="8"/>
      <c r="Q1024" s="8"/>
      <c r="R1024" s="8"/>
      <c r="S1024" s="789"/>
      <c r="T1024" s="789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  <c r="AV1024" s="8"/>
      <c r="AW1024" s="8"/>
      <c r="AX1024" s="8"/>
      <c r="AY1024" s="8"/>
      <c r="AZ1024" s="8"/>
      <c r="BA1024" s="8"/>
      <c r="BB1024" s="8"/>
      <c r="BC1024" s="8"/>
      <c r="BD1024" s="8"/>
      <c r="BE1024" s="8"/>
      <c r="BF1024" s="8"/>
      <c r="BG1024" s="8"/>
      <c r="BH1024" s="8"/>
      <c r="BI1024" s="8"/>
      <c r="BJ1024" s="8"/>
      <c r="BK1024" s="8"/>
      <c r="BL1024" s="8"/>
      <c r="BM1024" s="8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</row>
    <row r="1025" spans="1:96" ht="15.75" customHeight="1">
      <c r="A1025" s="8"/>
      <c r="B1025" s="8"/>
      <c r="C1025" s="8"/>
      <c r="D1025" s="8"/>
      <c r="E1025" s="8"/>
      <c r="F1025" s="8"/>
      <c r="G1025" s="789"/>
      <c r="H1025" s="789"/>
      <c r="I1025" s="789"/>
      <c r="J1025" s="790"/>
      <c r="K1025" s="789"/>
      <c r="L1025" s="789"/>
      <c r="M1025" s="789"/>
      <c r="N1025" s="789"/>
      <c r="O1025" s="8"/>
      <c r="P1025" s="8"/>
      <c r="Q1025" s="8"/>
      <c r="R1025" s="8"/>
      <c r="S1025" s="789"/>
      <c r="T1025" s="789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  <c r="AV1025" s="8"/>
      <c r="AW1025" s="8"/>
      <c r="AX1025" s="8"/>
      <c r="AY1025" s="8"/>
      <c r="AZ1025" s="8"/>
      <c r="BA1025" s="8"/>
      <c r="BB1025" s="8"/>
      <c r="BC1025" s="8"/>
      <c r="BD1025" s="8"/>
      <c r="BE1025" s="8"/>
      <c r="BF1025" s="8"/>
      <c r="BG1025" s="8"/>
      <c r="BH1025" s="8"/>
      <c r="BI1025" s="8"/>
      <c r="BJ1025" s="8"/>
      <c r="BK1025" s="8"/>
      <c r="BL1025" s="8"/>
      <c r="BM1025" s="8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</row>
    <row r="1026" spans="1:96" ht="15.75" customHeight="1">
      <c r="A1026" s="8"/>
      <c r="B1026" s="8"/>
      <c r="C1026" s="8"/>
      <c r="D1026" s="8"/>
      <c r="E1026" s="8"/>
      <c r="F1026" s="8"/>
      <c r="G1026" s="789"/>
      <c r="H1026" s="789"/>
      <c r="I1026" s="789"/>
      <c r="J1026" s="790"/>
      <c r="K1026" s="789"/>
      <c r="L1026" s="789"/>
      <c r="M1026" s="789"/>
      <c r="N1026" s="789"/>
      <c r="O1026" s="8"/>
      <c r="P1026" s="8"/>
      <c r="Q1026" s="8"/>
      <c r="R1026" s="8"/>
      <c r="S1026" s="789"/>
      <c r="T1026" s="789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  <c r="AV1026" s="8"/>
      <c r="AW1026" s="8"/>
      <c r="AX1026" s="8"/>
      <c r="AY1026" s="8"/>
      <c r="AZ1026" s="8"/>
      <c r="BA1026" s="8"/>
      <c r="BB1026" s="8"/>
      <c r="BC1026" s="8"/>
      <c r="BD1026" s="8"/>
      <c r="BE1026" s="8"/>
      <c r="BF1026" s="8"/>
      <c r="BG1026" s="8"/>
      <c r="BH1026" s="8"/>
      <c r="BI1026" s="8"/>
      <c r="BJ1026" s="8"/>
      <c r="BK1026" s="8"/>
      <c r="BL1026" s="8"/>
      <c r="BM1026" s="8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</row>
    <row r="1027" spans="1:96" ht="15.75" customHeight="1">
      <c r="A1027" s="8"/>
      <c r="B1027" s="8"/>
      <c r="C1027" s="8"/>
      <c r="D1027" s="8"/>
      <c r="E1027" s="8"/>
      <c r="F1027" s="8"/>
      <c r="G1027" s="789"/>
      <c r="H1027" s="789"/>
      <c r="I1027" s="789"/>
      <c r="J1027" s="790"/>
      <c r="K1027" s="789"/>
      <c r="L1027" s="789"/>
      <c r="M1027" s="789"/>
      <c r="N1027" s="789"/>
      <c r="O1027" s="8"/>
      <c r="P1027" s="8"/>
      <c r="Q1027" s="8"/>
      <c r="R1027" s="8"/>
      <c r="S1027" s="789"/>
      <c r="T1027" s="789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  <c r="AV1027" s="8"/>
      <c r="AW1027" s="8"/>
      <c r="AX1027" s="8"/>
      <c r="AY1027" s="8"/>
      <c r="AZ1027" s="8"/>
      <c r="BA1027" s="8"/>
      <c r="BB1027" s="8"/>
      <c r="BC1027" s="8"/>
      <c r="BD1027" s="8"/>
      <c r="BE1027" s="8"/>
      <c r="BF1027" s="8"/>
      <c r="BG1027" s="8"/>
      <c r="BH1027" s="8"/>
      <c r="BI1027" s="8"/>
      <c r="BJ1027" s="8"/>
      <c r="BK1027" s="8"/>
      <c r="BL1027" s="8"/>
      <c r="BM1027" s="8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</row>
    <row r="1028" spans="1:96" ht="15.75" customHeight="1">
      <c r="A1028" s="8"/>
      <c r="B1028" s="8"/>
      <c r="C1028" s="8"/>
      <c r="D1028" s="8"/>
      <c r="E1028" s="8"/>
      <c r="F1028" s="8"/>
      <c r="G1028" s="789"/>
      <c r="H1028" s="789"/>
      <c r="I1028" s="789"/>
      <c r="J1028" s="790"/>
      <c r="K1028" s="789"/>
      <c r="L1028" s="789"/>
      <c r="M1028" s="789"/>
      <c r="N1028" s="789"/>
      <c r="O1028" s="8"/>
      <c r="P1028" s="8"/>
      <c r="Q1028" s="8"/>
      <c r="R1028" s="8"/>
      <c r="S1028" s="789"/>
      <c r="T1028" s="789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  <c r="AV1028" s="8"/>
      <c r="AW1028" s="8"/>
      <c r="AX1028" s="8"/>
      <c r="AY1028" s="8"/>
      <c r="AZ1028" s="8"/>
      <c r="BA1028" s="8"/>
      <c r="BB1028" s="8"/>
      <c r="BC1028" s="8"/>
      <c r="BD1028" s="8"/>
      <c r="BE1028" s="8"/>
      <c r="BF1028" s="8"/>
      <c r="BG1028" s="8"/>
      <c r="BH1028" s="8"/>
      <c r="BI1028" s="8"/>
      <c r="BJ1028" s="8"/>
      <c r="BK1028" s="8"/>
      <c r="BL1028" s="8"/>
      <c r="BM1028" s="8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</row>
    <row r="1029" spans="1:96" ht="15.75" customHeight="1">
      <c r="A1029" s="8"/>
      <c r="B1029" s="8"/>
      <c r="C1029" s="8"/>
      <c r="D1029" s="8"/>
      <c r="E1029" s="8"/>
      <c r="F1029" s="8"/>
      <c r="G1029" s="789"/>
      <c r="H1029" s="789"/>
      <c r="I1029" s="789"/>
      <c r="J1029" s="790"/>
      <c r="K1029" s="789"/>
      <c r="L1029" s="789"/>
      <c r="M1029" s="789"/>
      <c r="N1029" s="789"/>
      <c r="O1029" s="8"/>
      <c r="P1029" s="8"/>
      <c r="Q1029" s="8"/>
      <c r="R1029" s="8"/>
      <c r="S1029" s="789"/>
      <c r="T1029" s="789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  <c r="AV1029" s="8"/>
      <c r="AW1029" s="8"/>
      <c r="AX1029" s="8"/>
      <c r="AY1029" s="8"/>
      <c r="AZ1029" s="8"/>
      <c r="BA1029" s="8"/>
      <c r="BB1029" s="8"/>
      <c r="BC1029" s="8"/>
      <c r="BD1029" s="8"/>
      <c r="BE1029" s="8"/>
      <c r="BF1029" s="8"/>
      <c r="BG1029" s="8"/>
      <c r="BH1029" s="8"/>
      <c r="BI1029" s="8"/>
      <c r="BJ1029" s="8"/>
      <c r="BK1029" s="8"/>
      <c r="BL1029" s="8"/>
      <c r="BM1029" s="8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</row>
    <row r="1030" spans="1:96" ht="15.75" customHeight="1">
      <c r="A1030" s="8"/>
      <c r="B1030" s="8"/>
      <c r="C1030" s="8"/>
      <c r="D1030" s="8"/>
      <c r="E1030" s="8"/>
      <c r="F1030" s="8"/>
      <c r="G1030" s="789"/>
      <c r="H1030" s="789"/>
      <c r="I1030" s="789"/>
      <c r="J1030" s="790"/>
      <c r="K1030" s="789"/>
      <c r="L1030" s="789"/>
      <c r="M1030" s="789"/>
      <c r="N1030" s="789"/>
      <c r="O1030" s="8"/>
      <c r="P1030" s="8"/>
      <c r="Q1030" s="8"/>
      <c r="R1030" s="8"/>
      <c r="S1030" s="789"/>
      <c r="T1030" s="789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8"/>
      <c r="BA1030" s="8"/>
      <c r="BB1030" s="8"/>
      <c r="BC1030" s="8"/>
      <c r="BD1030" s="8"/>
      <c r="BE1030" s="8"/>
      <c r="BF1030" s="8"/>
      <c r="BG1030" s="8"/>
      <c r="BH1030" s="8"/>
      <c r="BI1030" s="8"/>
      <c r="BJ1030" s="8"/>
      <c r="BK1030" s="8"/>
      <c r="BL1030" s="8"/>
      <c r="BM1030" s="8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</row>
    <row r="1031" spans="1:96" ht="15.75" customHeight="1">
      <c r="A1031" s="8"/>
      <c r="B1031" s="8"/>
      <c r="C1031" s="8"/>
      <c r="D1031" s="8"/>
      <c r="E1031" s="8"/>
      <c r="F1031" s="8"/>
      <c r="G1031" s="789"/>
      <c r="H1031" s="789"/>
      <c r="I1031" s="789"/>
      <c r="J1031" s="790"/>
      <c r="K1031" s="789"/>
      <c r="L1031" s="789"/>
      <c r="M1031" s="789"/>
      <c r="N1031" s="789"/>
      <c r="O1031" s="8"/>
      <c r="P1031" s="8"/>
      <c r="Q1031" s="8"/>
      <c r="R1031" s="8"/>
      <c r="S1031" s="789"/>
      <c r="T1031" s="789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  <c r="AV1031" s="8"/>
      <c r="AW1031" s="8"/>
      <c r="AX1031" s="8"/>
      <c r="AY1031" s="8"/>
      <c r="AZ1031" s="8"/>
      <c r="BA1031" s="8"/>
      <c r="BB1031" s="8"/>
      <c r="BC1031" s="8"/>
      <c r="BD1031" s="8"/>
      <c r="BE1031" s="8"/>
      <c r="BF1031" s="8"/>
      <c r="BG1031" s="8"/>
      <c r="BH1031" s="8"/>
      <c r="BI1031" s="8"/>
      <c r="BJ1031" s="8"/>
      <c r="BK1031" s="8"/>
      <c r="BL1031" s="8"/>
      <c r="BM1031" s="8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</row>
    <row r="1032" spans="1:96" ht="15.75" customHeight="1">
      <c r="A1032" s="8"/>
      <c r="B1032" s="8"/>
      <c r="C1032" s="8"/>
      <c r="D1032" s="8"/>
      <c r="E1032" s="8"/>
      <c r="F1032" s="8"/>
      <c r="G1032" s="789"/>
      <c r="H1032" s="789"/>
      <c r="I1032" s="789"/>
      <c r="J1032" s="790"/>
      <c r="K1032" s="789"/>
      <c r="L1032" s="789"/>
      <c r="M1032" s="789"/>
      <c r="N1032" s="789"/>
      <c r="O1032" s="8"/>
      <c r="P1032" s="8"/>
      <c r="Q1032" s="8"/>
      <c r="R1032" s="8"/>
      <c r="S1032" s="789"/>
      <c r="T1032" s="789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  <c r="AV1032" s="8"/>
      <c r="AW1032" s="8"/>
      <c r="AX1032" s="8"/>
      <c r="AY1032" s="8"/>
      <c r="AZ1032" s="8"/>
      <c r="BA1032" s="8"/>
      <c r="BB1032" s="8"/>
      <c r="BC1032" s="8"/>
      <c r="BD1032" s="8"/>
      <c r="BE1032" s="8"/>
      <c r="BF1032" s="8"/>
      <c r="BG1032" s="8"/>
      <c r="BH1032" s="8"/>
      <c r="BI1032" s="8"/>
      <c r="BJ1032" s="8"/>
      <c r="BK1032" s="8"/>
      <c r="BL1032" s="8"/>
      <c r="BM1032" s="8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</row>
    <row r="1033" spans="1:96" ht="15.75" customHeight="1">
      <c r="A1033" s="8"/>
      <c r="B1033" s="8"/>
      <c r="C1033" s="8"/>
      <c r="D1033" s="8"/>
      <c r="E1033" s="8"/>
      <c r="F1033" s="8"/>
      <c r="G1033" s="789"/>
      <c r="H1033" s="789"/>
      <c r="I1033" s="789"/>
      <c r="J1033" s="790"/>
      <c r="K1033" s="789"/>
      <c r="L1033" s="789"/>
      <c r="M1033" s="789"/>
      <c r="N1033" s="789"/>
      <c r="O1033" s="8"/>
      <c r="P1033" s="8"/>
      <c r="Q1033" s="8"/>
      <c r="R1033" s="8"/>
      <c r="S1033" s="789"/>
      <c r="T1033" s="789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  <c r="AV1033" s="8"/>
      <c r="AW1033" s="8"/>
      <c r="AX1033" s="8"/>
      <c r="AY1033" s="8"/>
      <c r="AZ1033" s="8"/>
      <c r="BA1033" s="8"/>
      <c r="BB1033" s="8"/>
      <c r="BC1033" s="8"/>
      <c r="BD1033" s="8"/>
      <c r="BE1033" s="8"/>
      <c r="BF1033" s="8"/>
      <c r="BG1033" s="8"/>
      <c r="BH1033" s="8"/>
      <c r="BI1033" s="8"/>
      <c r="BJ1033" s="8"/>
      <c r="BK1033" s="8"/>
      <c r="BL1033" s="8"/>
      <c r="BM1033" s="8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</row>
    <row r="1034" spans="1:96" ht="15.75" customHeight="1">
      <c r="A1034" s="8"/>
      <c r="B1034" s="8"/>
      <c r="C1034" s="8"/>
      <c r="D1034" s="8"/>
      <c r="E1034" s="8"/>
      <c r="F1034" s="8"/>
      <c r="G1034" s="789"/>
      <c r="H1034" s="789"/>
      <c r="I1034" s="789"/>
      <c r="J1034" s="790"/>
      <c r="K1034" s="789"/>
      <c r="L1034" s="789"/>
      <c r="M1034" s="789"/>
      <c r="N1034" s="789"/>
      <c r="O1034" s="8"/>
      <c r="P1034" s="8"/>
      <c r="Q1034" s="8"/>
      <c r="R1034" s="8"/>
      <c r="S1034" s="789"/>
      <c r="T1034" s="789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  <c r="AV1034" s="8"/>
      <c r="AW1034" s="8"/>
      <c r="AX1034" s="8"/>
      <c r="AY1034" s="8"/>
      <c r="AZ1034" s="8"/>
      <c r="BA1034" s="8"/>
      <c r="BB1034" s="8"/>
      <c r="BC1034" s="8"/>
      <c r="BD1034" s="8"/>
      <c r="BE1034" s="8"/>
      <c r="BF1034" s="8"/>
      <c r="BG1034" s="8"/>
      <c r="BH1034" s="8"/>
      <c r="BI1034" s="8"/>
      <c r="BJ1034" s="8"/>
      <c r="BK1034" s="8"/>
      <c r="BL1034" s="8"/>
      <c r="BM1034" s="8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</row>
    <row r="1035" spans="1:96" ht="15.75" customHeight="1">
      <c r="A1035" s="8"/>
      <c r="B1035" s="8"/>
      <c r="C1035" s="8"/>
      <c r="D1035" s="8"/>
      <c r="E1035" s="8"/>
      <c r="F1035" s="8"/>
      <c r="G1035" s="789"/>
      <c r="H1035" s="789"/>
      <c r="I1035" s="789"/>
      <c r="J1035" s="790"/>
      <c r="K1035" s="789"/>
      <c r="L1035" s="789"/>
      <c r="M1035" s="789"/>
      <c r="N1035" s="789"/>
      <c r="O1035" s="8"/>
      <c r="P1035" s="8"/>
      <c r="Q1035" s="8"/>
      <c r="R1035" s="8"/>
      <c r="S1035" s="789"/>
      <c r="T1035" s="789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  <c r="AV1035" s="8"/>
      <c r="AW1035" s="8"/>
      <c r="AX1035" s="8"/>
      <c r="AY1035" s="8"/>
      <c r="AZ1035" s="8"/>
      <c r="BA1035" s="8"/>
      <c r="BB1035" s="8"/>
      <c r="BC1035" s="8"/>
      <c r="BD1035" s="8"/>
      <c r="BE1035" s="8"/>
      <c r="BF1035" s="8"/>
      <c r="BG1035" s="8"/>
      <c r="BH1035" s="8"/>
      <c r="BI1035" s="8"/>
      <c r="BJ1035" s="8"/>
      <c r="BK1035" s="8"/>
      <c r="BL1035" s="8"/>
      <c r="BM1035" s="8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</row>
    <row r="1036" spans="1:96" ht="15.75" customHeight="1">
      <c r="A1036" s="8"/>
      <c r="B1036" s="8"/>
      <c r="C1036" s="8"/>
      <c r="D1036" s="8"/>
      <c r="E1036" s="8"/>
      <c r="F1036" s="8"/>
      <c r="G1036" s="789"/>
      <c r="H1036" s="789"/>
      <c r="I1036" s="789"/>
      <c r="J1036" s="790"/>
      <c r="K1036" s="789"/>
      <c r="L1036" s="789"/>
      <c r="M1036" s="789"/>
      <c r="N1036" s="789"/>
      <c r="O1036" s="8"/>
      <c r="P1036" s="8"/>
      <c r="Q1036" s="8"/>
      <c r="R1036" s="8"/>
      <c r="S1036" s="789"/>
      <c r="T1036" s="789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  <c r="AV1036" s="8"/>
      <c r="AW1036" s="8"/>
      <c r="AX1036" s="8"/>
      <c r="AY1036" s="8"/>
      <c r="AZ1036" s="8"/>
      <c r="BA1036" s="8"/>
      <c r="BB1036" s="8"/>
      <c r="BC1036" s="8"/>
      <c r="BD1036" s="8"/>
      <c r="BE1036" s="8"/>
      <c r="BF1036" s="8"/>
      <c r="BG1036" s="8"/>
      <c r="BH1036" s="8"/>
      <c r="BI1036" s="8"/>
      <c r="BJ1036" s="8"/>
      <c r="BK1036" s="8"/>
      <c r="BL1036" s="8"/>
      <c r="BM1036" s="8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</row>
    <row r="1037" spans="1:96" ht="15.75" customHeight="1">
      <c r="A1037" s="8"/>
      <c r="B1037" s="8"/>
      <c r="C1037" s="8"/>
      <c r="D1037" s="8"/>
      <c r="E1037" s="8"/>
      <c r="F1037" s="8"/>
      <c r="G1037" s="789"/>
      <c r="H1037" s="789"/>
      <c r="I1037" s="789"/>
      <c r="J1037" s="790"/>
      <c r="K1037" s="789"/>
      <c r="L1037" s="789"/>
      <c r="M1037" s="789"/>
      <c r="N1037" s="789"/>
      <c r="O1037" s="8"/>
      <c r="P1037" s="8"/>
      <c r="Q1037" s="8"/>
      <c r="R1037" s="8"/>
      <c r="S1037" s="789"/>
      <c r="T1037" s="789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/>
      <c r="AW1037" s="8"/>
      <c r="AX1037" s="8"/>
      <c r="AY1037" s="8"/>
      <c r="AZ1037" s="8"/>
      <c r="BA1037" s="8"/>
      <c r="BB1037" s="8"/>
      <c r="BC1037" s="8"/>
      <c r="BD1037" s="8"/>
      <c r="BE1037" s="8"/>
      <c r="BF1037" s="8"/>
      <c r="BG1037" s="8"/>
      <c r="BH1037" s="8"/>
      <c r="BI1037" s="8"/>
      <c r="BJ1037" s="8"/>
      <c r="BK1037" s="8"/>
      <c r="BL1037" s="8"/>
      <c r="BM1037" s="8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</row>
    <row r="1038" spans="1:96" ht="15.75" customHeight="1">
      <c r="A1038" s="8"/>
      <c r="B1038" s="8"/>
      <c r="C1038" s="8"/>
      <c r="D1038" s="8"/>
      <c r="E1038" s="8"/>
      <c r="F1038" s="8"/>
      <c r="G1038" s="789"/>
      <c r="H1038" s="789"/>
      <c r="I1038" s="789"/>
      <c r="J1038" s="790"/>
      <c r="K1038" s="789"/>
      <c r="L1038" s="789"/>
      <c r="M1038" s="789"/>
      <c r="N1038" s="789"/>
      <c r="O1038" s="8"/>
      <c r="P1038" s="8"/>
      <c r="Q1038" s="8"/>
      <c r="R1038" s="8"/>
      <c r="S1038" s="789"/>
      <c r="T1038" s="789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  <c r="AV1038" s="8"/>
      <c r="AW1038" s="8"/>
      <c r="AX1038" s="8"/>
      <c r="AY1038" s="8"/>
      <c r="AZ1038" s="8"/>
      <c r="BA1038" s="8"/>
      <c r="BB1038" s="8"/>
      <c r="BC1038" s="8"/>
      <c r="BD1038" s="8"/>
      <c r="BE1038" s="8"/>
      <c r="BF1038" s="8"/>
      <c r="BG1038" s="8"/>
      <c r="BH1038" s="8"/>
      <c r="BI1038" s="8"/>
      <c r="BJ1038" s="8"/>
      <c r="BK1038" s="8"/>
      <c r="BL1038" s="8"/>
      <c r="BM1038" s="8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</row>
    <row r="1039" spans="1:96" ht="15.75" customHeight="1">
      <c r="A1039" s="8"/>
      <c r="B1039" s="8"/>
      <c r="C1039" s="8"/>
      <c r="D1039" s="8"/>
      <c r="E1039" s="8"/>
      <c r="F1039" s="8"/>
      <c r="G1039" s="789"/>
      <c r="H1039" s="789"/>
      <c r="I1039" s="789"/>
      <c r="J1039" s="790"/>
      <c r="K1039" s="789"/>
      <c r="L1039" s="789"/>
      <c r="M1039" s="789"/>
      <c r="N1039" s="789"/>
      <c r="O1039" s="8"/>
      <c r="P1039" s="8"/>
      <c r="Q1039" s="8"/>
      <c r="R1039" s="8"/>
      <c r="S1039" s="789"/>
      <c r="T1039" s="789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  <c r="AV1039" s="8"/>
      <c r="AW1039" s="8"/>
      <c r="AX1039" s="8"/>
      <c r="AY1039" s="8"/>
      <c r="AZ1039" s="8"/>
      <c r="BA1039" s="8"/>
      <c r="BB1039" s="8"/>
      <c r="BC1039" s="8"/>
      <c r="BD1039" s="8"/>
      <c r="BE1039" s="8"/>
      <c r="BF1039" s="8"/>
      <c r="BG1039" s="8"/>
      <c r="BH1039" s="8"/>
      <c r="BI1039" s="8"/>
      <c r="BJ1039" s="8"/>
      <c r="BK1039" s="8"/>
      <c r="BL1039" s="8"/>
      <c r="BM1039" s="8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</row>
  </sheetData>
  <mergeCells count="27">
    <mergeCell ref="A1:A2"/>
    <mergeCell ref="B1:D1"/>
    <mergeCell ref="H1:N1"/>
    <mergeCell ref="O1:U1"/>
    <mergeCell ref="V1:AB1"/>
    <mergeCell ref="AF1:AH1"/>
    <mergeCell ref="AK2:CR2"/>
    <mergeCell ref="AK3:AR3"/>
    <mergeCell ref="AS3:BD3"/>
    <mergeCell ref="BE3:BP3"/>
    <mergeCell ref="BT3:CE3"/>
    <mergeCell ref="CF3:CQ3"/>
    <mergeCell ref="BG7:CP7"/>
    <mergeCell ref="CL18:CO18"/>
    <mergeCell ref="C112:K112"/>
    <mergeCell ref="C113:K113"/>
    <mergeCell ref="C114:K114"/>
    <mergeCell ref="C115:K115"/>
    <mergeCell ref="C116:K116"/>
    <mergeCell ref="C117:K117"/>
    <mergeCell ref="E100:F100"/>
    <mergeCell ref="C105:D105"/>
    <mergeCell ref="C107:K107"/>
    <mergeCell ref="C108:K108"/>
    <mergeCell ref="C109:K109"/>
    <mergeCell ref="C110:K110"/>
    <mergeCell ref="C111:K111"/>
  </mergeCells>
  <conditionalFormatting sqref="D72:D75">
    <cfRule type="cellIs" dxfId="39" priority="6" operator="lessThan">
      <formula>1</formula>
    </cfRule>
    <cfRule type="cellIs" dxfId="38" priority="7" operator="greaterThanOrEqual">
      <formula>1</formula>
    </cfRule>
  </conditionalFormatting>
  <conditionalFormatting sqref="D81:D83">
    <cfRule type="cellIs" dxfId="37" priority="8" operator="lessThan">
      <formula>1</formula>
    </cfRule>
    <cfRule type="cellIs" dxfId="36" priority="9" operator="greaterThanOrEqual">
      <formula>1</formula>
    </cfRule>
  </conditionalFormatting>
  <conditionalFormatting sqref="D87:D88">
    <cfRule type="cellIs" dxfId="35" priority="10" operator="lessThan">
      <formula>1</formula>
    </cfRule>
    <cfRule type="cellIs" dxfId="34" priority="11" operator="greaterThanOrEqual">
      <formula>1</formula>
    </cfRule>
  </conditionalFormatting>
  <conditionalFormatting sqref="G13:G31">
    <cfRule type="cellIs" dxfId="33" priority="13" operator="greaterThanOrEqual">
      <formula>1</formula>
    </cfRule>
  </conditionalFormatting>
  <conditionalFormatting sqref="G13:G37 G39:G45 G47">
    <cfRule type="cellIs" dxfId="32" priority="3" operator="lessThan">
      <formula>1</formula>
    </cfRule>
  </conditionalFormatting>
  <conditionalFormatting sqref="G60">
    <cfRule type="cellIs" dxfId="31" priority="17" operator="lessThan">
      <formula>1</formula>
    </cfRule>
    <cfRule type="cellIs" dxfId="30" priority="18" operator="greaterThanOrEqual">
      <formula>1</formula>
    </cfRule>
  </conditionalFormatting>
  <conditionalFormatting sqref="G68:G69 G72:G75">
    <cfRule type="cellIs" dxfId="29" priority="4" operator="lessThan">
      <formula>1</formula>
    </cfRule>
    <cfRule type="cellIs" dxfId="28" priority="5" operator="greaterThanOrEqual">
      <formula>1</formula>
    </cfRule>
  </conditionalFormatting>
  <conditionalFormatting sqref="G81:G85 G87:G88">
    <cfRule type="cellIs" dxfId="27" priority="14" operator="lessThan">
      <formula>1</formula>
    </cfRule>
    <cfRule type="cellIs" dxfId="26" priority="15" operator="greaterThanOrEqual">
      <formula>1</formula>
    </cfRule>
  </conditionalFormatting>
  <conditionalFormatting sqref="G98:G102">
    <cfRule type="cellIs" dxfId="25" priority="1" operator="lessThan">
      <formula>1</formula>
    </cfRule>
    <cfRule type="cellIs" dxfId="24" priority="2" operator="greaterThanOrEqual">
      <formula>1</formula>
    </cfRule>
  </conditionalFormatting>
  <conditionalFormatting sqref="AB4:AB7 U4:U47 AB21:AB23 AB29:AB30 AB33:AB38 AB40:AB46 AB48:AB54 U52:U94 AB60:AB64 AB66 AB68:AB70 AB74 AB78:AB79 AB81:AB86 AB88 AB90 AB92 AB94:AB95 AB98:AB99 AH98:AH99">
    <cfRule type="cellIs" dxfId="23" priority="29" operator="greaterThanOrEqual">
      <formula>1</formula>
    </cfRule>
    <cfRule type="cellIs" dxfId="22" priority="30" operator="lessThan">
      <formula>1</formula>
    </cfRule>
  </conditionalFormatting>
  <conditionalFormatting sqref="AH4:AH95">
    <cfRule type="cellIs" dxfId="21" priority="27" operator="greaterThanOrEqual">
      <formula>1</formula>
    </cfRule>
    <cfRule type="cellIs" dxfId="20" priority="28" operator="lessThan">
      <formula>1</formula>
    </cfRule>
  </conditionalFormatting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10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14.453125" defaultRowHeight="15" customHeight="1"/>
  <cols>
    <col min="1" max="1" width="36.453125" customWidth="1"/>
    <col min="2" max="2" width="15.81640625" customWidth="1"/>
    <col min="3" max="3" width="14.81640625" customWidth="1"/>
    <col min="4" max="4" width="8" customWidth="1"/>
    <col min="5" max="6" width="14.81640625" customWidth="1"/>
    <col min="7" max="7" width="7" customWidth="1"/>
    <col min="8" max="8" width="13.81640625" hidden="1" customWidth="1"/>
    <col min="9" max="9" width="14.08984375" hidden="1" customWidth="1"/>
    <col min="10" max="11" width="13.453125" hidden="1" customWidth="1"/>
    <col min="12" max="12" width="17.81640625" customWidth="1"/>
    <col min="13" max="13" width="15.08984375" customWidth="1"/>
    <col min="14" max="14" width="8.453125" customWidth="1"/>
    <col min="15" max="15" width="12.81640625" customWidth="1"/>
    <col min="16" max="16" width="13" customWidth="1"/>
    <col min="17" max="17" width="13.81640625" customWidth="1"/>
    <col min="18" max="18" width="11.453125" customWidth="1"/>
    <col min="19" max="19" width="13.81640625" customWidth="1"/>
    <col min="20" max="20" width="15.08984375" customWidth="1"/>
    <col min="21" max="21" width="5.453125" customWidth="1"/>
    <col min="22" max="22" width="9.81640625" customWidth="1"/>
    <col min="23" max="23" width="15.81640625" customWidth="1"/>
    <col min="24" max="24" width="8.453125" customWidth="1"/>
    <col min="25" max="28" width="15.08984375" customWidth="1"/>
    <col min="29" max="29" width="16.81640625" customWidth="1"/>
    <col min="30" max="30" width="10.81640625" customWidth="1"/>
    <col min="31" max="31" width="17.81640625" customWidth="1"/>
    <col min="32" max="32" width="15.08984375" customWidth="1"/>
    <col min="33" max="33" width="16.81640625" customWidth="1"/>
    <col min="34" max="34" width="13.08984375" customWidth="1"/>
    <col min="35" max="68" width="2.81640625" customWidth="1"/>
    <col min="69" max="69" width="4.81640625" customWidth="1"/>
    <col min="70" max="70" width="3.453125" customWidth="1"/>
    <col min="71" max="92" width="2.81640625" customWidth="1"/>
    <col min="93" max="93" width="4.81640625" customWidth="1"/>
  </cols>
  <sheetData>
    <row r="1" spans="1:93" ht="21" customHeight="1">
      <c r="A1" s="1084" t="s">
        <v>139</v>
      </c>
      <c r="B1" s="1082">
        <v>2019</v>
      </c>
      <c r="C1" s="1066"/>
      <c r="D1" s="1067"/>
      <c r="E1" s="1">
        <v>2020</v>
      </c>
      <c r="F1" s="2"/>
      <c r="G1" s="3"/>
      <c r="H1" s="1065">
        <v>2021</v>
      </c>
      <c r="I1" s="1066"/>
      <c r="J1" s="1066"/>
      <c r="K1" s="1066"/>
      <c r="L1" s="1066"/>
      <c r="M1" s="1066"/>
      <c r="N1" s="1067"/>
      <c r="O1" s="1082">
        <v>2022</v>
      </c>
      <c r="P1" s="1066"/>
      <c r="Q1" s="1066"/>
      <c r="R1" s="1066"/>
      <c r="S1" s="1066"/>
      <c r="T1" s="1066"/>
      <c r="U1" s="1067"/>
      <c r="V1" s="1065">
        <v>2023</v>
      </c>
      <c r="W1" s="1066"/>
      <c r="X1" s="1067"/>
      <c r="Y1" s="5"/>
      <c r="Z1" s="5">
        <v>2024</v>
      </c>
      <c r="AA1" s="5"/>
      <c r="AB1" s="1065" t="s">
        <v>140</v>
      </c>
      <c r="AC1" s="1066"/>
      <c r="AD1" s="1067"/>
      <c r="AE1" s="6"/>
      <c r="AF1" s="6"/>
      <c r="AG1" s="7"/>
      <c r="AH1" s="7" t="s">
        <v>0</v>
      </c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</row>
    <row r="2" spans="1:93" ht="12.75" customHeight="1">
      <c r="A2" s="1081"/>
      <c r="B2" s="9" t="s">
        <v>1</v>
      </c>
      <c r="C2" s="10" t="s">
        <v>2</v>
      </c>
      <c r="D2" s="11" t="s">
        <v>3</v>
      </c>
      <c r="E2" s="9" t="s">
        <v>4</v>
      </c>
      <c r="F2" s="10" t="s">
        <v>5</v>
      </c>
      <c r="G2" s="11" t="s">
        <v>3</v>
      </c>
      <c r="H2" s="12" t="s">
        <v>6</v>
      </c>
      <c r="I2" s="13" t="s">
        <v>7</v>
      </c>
      <c r="J2" s="14" t="s">
        <v>8</v>
      </c>
      <c r="K2" s="13" t="s">
        <v>9</v>
      </c>
      <c r="L2" s="15" t="s">
        <v>4</v>
      </c>
      <c r="M2" s="10" t="s">
        <v>10</v>
      </c>
      <c r="N2" s="11" t="s">
        <v>3</v>
      </c>
      <c r="O2" s="12" t="s">
        <v>6</v>
      </c>
      <c r="P2" s="13" t="s">
        <v>7</v>
      </c>
      <c r="Q2" s="14" t="s">
        <v>8</v>
      </c>
      <c r="R2" s="13" t="s">
        <v>9</v>
      </c>
      <c r="S2" s="9" t="s">
        <v>4</v>
      </c>
      <c r="T2" s="944" t="s">
        <v>5</v>
      </c>
      <c r="U2" s="11" t="s">
        <v>3</v>
      </c>
      <c r="V2" s="9" t="s">
        <v>4</v>
      </c>
      <c r="W2" s="10" t="s">
        <v>5</v>
      </c>
      <c r="X2" s="11" t="s">
        <v>3</v>
      </c>
      <c r="Y2" s="20" t="s">
        <v>15</v>
      </c>
      <c r="Z2" s="20" t="s">
        <v>141</v>
      </c>
      <c r="AA2" s="791"/>
      <c r="AB2" s="21" t="s">
        <v>16</v>
      </c>
      <c r="AC2" s="13" t="s">
        <v>17</v>
      </c>
      <c r="AD2" s="11" t="s">
        <v>3</v>
      </c>
      <c r="AE2" s="6" t="s">
        <v>142</v>
      </c>
      <c r="AF2" s="6" t="s">
        <v>143</v>
      </c>
      <c r="AG2" s="6" t="s">
        <v>144</v>
      </c>
      <c r="AH2" s="1083" t="s">
        <v>145</v>
      </c>
      <c r="AI2" s="1077"/>
      <c r="AJ2" s="1077"/>
      <c r="AK2" s="1077"/>
      <c r="AL2" s="1077"/>
      <c r="AM2" s="1077"/>
      <c r="AN2" s="1077"/>
      <c r="AO2" s="1077"/>
      <c r="AP2" s="1077"/>
      <c r="AQ2" s="1077"/>
      <c r="AR2" s="1077"/>
      <c r="AS2" s="1077"/>
      <c r="AT2" s="1077"/>
      <c r="AU2" s="1077"/>
      <c r="AV2" s="1077"/>
      <c r="AW2" s="1077"/>
      <c r="AX2" s="1077"/>
      <c r="AY2" s="1077"/>
      <c r="AZ2" s="1077"/>
      <c r="BA2" s="1077"/>
      <c r="BB2" s="1077"/>
      <c r="BC2" s="1077"/>
      <c r="BD2" s="1077"/>
      <c r="BE2" s="1077"/>
      <c r="BF2" s="1077"/>
      <c r="BG2" s="1077"/>
      <c r="BH2" s="1077"/>
      <c r="BI2" s="1077"/>
      <c r="BJ2" s="1077"/>
      <c r="BK2" s="1077"/>
      <c r="BL2" s="1077"/>
      <c r="BM2" s="1077"/>
      <c r="BN2" s="1077"/>
      <c r="BO2" s="1077"/>
      <c r="BP2" s="1077"/>
      <c r="BQ2" s="1077"/>
      <c r="BR2" s="1077"/>
      <c r="BS2" s="1077"/>
      <c r="BT2" s="1077"/>
      <c r="BU2" s="1077"/>
      <c r="BV2" s="1077"/>
      <c r="BW2" s="1077"/>
      <c r="BX2" s="1077"/>
      <c r="BY2" s="1077"/>
      <c r="BZ2" s="1077"/>
      <c r="CA2" s="1077"/>
      <c r="CB2" s="1077"/>
      <c r="CC2" s="1077"/>
      <c r="CD2" s="1077"/>
      <c r="CE2" s="1077"/>
      <c r="CF2" s="1077"/>
      <c r="CG2" s="1077"/>
      <c r="CH2" s="1077"/>
      <c r="CI2" s="1077"/>
      <c r="CJ2" s="1077"/>
      <c r="CK2" s="1077"/>
      <c r="CL2" s="1077"/>
      <c r="CM2" s="1077"/>
      <c r="CN2" s="1077"/>
      <c r="CO2" s="1078"/>
    </row>
    <row r="3" spans="1:93" ht="12.75" customHeight="1">
      <c r="A3" s="22" t="s">
        <v>19</v>
      </c>
      <c r="B3" s="23"/>
      <c r="C3" s="24"/>
      <c r="D3" s="25"/>
      <c r="E3" s="23"/>
      <c r="F3" s="24"/>
      <c r="G3" s="26"/>
      <c r="H3" s="27"/>
      <c r="I3" s="28"/>
      <c r="J3" s="29"/>
      <c r="K3" s="28"/>
      <c r="L3" s="28"/>
      <c r="M3" s="28"/>
      <c r="N3" s="26"/>
      <c r="O3" s="34"/>
      <c r="P3" s="34"/>
      <c r="Q3" s="34"/>
      <c r="R3" s="34"/>
      <c r="S3" s="27"/>
      <c r="T3" s="28"/>
      <c r="U3" s="25"/>
      <c r="V3" s="23"/>
      <c r="W3" s="24"/>
      <c r="X3" s="25"/>
      <c r="Y3" s="34"/>
      <c r="Z3" s="34"/>
      <c r="AA3" s="34"/>
      <c r="AB3" s="23"/>
      <c r="AC3" s="24"/>
      <c r="AD3" s="25"/>
      <c r="AE3" s="35"/>
      <c r="AF3" s="35"/>
      <c r="AG3" s="36"/>
      <c r="AH3" s="1079">
        <v>2019</v>
      </c>
      <c r="AI3" s="1064"/>
      <c r="AJ3" s="1064"/>
      <c r="AK3" s="1064"/>
      <c r="AL3" s="1064"/>
      <c r="AM3" s="1064"/>
      <c r="AN3" s="1064"/>
      <c r="AO3" s="1064"/>
      <c r="AP3" s="1079">
        <v>2020</v>
      </c>
      <c r="AQ3" s="1064"/>
      <c r="AR3" s="1064"/>
      <c r="AS3" s="1064"/>
      <c r="AT3" s="1064"/>
      <c r="AU3" s="1064"/>
      <c r="AV3" s="1064"/>
      <c r="AW3" s="1064"/>
      <c r="AX3" s="1064"/>
      <c r="AY3" s="1064"/>
      <c r="AZ3" s="1064"/>
      <c r="BA3" s="1064"/>
      <c r="BB3" s="1079">
        <v>2021</v>
      </c>
      <c r="BC3" s="1064"/>
      <c r="BD3" s="1064"/>
      <c r="BE3" s="1064"/>
      <c r="BF3" s="1064"/>
      <c r="BG3" s="1064"/>
      <c r="BH3" s="1064"/>
      <c r="BI3" s="1064"/>
      <c r="BJ3" s="1064"/>
      <c r="BK3" s="1064"/>
      <c r="BL3" s="1064"/>
      <c r="BM3" s="1064"/>
      <c r="BN3" s="37"/>
      <c r="BO3" s="37"/>
      <c r="BP3" s="37"/>
      <c r="BQ3" s="1079">
        <v>2022</v>
      </c>
      <c r="BR3" s="1064"/>
      <c r="BS3" s="1064"/>
      <c r="BT3" s="1064"/>
      <c r="BU3" s="1064"/>
      <c r="BV3" s="1064"/>
      <c r="BW3" s="1064"/>
      <c r="BX3" s="1064"/>
      <c r="BY3" s="1064"/>
      <c r="BZ3" s="1064"/>
      <c r="CA3" s="1064"/>
      <c r="CB3" s="1064"/>
      <c r="CC3" s="1079">
        <v>2023</v>
      </c>
      <c r="CD3" s="1064"/>
      <c r="CE3" s="1064"/>
      <c r="CF3" s="1064"/>
      <c r="CG3" s="1064"/>
      <c r="CH3" s="1064"/>
      <c r="CI3" s="1064"/>
      <c r="CJ3" s="1064"/>
      <c r="CK3" s="1064"/>
      <c r="CL3" s="1064"/>
      <c r="CM3" s="1064"/>
      <c r="CN3" s="1064"/>
      <c r="CO3" s="37">
        <v>2024</v>
      </c>
    </row>
    <row r="4" spans="1:93" ht="12.75" customHeight="1">
      <c r="A4" s="38" t="s">
        <v>146</v>
      </c>
      <c r="B4" s="39">
        <v>508863</v>
      </c>
      <c r="C4" s="40">
        <v>916569</v>
      </c>
      <c r="D4" s="41">
        <f t="shared" ref="D4:D6" si="0">B4/C4</f>
        <v>0.55518242489108838</v>
      </c>
      <c r="E4" s="39">
        <v>1232531</v>
      </c>
      <c r="F4" s="40">
        <v>1794892</v>
      </c>
      <c r="G4" s="42">
        <f t="shared" ref="G4:G6" si="1">E4/F4</f>
        <v>0.68668811271095975</v>
      </c>
      <c r="H4" s="43">
        <v>384244.47999999998</v>
      </c>
      <c r="I4" s="44">
        <v>319812.43</v>
      </c>
      <c r="J4" s="44">
        <v>392333.58</v>
      </c>
      <c r="K4" s="44">
        <v>405785</v>
      </c>
      <c r="L4" s="45">
        <f t="shared" ref="L4:L6" si="2">H4+I4+J4+K4</f>
        <v>1502175.49</v>
      </c>
      <c r="M4" s="45">
        <v>1604838</v>
      </c>
      <c r="N4" s="799">
        <f t="shared" ref="N4:N8" si="3">L4/M4</f>
        <v>0.93602936246524571</v>
      </c>
      <c r="O4" s="44">
        <v>433081</v>
      </c>
      <c r="P4" s="44">
        <v>312316</v>
      </c>
      <c r="Q4" s="54">
        <v>279525</v>
      </c>
      <c r="R4" s="8"/>
      <c r="S4" s="75">
        <f t="shared" ref="S4:S8" si="4">O4+P4+Q4+R4</f>
        <v>1024922</v>
      </c>
      <c r="T4" s="44">
        <v>1154550</v>
      </c>
      <c r="U4" s="799">
        <f t="shared" ref="U4:U8" si="5">S4/T4</f>
        <v>0.88772422155818287</v>
      </c>
      <c r="V4" s="39"/>
      <c r="W4" s="40">
        <f>1453028-200443</f>
        <v>1252585</v>
      </c>
      <c r="X4" s="945"/>
      <c r="Y4" s="40"/>
      <c r="Z4" s="40">
        <v>197747</v>
      </c>
      <c r="AA4" s="40"/>
      <c r="AB4" s="39">
        <f t="shared" ref="AB4:AB7" si="6">B4+E4+L4+S4+V4+Y4</f>
        <v>4268491.49</v>
      </c>
      <c r="AC4" s="49">
        <f>Z4+W4+T4+M4+F4+C4</f>
        <v>6921181</v>
      </c>
      <c r="AD4" s="41">
        <f t="shared" ref="AD4:AD7" si="7">+AB4/AC4</f>
        <v>0.61672877649060187</v>
      </c>
      <c r="AE4" s="946">
        <f>AB4</f>
        <v>4268491.49</v>
      </c>
      <c r="AF4" s="50">
        <f>T4-S4</f>
        <v>129628</v>
      </c>
      <c r="AG4" s="946">
        <f>AE4+AF4</f>
        <v>4398119.49</v>
      </c>
      <c r="AH4" s="51">
        <v>1</v>
      </c>
      <c r="AI4" s="51">
        <v>2</v>
      </c>
      <c r="AJ4" s="51">
        <v>3</v>
      </c>
      <c r="AK4" s="51">
        <v>4</v>
      </c>
      <c r="AL4" s="51">
        <v>5</v>
      </c>
      <c r="AM4" s="51">
        <v>6</v>
      </c>
      <c r="AN4" s="51">
        <v>7</v>
      </c>
      <c r="AO4" s="51">
        <v>8</v>
      </c>
      <c r="AP4" s="51">
        <v>9</v>
      </c>
      <c r="AQ4" s="51">
        <v>10</v>
      </c>
      <c r="AR4" s="51">
        <v>11</v>
      </c>
      <c r="AS4" s="51">
        <v>12</v>
      </c>
      <c r="AT4" s="51">
        <v>13</v>
      </c>
      <c r="AU4" s="51">
        <v>14</v>
      </c>
      <c r="AV4" s="51">
        <v>15</v>
      </c>
      <c r="AW4" s="51">
        <v>16</v>
      </c>
      <c r="AX4" s="51">
        <v>17</v>
      </c>
      <c r="AY4" s="51">
        <v>18</v>
      </c>
      <c r="AZ4" s="51">
        <v>19</v>
      </c>
      <c r="BA4" s="51">
        <v>20</v>
      </c>
      <c r="BB4" s="51">
        <v>21</v>
      </c>
      <c r="BC4" s="51">
        <v>22</v>
      </c>
      <c r="BD4" s="51">
        <v>23</v>
      </c>
      <c r="BE4" s="51">
        <v>24</v>
      </c>
      <c r="BF4" s="51">
        <v>25</v>
      </c>
      <c r="BG4" s="51">
        <v>26</v>
      </c>
      <c r="BH4" s="51">
        <v>27</v>
      </c>
      <c r="BI4" s="51">
        <v>28</v>
      </c>
      <c r="BJ4" s="51">
        <v>29</v>
      </c>
      <c r="BK4" s="51">
        <v>30</v>
      </c>
      <c r="BL4" s="51">
        <v>31</v>
      </c>
      <c r="BM4" s="51">
        <v>32</v>
      </c>
      <c r="BN4" s="51">
        <v>33</v>
      </c>
      <c r="BO4" s="51">
        <v>34</v>
      </c>
      <c r="BP4" s="51">
        <v>35</v>
      </c>
      <c r="BQ4" s="51">
        <v>36</v>
      </c>
      <c r="BR4" s="51">
        <v>37</v>
      </c>
      <c r="BS4" s="51">
        <v>38</v>
      </c>
      <c r="BT4" s="51">
        <v>39</v>
      </c>
      <c r="BU4" s="51">
        <v>40</v>
      </c>
      <c r="BV4" s="51">
        <v>41</v>
      </c>
      <c r="BW4" s="51">
        <v>42</v>
      </c>
      <c r="BX4" s="51">
        <v>43</v>
      </c>
      <c r="BY4" s="51">
        <v>44</v>
      </c>
      <c r="BZ4" s="51">
        <v>45</v>
      </c>
      <c r="CA4" s="51">
        <v>46</v>
      </c>
      <c r="CB4" s="51">
        <v>47</v>
      </c>
      <c r="CC4" s="51">
        <v>48</v>
      </c>
      <c r="CD4" s="51">
        <v>49</v>
      </c>
      <c r="CE4" s="51">
        <v>50</v>
      </c>
      <c r="CF4" s="51">
        <v>51</v>
      </c>
      <c r="CG4" s="51">
        <v>52</v>
      </c>
      <c r="CH4" s="51">
        <v>53</v>
      </c>
      <c r="CI4" s="51">
        <v>54</v>
      </c>
      <c r="CJ4" s="51">
        <v>55</v>
      </c>
      <c r="CK4" s="51">
        <v>56</v>
      </c>
      <c r="CL4" s="51">
        <v>57</v>
      </c>
      <c r="CM4" s="51">
        <v>58</v>
      </c>
      <c r="CN4" s="51">
        <v>59</v>
      </c>
      <c r="CO4" s="51">
        <v>60</v>
      </c>
    </row>
    <row r="5" spans="1:93" ht="12.75" customHeight="1">
      <c r="A5" s="52" t="s">
        <v>147</v>
      </c>
      <c r="B5" s="53">
        <v>1680512449</v>
      </c>
      <c r="C5" s="53">
        <f>C4*2700</f>
        <v>2474736300</v>
      </c>
      <c r="D5" s="41">
        <f t="shared" si="0"/>
        <v>0.67906728042094833</v>
      </c>
      <c r="E5" s="53">
        <v>4499683513</v>
      </c>
      <c r="F5" s="54">
        <f>F4*2700</f>
        <v>4846208400</v>
      </c>
      <c r="G5" s="42">
        <f t="shared" si="1"/>
        <v>0.92849566952176465</v>
      </c>
      <c r="H5" s="55">
        <v>1343143410</v>
      </c>
      <c r="I5" s="56">
        <v>1142215784</v>
      </c>
      <c r="J5" s="57">
        <v>1480450192</v>
      </c>
      <c r="K5" s="58">
        <v>1549730524</v>
      </c>
      <c r="L5" s="59">
        <f t="shared" si="2"/>
        <v>5515539910</v>
      </c>
      <c r="M5" s="59">
        <f>M4*2700</f>
        <v>4333062600</v>
      </c>
      <c r="N5" s="799">
        <f t="shared" si="3"/>
        <v>1.2728964289599694</v>
      </c>
      <c r="O5" s="54">
        <v>1727669442</v>
      </c>
      <c r="P5" s="54">
        <v>1181399044</v>
      </c>
      <c r="Q5" s="54">
        <v>1151196344</v>
      </c>
      <c r="R5" s="54"/>
      <c r="S5" s="60">
        <f t="shared" si="4"/>
        <v>4060264830</v>
      </c>
      <c r="T5" s="61">
        <f>T4*2700</f>
        <v>3117285000</v>
      </c>
      <c r="U5" s="799">
        <f t="shared" si="5"/>
        <v>1.3025003584850279</v>
      </c>
      <c r="V5" s="53"/>
      <c r="W5" s="54">
        <f>W4*2700</f>
        <v>3381979500</v>
      </c>
      <c r="X5" s="947"/>
      <c r="Y5" s="54"/>
      <c r="Z5" s="54">
        <f>Z4*2700</f>
        <v>533916900</v>
      </c>
      <c r="AA5" s="54"/>
      <c r="AB5" s="53">
        <f t="shared" si="6"/>
        <v>15756000702</v>
      </c>
      <c r="AC5" s="63">
        <f>AC4*2700</f>
        <v>18687188700</v>
      </c>
      <c r="AD5" s="41">
        <f t="shared" si="7"/>
        <v>0.84314451761275355</v>
      </c>
      <c r="AE5" s="948">
        <v>15756000716</v>
      </c>
      <c r="AF5" s="64"/>
      <c r="AG5" s="65"/>
      <c r="AH5" s="65" t="s">
        <v>22</v>
      </c>
      <c r="AI5" s="65" t="s">
        <v>23</v>
      </c>
      <c r="AJ5" s="65" t="s">
        <v>24</v>
      </c>
      <c r="AK5" s="65" t="s">
        <v>23</v>
      </c>
      <c r="AL5" s="65" t="s">
        <v>25</v>
      </c>
      <c r="AM5" s="65" t="s">
        <v>25</v>
      </c>
      <c r="AN5" s="65" t="s">
        <v>24</v>
      </c>
      <c r="AO5" s="65" t="s">
        <v>26</v>
      </c>
      <c r="AP5" s="65" t="s">
        <v>27</v>
      </c>
      <c r="AQ5" s="65" t="s">
        <v>28</v>
      </c>
      <c r="AR5" s="65" t="s">
        <v>29</v>
      </c>
      <c r="AS5" s="65" t="s">
        <v>30</v>
      </c>
      <c r="AT5" s="65" t="s">
        <v>22</v>
      </c>
      <c r="AU5" s="65" t="s">
        <v>23</v>
      </c>
      <c r="AV5" s="65" t="s">
        <v>24</v>
      </c>
      <c r="AW5" s="65" t="s">
        <v>23</v>
      </c>
      <c r="AX5" s="65" t="s">
        <v>25</v>
      </c>
      <c r="AY5" s="65" t="s">
        <v>25</v>
      </c>
      <c r="AZ5" s="65" t="s">
        <v>24</v>
      </c>
      <c r="BA5" s="65" t="s">
        <v>26</v>
      </c>
      <c r="BB5" s="65" t="s">
        <v>27</v>
      </c>
      <c r="BC5" s="65" t="s">
        <v>28</v>
      </c>
      <c r="BD5" s="65" t="s">
        <v>29</v>
      </c>
      <c r="BE5" s="949" t="s">
        <v>30</v>
      </c>
      <c r="BF5" s="949" t="s">
        <v>22</v>
      </c>
      <c r="BG5" s="949" t="s">
        <v>23</v>
      </c>
      <c r="BH5" s="949" t="s">
        <v>24</v>
      </c>
      <c r="BI5" s="949" t="s">
        <v>23</v>
      </c>
      <c r="BJ5" s="949" t="s">
        <v>25</v>
      </c>
      <c r="BK5" s="950" t="s">
        <v>25</v>
      </c>
      <c r="BL5" s="950" t="s">
        <v>24</v>
      </c>
      <c r="BM5" s="950" t="s">
        <v>26</v>
      </c>
      <c r="BN5" s="950" t="s">
        <v>27</v>
      </c>
      <c r="BO5" s="950" t="s">
        <v>28</v>
      </c>
      <c r="BP5" s="950" t="s">
        <v>29</v>
      </c>
      <c r="BQ5" s="950" t="s">
        <v>30</v>
      </c>
      <c r="BR5" s="950" t="s">
        <v>22</v>
      </c>
      <c r="BS5" s="950" t="s">
        <v>23</v>
      </c>
      <c r="BT5" s="66" t="s">
        <v>24</v>
      </c>
      <c r="BU5" s="66" t="s">
        <v>23</v>
      </c>
      <c r="BV5" s="66" t="s">
        <v>25</v>
      </c>
      <c r="BW5" s="66" t="s">
        <v>25</v>
      </c>
      <c r="BX5" s="36" t="s">
        <v>24</v>
      </c>
      <c r="BY5" s="36" t="s">
        <v>26</v>
      </c>
      <c r="BZ5" s="36" t="s">
        <v>27</v>
      </c>
      <c r="CA5" s="36" t="s">
        <v>28</v>
      </c>
      <c r="CB5" s="36" t="s">
        <v>29</v>
      </c>
      <c r="CC5" s="36" t="s">
        <v>30</v>
      </c>
      <c r="CD5" s="36" t="s">
        <v>22</v>
      </c>
      <c r="CE5" s="36" t="s">
        <v>23</v>
      </c>
      <c r="CF5" s="36" t="s">
        <v>24</v>
      </c>
      <c r="CG5" s="36" t="s">
        <v>23</v>
      </c>
      <c r="CH5" s="36" t="s">
        <v>25</v>
      </c>
      <c r="CI5" s="36" t="s">
        <v>25</v>
      </c>
      <c r="CJ5" s="36" t="s">
        <v>24</v>
      </c>
      <c r="CK5" s="36" t="s">
        <v>26</v>
      </c>
      <c r="CL5" s="36" t="s">
        <v>27</v>
      </c>
      <c r="CM5" s="36" t="s">
        <v>28</v>
      </c>
      <c r="CN5" s="36" t="s">
        <v>29</v>
      </c>
      <c r="CO5" s="36" t="s">
        <v>30</v>
      </c>
    </row>
    <row r="6" spans="1:93" ht="12.75" customHeight="1">
      <c r="A6" s="38" t="s">
        <v>148</v>
      </c>
      <c r="B6" s="39">
        <v>15894586</v>
      </c>
      <c r="C6" s="40">
        <v>10607595.041783549</v>
      </c>
      <c r="D6" s="41">
        <f t="shared" si="0"/>
        <v>1.4984156104556101</v>
      </c>
      <c r="E6" s="39">
        <v>8670545</v>
      </c>
      <c r="F6" s="40">
        <v>6399670.768368098</v>
      </c>
      <c r="G6" s="42">
        <f t="shared" si="1"/>
        <v>1.3548423526498019</v>
      </c>
      <c r="H6" s="72">
        <v>1281137</v>
      </c>
      <c r="I6" s="73">
        <v>1095796</v>
      </c>
      <c r="J6" s="74">
        <v>1625466</v>
      </c>
      <c r="K6" s="74">
        <v>1675821</v>
      </c>
      <c r="L6" s="45">
        <f t="shared" si="2"/>
        <v>5678220</v>
      </c>
      <c r="M6" s="45">
        <v>3850044</v>
      </c>
      <c r="N6" s="799">
        <f t="shared" si="3"/>
        <v>1.4748454822853974</v>
      </c>
      <c r="O6" s="40">
        <v>1826092</v>
      </c>
      <c r="P6" s="40">
        <v>1518380</v>
      </c>
      <c r="Q6" s="70">
        <v>2071257</v>
      </c>
      <c r="R6" s="208"/>
      <c r="S6" s="75">
        <f t="shared" si="4"/>
        <v>5415729</v>
      </c>
      <c r="T6" s="44">
        <v>3828059</v>
      </c>
      <c r="U6" s="799">
        <f t="shared" si="5"/>
        <v>1.4147454362641747</v>
      </c>
      <c r="V6" s="39"/>
      <c r="W6" s="40">
        <v>3817039</v>
      </c>
      <c r="X6" s="951"/>
      <c r="Y6" s="40"/>
      <c r="Z6" s="40">
        <f>930002.19</f>
        <v>930002.19</v>
      </c>
      <c r="AA6" s="40"/>
      <c r="AB6" s="39">
        <f t="shared" si="6"/>
        <v>35659080</v>
      </c>
      <c r="AC6" s="49">
        <v>29432410</v>
      </c>
      <c r="AD6" s="41">
        <f t="shared" si="7"/>
        <v>1.211558278781792</v>
      </c>
      <c r="AE6" s="952">
        <f>AE7/2700</f>
        <v>31882054.527407408</v>
      </c>
      <c r="AF6" s="50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  <c r="BG6" s="69"/>
      <c r="BH6" s="69"/>
      <c r="BI6" s="69"/>
      <c r="BJ6" s="69"/>
      <c r="BK6" s="69"/>
      <c r="BL6" s="69"/>
      <c r="BM6" s="69"/>
      <c r="BN6" s="69"/>
      <c r="BO6" s="69"/>
      <c r="BP6" s="69"/>
      <c r="BQ6" s="70"/>
      <c r="BR6" s="70">
        <f t="shared" ref="BR6:CO6" si="8">1.66*BR4</f>
        <v>61.419999999999995</v>
      </c>
      <c r="BS6" s="70">
        <f t="shared" si="8"/>
        <v>63.08</v>
      </c>
      <c r="BT6" s="70">
        <f t="shared" si="8"/>
        <v>64.739999999999995</v>
      </c>
      <c r="BU6" s="70">
        <f t="shared" si="8"/>
        <v>66.399999999999991</v>
      </c>
      <c r="BV6" s="70">
        <f t="shared" si="8"/>
        <v>68.06</v>
      </c>
      <c r="BW6" s="70">
        <f t="shared" si="8"/>
        <v>69.72</v>
      </c>
      <c r="BX6" s="70">
        <f t="shared" si="8"/>
        <v>71.38</v>
      </c>
      <c r="BY6" s="70">
        <f t="shared" si="8"/>
        <v>73.039999999999992</v>
      </c>
      <c r="BZ6" s="70">
        <f t="shared" si="8"/>
        <v>74.7</v>
      </c>
      <c r="CA6" s="70">
        <f t="shared" si="8"/>
        <v>76.36</v>
      </c>
      <c r="CB6" s="70">
        <f t="shared" si="8"/>
        <v>78.02</v>
      </c>
      <c r="CC6" s="70">
        <f t="shared" si="8"/>
        <v>79.679999999999993</v>
      </c>
      <c r="CD6" s="70">
        <f t="shared" si="8"/>
        <v>81.339999999999989</v>
      </c>
      <c r="CE6" s="70">
        <f t="shared" si="8"/>
        <v>83</v>
      </c>
      <c r="CF6" s="70">
        <f t="shared" si="8"/>
        <v>84.66</v>
      </c>
      <c r="CG6" s="70">
        <f t="shared" si="8"/>
        <v>86.32</v>
      </c>
      <c r="CH6" s="70">
        <f t="shared" si="8"/>
        <v>87.97999999999999</v>
      </c>
      <c r="CI6" s="70">
        <f t="shared" si="8"/>
        <v>89.64</v>
      </c>
      <c r="CJ6" s="70">
        <f t="shared" si="8"/>
        <v>91.3</v>
      </c>
      <c r="CK6" s="70">
        <f t="shared" si="8"/>
        <v>92.96</v>
      </c>
      <c r="CL6" s="70">
        <f t="shared" si="8"/>
        <v>94.61999999999999</v>
      </c>
      <c r="CM6" s="70">
        <f t="shared" si="8"/>
        <v>96.28</v>
      </c>
      <c r="CN6" s="70">
        <f t="shared" si="8"/>
        <v>97.94</v>
      </c>
      <c r="CO6" s="70">
        <f t="shared" si="8"/>
        <v>99.6</v>
      </c>
    </row>
    <row r="7" spans="1:93" ht="12.75" customHeight="1">
      <c r="A7" s="52" t="s">
        <v>149</v>
      </c>
      <c r="B7" s="53">
        <f t="shared" ref="B7:E7" si="9">B6*2700</f>
        <v>42915382200</v>
      </c>
      <c r="C7" s="54">
        <f t="shared" si="9"/>
        <v>28640506612.815582</v>
      </c>
      <c r="D7" s="67">
        <f t="shared" si="9"/>
        <v>4045.7221482301475</v>
      </c>
      <c r="E7" s="53">
        <f t="shared" si="9"/>
        <v>23410471500</v>
      </c>
      <c r="F7" s="54">
        <v>17279111700</v>
      </c>
      <c r="G7" s="68">
        <f t="shared" ref="G7:J7" si="10">G6*2700</f>
        <v>3658.074352154465</v>
      </c>
      <c r="H7" s="55">
        <f t="shared" si="10"/>
        <v>3459069900</v>
      </c>
      <c r="I7" s="56">
        <f t="shared" si="10"/>
        <v>2958649200</v>
      </c>
      <c r="J7" s="57">
        <f t="shared" si="10"/>
        <v>4388758200</v>
      </c>
      <c r="K7" s="57">
        <v>4524717535</v>
      </c>
      <c r="L7" s="59">
        <f t="shared" ref="L7:M7" si="11">L6*2700</f>
        <v>15331194000</v>
      </c>
      <c r="M7" s="59">
        <f t="shared" si="11"/>
        <v>10395118800</v>
      </c>
      <c r="N7" s="799">
        <f t="shared" si="3"/>
        <v>1.4748454822853974</v>
      </c>
      <c r="O7" s="54">
        <f t="shared" ref="O7:Q7" si="12">O6*2700</f>
        <v>4930448400</v>
      </c>
      <c r="P7" s="54">
        <f t="shared" si="12"/>
        <v>4099626000</v>
      </c>
      <c r="Q7" s="54">
        <f t="shared" si="12"/>
        <v>5592393900</v>
      </c>
      <c r="R7" s="54"/>
      <c r="S7" s="60">
        <f t="shared" si="4"/>
        <v>14622468300</v>
      </c>
      <c r="T7" s="61">
        <f>T6*2700</f>
        <v>10335759300</v>
      </c>
      <c r="U7" s="799">
        <f t="shared" si="5"/>
        <v>1.4147454362641747</v>
      </c>
      <c r="V7" s="53">
        <f t="shared" ref="V7:Y7" si="13">V6*2700</f>
        <v>0</v>
      </c>
      <c r="W7" s="54">
        <f t="shared" si="13"/>
        <v>10306005300</v>
      </c>
      <c r="X7" s="947">
        <f t="shared" si="13"/>
        <v>0</v>
      </c>
      <c r="Y7" s="54">
        <f t="shared" si="13"/>
        <v>0</v>
      </c>
      <c r="Z7" s="54">
        <f>2511005913-626</f>
        <v>2511005287</v>
      </c>
      <c r="AA7" s="54">
        <f>AA6*2700</f>
        <v>0</v>
      </c>
      <c r="AB7" s="53">
        <f t="shared" si="6"/>
        <v>96279516000</v>
      </c>
      <c r="AC7" s="63">
        <f>AC6*2700</f>
        <v>79467507000</v>
      </c>
      <c r="AD7" s="41">
        <f t="shared" si="7"/>
        <v>1.211558278781792</v>
      </c>
      <c r="AE7" s="952">
        <v>86081547224</v>
      </c>
      <c r="AF7" s="64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</row>
    <row r="8" spans="1:93" ht="12.75" customHeight="1">
      <c r="A8" s="78" t="s">
        <v>34</v>
      </c>
      <c r="B8" s="79"/>
      <c r="C8" s="80"/>
      <c r="D8" s="81"/>
      <c r="E8" s="79"/>
      <c r="F8" s="80"/>
      <c r="G8" s="82"/>
      <c r="H8" s="83"/>
      <c r="I8" s="84"/>
      <c r="J8" s="85"/>
      <c r="K8" s="86"/>
      <c r="L8" s="59">
        <v>1528352900</v>
      </c>
      <c r="M8" s="59">
        <v>1677460500</v>
      </c>
      <c r="N8" s="799">
        <f t="shared" si="3"/>
        <v>0.91111111111111109</v>
      </c>
      <c r="O8" s="89">
        <f>L8/372000</f>
        <v>4108.4755376344083</v>
      </c>
      <c r="P8" s="80"/>
      <c r="Q8" s="80"/>
      <c r="R8" s="80"/>
      <c r="S8" s="60">
        <f t="shared" si="4"/>
        <v>4108.4755376344083</v>
      </c>
      <c r="T8" s="86"/>
      <c r="U8" s="799" t="e">
        <f t="shared" si="5"/>
        <v>#DIV/0!</v>
      </c>
      <c r="V8" s="79"/>
      <c r="W8" s="80"/>
      <c r="X8" s="953"/>
      <c r="Y8" s="80"/>
      <c r="Z8" s="80"/>
      <c r="AA8" s="80"/>
      <c r="AB8" s="79"/>
      <c r="AC8" s="80"/>
      <c r="AD8" s="812"/>
      <c r="AE8" s="35"/>
      <c r="AF8" s="35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</row>
    <row r="9" spans="1:93" ht="12.75" customHeight="1">
      <c r="A9" s="90" t="s">
        <v>35</v>
      </c>
      <c r="B9" s="91"/>
      <c r="C9" s="92"/>
      <c r="D9" s="93"/>
      <c r="E9" s="91"/>
      <c r="F9" s="92"/>
      <c r="G9" s="94"/>
      <c r="H9" s="95"/>
      <c r="I9" s="96"/>
      <c r="J9" s="97"/>
      <c r="K9" s="96"/>
      <c r="L9" s="98"/>
      <c r="M9" s="98"/>
      <c r="N9" s="94"/>
      <c r="O9" s="100"/>
      <c r="P9" s="100"/>
      <c r="Q9" s="100"/>
      <c r="R9" s="100"/>
      <c r="S9" s="96"/>
      <c r="T9" s="96"/>
      <c r="U9" s="94"/>
      <c r="V9" s="91"/>
      <c r="W9" s="92"/>
      <c r="X9" s="93"/>
      <c r="Y9" s="100"/>
      <c r="Z9" s="100"/>
      <c r="AA9" s="100"/>
      <c r="AB9" s="91"/>
      <c r="AC9" s="92"/>
      <c r="AD9" s="93"/>
      <c r="AE9" s="35"/>
      <c r="AF9" s="35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</row>
    <row r="10" spans="1:93" ht="12.75" customHeight="1">
      <c r="A10" s="101" t="s">
        <v>36</v>
      </c>
      <c r="B10" s="102">
        <f>+B11</f>
        <v>372</v>
      </c>
      <c r="C10" s="103"/>
      <c r="D10" s="104"/>
      <c r="E10" s="102">
        <f>+E11</f>
        <v>596</v>
      </c>
      <c r="F10" s="103"/>
      <c r="G10" s="105"/>
      <c r="H10" s="106"/>
      <c r="I10" s="107"/>
      <c r="J10" s="108">
        <f t="shared" ref="J10:K10" si="14">J11+J12</f>
        <v>699</v>
      </c>
      <c r="K10" s="108">
        <f t="shared" si="14"/>
        <v>748</v>
      </c>
      <c r="L10" s="109">
        <f>K10</f>
        <v>748</v>
      </c>
      <c r="M10" s="109"/>
      <c r="N10" s="105"/>
      <c r="O10" s="110"/>
      <c r="P10" s="110"/>
      <c r="Q10" s="110"/>
      <c r="R10" s="110"/>
      <c r="S10" s="107">
        <f t="shared" ref="S10:S11" si="15">O10+P10+Q10+R10</f>
        <v>0</v>
      </c>
      <c r="T10" s="107"/>
      <c r="U10" s="105"/>
      <c r="V10" s="111"/>
      <c r="W10" s="103"/>
      <c r="X10" s="104"/>
      <c r="Y10" s="110"/>
      <c r="Z10" s="110"/>
      <c r="AA10" s="110"/>
      <c r="AB10" s="111"/>
      <c r="AC10" s="103"/>
      <c r="AD10" s="112"/>
      <c r="AE10" s="35"/>
      <c r="AF10" s="35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69"/>
      <c r="BI10" s="69"/>
      <c r="BJ10" s="69"/>
      <c r="BK10" s="69"/>
      <c r="BL10" s="69"/>
      <c r="BM10" s="69"/>
      <c r="BN10" s="69"/>
      <c r="BO10" s="69"/>
      <c r="BP10" s="69"/>
      <c r="BQ10" s="69"/>
      <c r="BR10" s="69"/>
      <c r="BS10" s="69"/>
      <c r="BT10" s="69"/>
      <c r="BU10" s="69"/>
      <c r="BV10" s="69"/>
      <c r="BW10" s="69"/>
      <c r="BX10" s="69"/>
      <c r="BY10" s="69"/>
      <c r="BZ10" s="69"/>
      <c r="CA10" s="69"/>
      <c r="CB10" s="69"/>
      <c r="CC10" s="69"/>
      <c r="CD10" s="69"/>
      <c r="CE10" s="69"/>
      <c r="CF10" s="69"/>
      <c r="CG10" s="69"/>
      <c r="CH10" s="69"/>
      <c r="CI10" s="69"/>
      <c r="CJ10" s="69"/>
      <c r="CK10" s="69"/>
      <c r="CL10" s="69"/>
      <c r="CM10" s="69"/>
      <c r="CN10" s="69"/>
      <c r="CO10" s="69"/>
    </row>
    <row r="11" spans="1:93" ht="12.75" customHeight="1">
      <c r="A11" s="113" t="s">
        <v>37</v>
      </c>
      <c r="B11" s="114">
        <v>372</v>
      </c>
      <c r="C11" s="103">
        <v>915</v>
      </c>
      <c r="D11" s="41">
        <f>B11/C11</f>
        <v>0.40655737704918032</v>
      </c>
      <c r="E11" s="114">
        <v>596</v>
      </c>
      <c r="F11" s="103">
        <v>915</v>
      </c>
      <c r="G11" s="41">
        <f>E11/F11</f>
        <v>0.6513661202185792</v>
      </c>
      <c r="H11" s="106"/>
      <c r="I11" s="107" t="s">
        <v>38</v>
      </c>
      <c r="J11" s="108">
        <v>616</v>
      </c>
      <c r="K11" s="107">
        <v>665</v>
      </c>
      <c r="L11" s="109">
        <v>800</v>
      </c>
      <c r="M11" s="115">
        <v>915</v>
      </c>
      <c r="N11" s="41">
        <f>L11/M11</f>
        <v>0.87431693989071035</v>
      </c>
      <c r="O11" s="110"/>
      <c r="P11" s="110"/>
      <c r="Q11" s="110">
        <v>924</v>
      </c>
      <c r="R11" s="110"/>
      <c r="S11" s="107">
        <f t="shared" si="15"/>
        <v>924</v>
      </c>
      <c r="T11" s="107">
        <v>915</v>
      </c>
      <c r="U11" s="41">
        <f>S11/T11</f>
        <v>1.0098360655737706</v>
      </c>
      <c r="V11" s="111"/>
      <c r="W11" s="103"/>
      <c r="X11" s="41" t="e">
        <f>V11/W11</f>
        <v>#DIV/0!</v>
      </c>
      <c r="Y11" s="110"/>
      <c r="Z11" s="110"/>
      <c r="AA11" s="110"/>
      <c r="AB11" s="111">
        <f>+S11</f>
        <v>924</v>
      </c>
      <c r="AC11" s="103">
        <v>915</v>
      </c>
      <c r="AD11" s="118">
        <f t="shared" ref="AD11:AD15" si="16">+AB11/AC11</f>
        <v>1.0098360655737706</v>
      </c>
      <c r="AE11" s="35"/>
      <c r="AF11" s="35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69"/>
      <c r="BI11" s="69"/>
      <c r="BJ11" s="69"/>
      <c r="BK11" s="69"/>
      <c r="BL11" s="69"/>
      <c r="BM11" s="69"/>
      <c r="BN11" s="69"/>
      <c r="BO11" s="69"/>
      <c r="BP11" s="69"/>
      <c r="BQ11" s="69"/>
      <c r="BR11" s="69"/>
      <c r="BS11" s="69"/>
      <c r="BT11" s="69"/>
      <c r="BU11" s="69"/>
      <c r="BV11" s="69"/>
      <c r="BW11" s="69"/>
      <c r="BX11" s="69"/>
      <c r="BY11" s="69"/>
      <c r="BZ11" s="69"/>
      <c r="CA11" s="69"/>
      <c r="CB11" s="69"/>
      <c r="CC11" s="69"/>
      <c r="CD11" s="69"/>
      <c r="CE11" s="69"/>
      <c r="CF11" s="69"/>
      <c r="CG11" s="69"/>
      <c r="CH11" s="69"/>
      <c r="CI11" s="69"/>
      <c r="CJ11" s="69"/>
      <c r="CK11" s="69"/>
      <c r="CL11" s="69"/>
      <c r="CM11" s="69"/>
      <c r="CN11" s="69"/>
      <c r="CO11" s="69"/>
    </row>
    <row r="12" spans="1:93" ht="12.75" customHeight="1">
      <c r="A12" s="119" t="s">
        <v>40</v>
      </c>
      <c r="B12" s="120"/>
      <c r="C12" s="121"/>
      <c r="D12" s="122"/>
      <c r="E12" s="120"/>
      <c r="F12" s="121"/>
      <c r="G12" s="123"/>
      <c r="H12" s="124"/>
      <c r="I12" s="125"/>
      <c r="J12" s="126">
        <v>83</v>
      </c>
      <c r="K12" s="125">
        <v>83</v>
      </c>
      <c r="L12" s="109">
        <f>K12</f>
        <v>83</v>
      </c>
      <c r="M12" s="127">
        <v>80</v>
      </c>
      <c r="N12" s="823">
        <f>+L12/M12</f>
        <v>1.0375000000000001</v>
      </c>
      <c r="O12" s="130">
        <v>30</v>
      </c>
      <c r="P12" s="130"/>
      <c r="Q12" s="130">
        <v>114</v>
      </c>
      <c r="R12" s="130"/>
      <c r="S12" s="107">
        <f>Q12</f>
        <v>114</v>
      </c>
      <c r="T12" s="125">
        <v>20</v>
      </c>
      <c r="U12" s="823">
        <f>+S12/T12</f>
        <v>5.7</v>
      </c>
      <c r="V12" s="120"/>
      <c r="W12" s="121"/>
      <c r="X12" s="122"/>
      <c r="Y12" s="130"/>
      <c r="Z12" s="130"/>
      <c r="AA12" s="130"/>
      <c r="AB12" s="120">
        <f t="shared" ref="AB12:AC12" si="17">+L12+S12</f>
        <v>197</v>
      </c>
      <c r="AC12" s="121">
        <f t="shared" si="17"/>
        <v>100</v>
      </c>
      <c r="AD12" s="131">
        <f t="shared" si="16"/>
        <v>1.97</v>
      </c>
      <c r="AE12" s="35"/>
      <c r="AF12" s="35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69"/>
      <c r="BV12" s="69"/>
      <c r="BW12" s="69"/>
      <c r="BX12" s="69"/>
      <c r="BY12" s="69"/>
      <c r="BZ12" s="69"/>
      <c r="CA12" s="69"/>
      <c r="CB12" s="69"/>
      <c r="CC12" s="69"/>
      <c r="CD12" s="69"/>
      <c r="CE12" s="69"/>
      <c r="CF12" s="69"/>
      <c r="CG12" s="69"/>
      <c r="CH12" s="69"/>
      <c r="CI12" s="69"/>
      <c r="CJ12" s="69"/>
      <c r="CK12" s="69"/>
      <c r="CL12" s="69"/>
      <c r="CM12" s="69"/>
      <c r="CN12" s="69"/>
      <c r="CO12" s="69"/>
    </row>
    <row r="13" spans="1:93" ht="12.75" customHeight="1">
      <c r="A13" s="176" t="s">
        <v>48</v>
      </c>
      <c r="B13" s="177"/>
      <c r="C13" s="178"/>
      <c r="D13" s="179"/>
      <c r="E13" s="354">
        <v>229</v>
      </c>
      <c r="F13" s="239">
        <v>282</v>
      </c>
      <c r="G13" s="182">
        <v>0.81205673758865249</v>
      </c>
      <c r="H13" s="954"/>
      <c r="I13" s="522">
        <f>I15</f>
        <v>108</v>
      </c>
      <c r="J13" s="185">
        <f t="shared" ref="J13:M13" si="18">J14+J15</f>
        <v>125.9</v>
      </c>
      <c r="K13" s="184">
        <f t="shared" si="18"/>
        <v>11.6</v>
      </c>
      <c r="L13" s="186">
        <f t="shared" si="18"/>
        <v>245.5</v>
      </c>
      <c r="M13" s="521">
        <f t="shared" si="18"/>
        <v>242</v>
      </c>
      <c r="N13" s="955">
        <f t="shared" ref="N13:N15" si="19">L13/M13</f>
        <v>1.0144628099173554</v>
      </c>
      <c r="O13" s="956">
        <f t="shared" ref="O13:R13" si="20">O14+O15+O16</f>
        <v>0</v>
      </c>
      <c r="P13" s="956">
        <f t="shared" si="20"/>
        <v>20</v>
      </c>
      <c r="Q13" s="956">
        <f t="shared" si="20"/>
        <v>86.1</v>
      </c>
      <c r="R13" s="956">
        <f t="shared" si="20"/>
        <v>30.5</v>
      </c>
      <c r="S13" s="522">
        <f t="shared" ref="S13:S17" si="21">O13+P13+Q13+R13</f>
        <v>136.6</v>
      </c>
      <c r="T13" s="360">
        <f>T14+T15+T16</f>
        <v>80</v>
      </c>
      <c r="U13" s="955">
        <f>S13/T13</f>
        <v>1.7075</v>
      </c>
      <c r="V13" s="534"/>
      <c r="W13" s="542"/>
      <c r="X13" s="189"/>
      <c r="Y13" s="188"/>
      <c r="Z13" s="188"/>
      <c r="AA13" s="188"/>
      <c r="AB13" s="180">
        <f t="shared" ref="AB13:AC13" si="22">+AB14+AB15+AB16</f>
        <v>610.69999999999993</v>
      </c>
      <c r="AC13" s="188">
        <f t="shared" si="22"/>
        <v>550</v>
      </c>
      <c r="AD13" s="189">
        <f t="shared" si="16"/>
        <v>1.1103636363636362</v>
      </c>
      <c r="AE13" s="150"/>
      <c r="AF13" s="151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K13" s="152"/>
      <c r="BL13" s="152"/>
      <c r="BM13" s="152"/>
      <c r="BN13" s="152"/>
      <c r="BO13" s="152"/>
      <c r="BP13" s="152"/>
      <c r="BQ13" s="152"/>
      <c r="BR13" s="152"/>
      <c r="BS13" s="152"/>
      <c r="BT13" s="152"/>
      <c r="BU13" s="152"/>
      <c r="BV13" s="152"/>
      <c r="BW13" s="152"/>
      <c r="BX13" s="152"/>
      <c r="BY13" s="152"/>
      <c r="BZ13" s="152"/>
      <c r="CA13" s="152"/>
      <c r="CB13" s="152"/>
      <c r="CC13" s="152"/>
      <c r="CD13" s="152"/>
      <c r="CE13" s="152"/>
      <c r="CF13" s="152"/>
      <c r="CG13" s="152"/>
      <c r="CH13" s="152"/>
      <c r="CI13" s="152"/>
      <c r="CJ13" s="152"/>
      <c r="CK13" s="152"/>
      <c r="CL13" s="152"/>
      <c r="CM13" s="152"/>
      <c r="CN13" s="152"/>
      <c r="CO13" s="152"/>
    </row>
    <row r="14" spans="1:93" ht="12.75" customHeight="1">
      <c r="A14" s="170" t="s">
        <v>43</v>
      </c>
      <c r="B14" s="191"/>
      <c r="C14" s="192"/>
      <c r="D14" s="193"/>
      <c r="E14" s="369">
        <v>96</v>
      </c>
      <c r="F14" s="69">
        <v>80</v>
      </c>
      <c r="G14" s="196">
        <v>1.2</v>
      </c>
      <c r="H14" s="957"/>
      <c r="I14" s="958"/>
      <c r="J14" s="199">
        <v>37.700000000000003</v>
      </c>
      <c r="K14" s="663"/>
      <c r="L14" s="163">
        <f t="shared" ref="L14:L15" si="23">H14+I14+J14+K14</f>
        <v>37.700000000000003</v>
      </c>
      <c r="M14" s="298">
        <v>24</v>
      </c>
      <c r="N14" s="196">
        <f t="shared" si="19"/>
        <v>1.5708333333333335</v>
      </c>
      <c r="O14" s="208"/>
      <c r="P14" s="208"/>
      <c r="Q14" s="69">
        <v>3.1</v>
      </c>
      <c r="R14" s="208"/>
      <c r="S14" s="514">
        <f t="shared" si="21"/>
        <v>3.1</v>
      </c>
      <c r="T14" s="200"/>
      <c r="U14" s="270"/>
      <c r="V14" s="709"/>
      <c r="W14" s="208"/>
      <c r="X14" s="118"/>
      <c r="Y14" s="175"/>
      <c r="Z14" s="175"/>
      <c r="AA14" s="175"/>
      <c r="AB14" s="206">
        <f t="shared" ref="AB14:AB15" si="24">+E14+L14+S14+V14</f>
        <v>136.79999999999998</v>
      </c>
      <c r="AC14" s="175">
        <v>120</v>
      </c>
      <c r="AD14" s="118">
        <f t="shared" si="16"/>
        <v>1.1399999999999999</v>
      </c>
      <c r="AE14" s="76"/>
      <c r="AF14" s="76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</row>
    <row r="15" spans="1:93" ht="12.75" customHeight="1">
      <c r="A15" s="170" t="s">
        <v>45</v>
      </c>
      <c r="B15" s="191"/>
      <c r="C15" s="192"/>
      <c r="D15" s="193"/>
      <c r="E15" s="531">
        <v>132.6</v>
      </c>
      <c r="F15" s="69">
        <v>202</v>
      </c>
      <c r="G15" s="196">
        <v>0.65643564356435635</v>
      </c>
      <c r="H15" s="957"/>
      <c r="I15" s="663">
        <v>108</v>
      </c>
      <c r="J15" s="199">
        <v>88.2</v>
      </c>
      <c r="K15" s="172">
        <v>11.6</v>
      </c>
      <c r="L15" s="163">
        <f t="shared" si="23"/>
        <v>207.79999999999998</v>
      </c>
      <c r="M15" s="298">
        <v>218</v>
      </c>
      <c r="N15" s="196">
        <f t="shared" si="19"/>
        <v>0.9532110091743119</v>
      </c>
      <c r="O15" s="175"/>
      <c r="P15" s="175">
        <v>20</v>
      </c>
      <c r="Q15" s="175">
        <v>33.5</v>
      </c>
      <c r="R15" s="175"/>
      <c r="S15" s="514">
        <f t="shared" si="21"/>
        <v>53.5</v>
      </c>
      <c r="T15" s="663"/>
      <c r="U15" s="196">
        <v>1</v>
      </c>
      <c r="V15" s="531"/>
      <c r="W15" s="175"/>
      <c r="X15" s="959"/>
      <c r="Y15" s="175"/>
      <c r="Z15" s="175"/>
      <c r="AA15" s="175"/>
      <c r="AB15" s="206">
        <f t="shared" si="24"/>
        <v>393.9</v>
      </c>
      <c r="AC15" s="175">
        <f>350</f>
        <v>350</v>
      </c>
      <c r="AD15" s="118">
        <f t="shared" si="16"/>
        <v>1.1254285714285714</v>
      </c>
      <c r="AE15" s="76"/>
      <c r="AF15" s="76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</row>
    <row r="16" spans="1:93" ht="12.75" customHeight="1">
      <c r="A16" s="119" t="s">
        <v>50</v>
      </c>
      <c r="B16" s="224"/>
      <c r="C16" s="225"/>
      <c r="D16" s="226"/>
      <c r="E16" s="224"/>
      <c r="F16" s="227"/>
      <c r="G16" s="228"/>
      <c r="H16" s="960"/>
      <c r="I16" s="961"/>
      <c r="J16" s="962"/>
      <c r="K16" s="961"/>
      <c r="L16" s="227"/>
      <c r="M16" s="227"/>
      <c r="N16" s="228"/>
      <c r="O16" s="963"/>
      <c r="P16" s="963"/>
      <c r="Q16" s="963">
        <v>49.5</v>
      </c>
      <c r="R16" s="963">
        <v>30.5</v>
      </c>
      <c r="S16" s="964">
        <f t="shared" si="21"/>
        <v>80</v>
      </c>
      <c r="T16" s="781">
        <v>80</v>
      </c>
      <c r="U16" s="955">
        <f t="shared" ref="U16:U17" si="25">S16/T16</f>
        <v>1</v>
      </c>
      <c r="V16" s="965"/>
      <c r="W16" s="966"/>
      <c r="X16" s="967"/>
      <c r="Y16" s="235"/>
      <c r="Z16" s="235"/>
      <c r="AA16" s="235"/>
      <c r="AB16" s="236">
        <f>S16</f>
        <v>80</v>
      </c>
      <c r="AC16" s="237">
        <v>80</v>
      </c>
      <c r="AD16" s="238">
        <f>AB16/AC16</f>
        <v>1</v>
      </c>
      <c r="AE16" s="223"/>
      <c r="AF16" s="223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2"/>
      <c r="CD16" s="152"/>
      <c r="CE16" s="152"/>
      <c r="CF16" s="152"/>
      <c r="CG16" s="152"/>
      <c r="CH16" s="152"/>
      <c r="CI16" s="152"/>
      <c r="CJ16" s="152"/>
      <c r="CK16" s="152"/>
      <c r="CL16" s="152"/>
      <c r="CM16" s="152"/>
      <c r="CN16" s="152"/>
      <c r="CO16" s="152"/>
    </row>
    <row r="17" spans="1:93" ht="12.75" customHeight="1">
      <c r="A17" s="176" t="s">
        <v>51</v>
      </c>
      <c r="B17" s="526">
        <v>54</v>
      </c>
      <c r="C17" s="239">
        <v>50</v>
      </c>
      <c r="D17" s="189">
        <f>B17/50</f>
        <v>1.08</v>
      </c>
      <c r="E17" s="354">
        <v>601</v>
      </c>
      <c r="F17" s="239">
        <v>522</v>
      </c>
      <c r="G17" s="182">
        <v>1.1513409961685823</v>
      </c>
      <c r="H17" s="355">
        <f t="shared" ref="H17:M17" si="26">H21+H22</f>
        <v>63</v>
      </c>
      <c r="I17" s="356">
        <f t="shared" si="26"/>
        <v>66</v>
      </c>
      <c r="J17" s="357">
        <f t="shared" si="26"/>
        <v>241</v>
      </c>
      <c r="K17" s="356">
        <f t="shared" si="26"/>
        <v>38.5</v>
      </c>
      <c r="L17" s="186">
        <f t="shared" si="26"/>
        <v>408.5</v>
      </c>
      <c r="M17" s="521">
        <f t="shared" si="26"/>
        <v>400</v>
      </c>
      <c r="N17" s="182">
        <f>L17/M17</f>
        <v>1.02125</v>
      </c>
      <c r="O17" s="956">
        <f t="shared" ref="O17:R17" si="27">O18+O19+O20+O21+O22</f>
        <v>0</v>
      </c>
      <c r="P17" s="956">
        <f t="shared" si="27"/>
        <v>56</v>
      </c>
      <c r="Q17" s="956">
        <f t="shared" si="27"/>
        <v>33.5</v>
      </c>
      <c r="R17" s="956">
        <f t="shared" si="27"/>
        <v>0</v>
      </c>
      <c r="S17" s="522">
        <f t="shared" si="21"/>
        <v>89.5</v>
      </c>
      <c r="T17" s="360">
        <f>T18+T19+T20+T21+T22</f>
        <v>120</v>
      </c>
      <c r="U17" s="182">
        <f t="shared" si="25"/>
        <v>0.74583333333333335</v>
      </c>
      <c r="V17" s="526"/>
      <c r="W17" s="188"/>
      <c r="X17" s="968"/>
      <c r="Y17" s="188"/>
      <c r="Z17" s="188"/>
      <c r="AA17" s="188"/>
      <c r="AB17" s="180">
        <f>+AB18+AB19+AB20+AB21+AB22</f>
        <v>1152.8</v>
      </c>
      <c r="AC17" s="969">
        <f>+AC18+AC19+AC20+AC21+AC22-90</f>
        <v>1040</v>
      </c>
      <c r="AD17" s="189">
        <f t="shared" ref="AD17:AD36" si="28">+AB17/AC17</f>
        <v>1.1084615384615384</v>
      </c>
      <c r="AE17" s="245"/>
      <c r="AF17" s="223"/>
      <c r="AG17" s="152"/>
      <c r="AH17" s="152"/>
      <c r="AI17" s="152"/>
      <c r="AJ17" s="152"/>
      <c r="AK17" s="152"/>
      <c r="AL17" s="152"/>
      <c r="AM17" s="152"/>
      <c r="AN17" s="152"/>
      <c r="AO17" s="152"/>
      <c r="AP17" s="152"/>
      <c r="AQ17" s="152"/>
      <c r="AR17" s="152"/>
      <c r="AS17" s="152"/>
      <c r="AT17" s="152"/>
      <c r="AU17" s="152"/>
      <c r="AV17" s="152"/>
      <c r="AW17" s="152"/>
      <c r="AX17" s="152"/>
      <c r="AY17" s="152"/>
      <c r="AZ17" s="152"/>
      <c r="BA17" s="152"/>
      <c r="BB17" s="152"/>
      <c r="BC17" s="152"/>
      <c r="BD17" s="152"/>
      <c r="BE17" s="152"/>
      <c r="BF17" s="152"/>
      <c r="BG17" s="152"/>
      <c r="BH17" s="152"/>
      <c r="BI17" s="152"/>
      <c r="BJ17" s="152"/>
      <c r="BK17" s="152"/>
      <c r="BL17" s="152"/>
      <c r="BM17" s="152"/>
      <c r="BN17" s="152"/>
      <c r="BO17" s="152"/>
      <c r="BP17" s="152"/>
      <c r="BQ17" s="152"/>
      <c r="BR17" s="152"/>
      <c r="BS17" s="152"/>
      <c r="BT17" s="152"/>
      <c r="BU17" s="152"/>
      <c r="BV17" s="152"/>
      <c r="BW17" s="152"/>
      <c r="BX17" s="152"/>
      <c r="BY17" s="152"/>
      <c r="BZ17" s="152"/>
      <c r="CA17" s="152"/>
      <c r="CB17" s="152"/>
      <c r="CC17" s="152"/>
      <c r="CD17" s="152"/>
      <c r="CE17" s="152"/>
      <c r="CF17" s="152"/>
      <c r="CG17" s="152"/>
      <c r="CH17" s="152"/>
      <c r="CI17" s="152"/>
      <c r="CJ17" s="152"/>
      <c r="CK17" s="152"/>
      <c r="CL17" s="152"/>
      <c r="CM17" s="152"/>
      <c r="CN17" s="152"/>
      <c r="CO17" s="152"/>
    </row>
    <row r="18" spans="1:93" ht="12.75" customHeight="1">
      <c r="A18" s="170" t="s">
        <v>43</v>
      </c>
      <c r="B18" s="531">
        <v>37.5</v>
      </c>
      <c r="C18" s="69">
        <v>50</v>
      </c>
      <c r="D18" s="246">
        <v>0.75</v>
      </c>
      <c r="E18" s="369">
        <v>82</v>
      </c>
      <c r="F18" s="69">
        <v>70</v>
      </c>
      <c r="G18" s="196">
        <v>1.1714285714285715</v>
      </c>
      <c r="H18" s="473"/>
      <c r="I18" s="474"/>
      <c r="J18" s="475"/>
      <c r="K18" s="474"/>
      <c r="L18" s="192"/>
      <c r="M18" s="192"/>
      <c r="N18" s="476"/>
      <c r="O18" s="208"/>
      <c r="P18" s="208"/>
      <c r="Q18" s="208"/>
      <c r="R18" s="208"/>
      <c r="S18" s="970"/>
      <c r="T18" s="971"/>
      <c r="U18" s="252"/>
      <c r="V18" s="175"/>
      <c r="W18" s="175"/>
      <c r="X18" s="959"/>
      <c r="Y18" s="175"/>
      <c r="Z18" s="175"/>
      <c r="AA18" s="175"/>
      <c r="AB18" s="194">
        <f t="shared" ref="AB18:AB19" si="29">+B18+E18</f>
        <v>119.5</v>
      </c>
      <c r="AC18" s="69">
        <v>120</v>
      </c>
      <c r="AD18" s="253">
        <f t="shared" si="28"/>
        <v>0.99583333333333335</v>
      </c>
      <c r="AE18" s="76"/>
      <c r="AF18" s="76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69"/>
      <c r="BI18" s="69"/>
      <c r="BJ18" s="69"/>
      <c r="BK18" s="69"/>
      <c r="BL18" s="69"/>
      <c r="BM18" s="69"/>
      <c r="BN18" s="69"/>
      <c r="BO18" s="69"/>
      <c r="BP18" s="69"/>
      <c r="BQ18" s="69"/>
      <c r="BR18" s="69"/>
      <c r="BS18" s="69"/>
      <c r="BT18" s="69"/>
      <c r="BU18" s="69"/>
      <c r="BV18" s="69"/>
      <c r="BW18" s="69"/>
      <c r="BX18" s="69"/>
      <c r="BY18" s="69"/>
      <c r="BZ18" s="69"/>
      <c r="CA18" s="69"/>
      <c r="CB18" s="69"/>
      <c r="CC18" s="69"/>
      <c r="CD18" s="69"/>
      <c r="CE18" s="69"/>
      <c r="CF18" s="69"/>
      <c r="CG18" s="69"/>
      <c r="CH18" s="69"/>
      <c r="CI18" s="69"/>
      <c r="CJ18" s="69"/>
      <c r="CK18" s="69"/>
      <c r="CL18" s="69"/>
      <c r="CM18" s="69"/>
      <c r="CN18" s="69"/>
      <c r="CO18" s="69"/>
    </row>
    <row r="19" spans="1:93" ht="12.75" customHeight="1">
      <c r="A19" s="170" t="s">
        <v>44</v>
      </c>
      <c r="B19" s="531">
        <v>5.5</v>
      </c>
      <c r="C19" s="69">
        <v>0</v>
      </c>
      <c r="D19" s="254">
        <v>1</v>
      </c>
      <c r="E19" s="369">
        <v>109</v>
      </c>
      <c r="F19" s="69">
        <v>110</v>
      </c>
      <c r="G19" s="196">
        <v>0.99090909090909096</v>
      </c>
      <c r="H19" s="473"/>
      <c r="I19" s="474"/>
      <c r="J19" s="475"/>
      <c r="K19" s="474"/>
      <c r="L19" s="192"/>
      <c r="M19" s="192"/>
      <c r="N19" s="476"/>
      <c r="O19" s="208"/>
      <c r="P19" s="208"/>
      <c r="Q19" s="208"/>
      <c r="R19" s="208"/>
      <c r="S19" s="970"/>
      <c r="T19" s="971"/>
      <c r="U19" s="252"/>
      <c r="V19" s="175"/>
      <c r="W19" s="175"/>
      <c r="X19" s="959"/>
      <c r="Y19" s="175"/>
      <c r="Z19" s="175"/>
      <c r="AA19" s="175"/>
      <c r="AB19" s="221">
        <f t="shared" si="29"/>
        <v>114.5</v>
      </c>
      <c r="AC19" s="69">
        <v>119</v>
      </c>
      <c r="AD19" s="256">
        <f t="shared" si="28"/>
        <v>0.96218487394957986</v>
      </c>
      <c r="AE19" s="76"/>
      <c r="AF19" s="76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69"/>
      <c r="BI19" s="69"/>
      <c r="BJ19" s="69"/>
      <c r="BK19" s="69"/>
      <c r="BL19" s="69"/>
      <c r="BM19" s="69"/>
      <c r="BN19" s="69"/>
      <c r="BO19" s="69"/>
      <c r="BP19" s="69"/>
      <c r="BQ19" s="69"/>
      <c r="BR19" s="69"/>
      <c r="BS19" s="69"/>
      <c r="BT19" s="69"/>
      <c r="BU19" s="69"/>
      <c r="BV19" s="69"/>
      <c r="BW19" s="69"/>
      <c r="BX19" s="69"/>
      <c r="BY19" s="69"/>
      <c r="BZ19" s="69"/>
      <c r="CA19" s="69"/>
      <c r="CB19" s="69"/>
      <c r="CC19" s="69"/>
      <c r="CD19" s="69"/>
      <c r="CE19" s="69"/>
      <c r="CF19" s="69"/>
      <c r="CG19" s="69"/>
      <c r="CH19" s="69"/>
      <c r="CI19" s="69"/>
      <c r="CJ19" s="69"/>
      <c r="CK19" s="69"/>
      <c r="CL19" s="69"/>
      <c r="CM19" s="69"/>
      <c r="CN19" s="69"/>
      <c r="CO19" s="69"/>
    </row>
    <row r="20" spans="1:93" ht="12.75" customHeight="1">
      <c r="A20" s="170" t="s">
        <v>45</v>
      </c>
      <c r="B20" s="531">
        <v>10.8</v>
      </c>
      <c r="C20" s="69">
        <v>0</v>
      </c>
      <c r="D20" s="254">
        <v>1</v>
      </c>
      <c r="E20" s="369">
        <v>410</v>
      </c>
      <c r="F20" s="69">
        <v>200</v>
      </c>
      <c r="G20" s="196">
        <v>2.0499999999999998</v>
      </c>
      <c r="H20" s="473"/>
      <c r="I20" s="474"/>
      <c r="J20" s="475"/>
      <c r="K20" s="474"/>
      <c r="L20" s="192"/>
      <c r="M20" s="192"/>
      <c r="N20" s="472"/>
      <c r="O20" s="69"/>
      <c r="P20" s="69"/>
      <c r="Q20" s="69"/>
      <c r="R20" s="69"/>
      <c r="S20" s="970"/>
      <c r="T20" s="971"/>
      <c r="U20" s="257"/>
      <c r="V20" s="175"/>
      <c r="W20" s="175"/>
      <c r="X20" s="959"/>
      <c r="Y20" s="175"/>
      <c r="Z20" s="175"/>
      <c r="AA20" s="175"/>
      <c r="AB20" s="194">
        <f>B20+E20</f>
        <v>420.8</v>
      </c>
      <c r="AC20" s="69">
        <v>401</v>
      </c>
      <c r="AD20" s="256">
        <f t="shared" si="28"/>
        <v>1.0493765586034913</v>
      </c>
      <c r="AE20" s="76"/>
      <c r="AF20" s="76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69"/>
      <c r="BI20" s="69"/>
      <c r="BJ20" s="69"/>
      <c r="BK20" s="69"/>
      <c r="BL20" s="69"/>
      <c r="BM20" s="69"/>
      <c r="BN20" s="69"/>
      <c r="BO20" s="69"/>
      <c r="BP20" s="69"/>
      <c r="BQ20" s="69"/>
      <c r="BR20" s="69"/>
      <c r="BS20" s="69"/>
      <c r="BT20" s="69"/>
      <c r="BU20" s="69"/>
      <c r="BV20" s="69"/>
      <c r="BW20" s="69"/>
      <c r="BX20" s="69"/>
      <c r="BY20" s="69"/>
      <c r="BZ20" s="69"/>
      <c r="CA20" s="69"/>
      <c r="CB20" s="69"/>
      <c r="CC20" s="69"/>
      <c r="CD20" s="69"/>
      <c r="CE20" s="69"/>
      <c r="CF20" s="69"/>
      <c r="CG20" s="69"/>
      <c r="CH20" s="69"/>
      <c r="CI20" s="69"/>
      <c r="CJ20" s="69"/>
      <c r="CK20" s="69"/>
      <c r="CL20" s="69"/>
      <c r="CM20" s="69"/>
      <c r="CN20" s="69"/>
      <c r="CO20" s="69"/>
    </row>
    <row r="21" spans="1:93" ht="12.75" customHeight="1">
      <c r="A21" s="170" t="s">
        <v>46</v>
      </c>
      <c r="B21" s="259"/>
      <c r="C21" s="260"/>
      <c r="D21" s="261"/>
      <c r="E21" s="369">
        <v>0</v>
      </c>
      <c r="F21" s="69">
        <v>142</v>
      </c>
      <c r="G21" s="196">
        <v>0</v>
      </c>
      <c r="H21" s="365">
        <v>63</v>
      </c>
      <c r="I21" s="77">
        <v>25</v>
      </c>
      <c r="J21" s="366">
        <v>112</v>
      </c>
      <c r="K21" s="405">
        <v>38.5</v>
      </c>
      <c r="L21" s="299">
        <f t="shared" ref="L21:L22" si="30">H21+I21+J21+K21</f>
        <v>238.5</v>
      </c>
      <c r="M21" s="298">
        <v>230</v>
      </c>
      <c r="N21" s="196">
        <f t="shared" ref="N21:N30" si="31">L21/M21</f>
        <v>1.0369565217391303</v>
      </c>
      <c r="O21" s="208"/>
      <c r="P21" s="70">
        <v>56</v>
      </c>
      <c r="Q21" s="69">
        <v>33.5</v>
      </c>
      <c r="R21" s="208"/>
      <c r="S21" s="166">
        <f>O21+P21+Q21+R21</f>
        <v>89.5</v>
      </c>
      <c r="T21" s="972">
        <v>120</v>
      </c>
      <c r="U21" s="196">
        <f>S21/T21</f>
        <v>0.74583333333333335</v>
      </c>
      <c r="V21" s="531"/>
      <c r="W21" s="175"/>
      <c r="X21" s="959"/>
      <c r="Y21" s="175"/>
      <c r="Z21" s="175"/>
      <c r="AA21" s="175"/>
      <c r="AB21" s="194">
        <f>+E21+L21+S21</f>
        <v>328</v>
      </c>
      <c r="AC21" s="220">
        <f>M21+T21-30</f>
        <v>320</v>
      </c>
      <c r="AD21" s="256">
        <f t="shared" si="28"/>
        <v>1.0249999999999999</v>
      </c>
      <c r="AE21" s="76"/>
      <c r="AF21" s="76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69"/>
      <c r="BK21" s="69"/>
      <c r="BL21" s="69"/>
      <c r="BM21" s="69"/>
      <c r="BN21" s="69"/>
      <c r="BO21" s="69"/>
      <c r="BP21" s="69"/>
      <c r="BQ21" s="69"/>
      <c r="BR21" s="69"/>
      <c r="BS21" s="69"/>
      <c r="BT21" s="69"/>
      <c r="BU21" s="69"/>
      <c r="BV21" s="69"/>
      <c r="BW21" s="69"/>
      <c r="BX21" s="69"/>
      <c r="BY21" s="69"/>
      <c r="BZ21" s="69"/>
      <c r="CA21" s="69"/>
      <c r="CB21" s="69"/>
      <c r="CC21" s="69"/>
      <c r="CD21" s="69"/>
      <c r="CE21" s="69"/>
      <c r="CF21" s="69"/>
      <c r="CG21" s="69"/>
      <c r="CH21" s="69"/>
      <c r="CI21" s="69"/>
      <c r="CJ21" s="69"/>
      <c r="CK21" s="69"/>
      <c r="CL21" s="69"/>
      <c r="CM21" s="69"/>
      <c r="CN21" s="69"/>
      <c r="CO21" s="69"/>
    </row>
    <row r="22" spans="1:93" ht="12.75" customHeight="1">
      <c r="A22" s="119" t="s">
        <v>50</v>
      </c>
      <c r="B22" s="271"/>
      <c r="C22" s="272"/>
      <c r="D22" s="273"/>
      <c r="E22" s="271"/>
      <c r="F22" s="272"/>
      <c r="G22" s="506"/>
      <c r="H22" s="547"/>
      <c r="I22" s="508">
        <v>41</v>
      </c>
      <c r="J22" s="393">
        <f>M22-I22</f>
        <v>129</v>
      </c>
      <c r="K22" s="392"/>
      <c r="L22" s="293">
        <f t="shared" si="30"/>
        <v>170</v>
      </c>
      <c r="M22" s="294">
        <v>170</v>
      </c>
      <c r="N22" s="506">
        <f t="shared" si="31"/>
        <v>1</v>
      </c>
      <c r="O22" s="874"/>
      <c r="P22" s="874"/>
      <c r="Q22" s="874"/>
      <c r="R22" s="874"/>
      <c r="S22" s="875"/>
      <c r="T22" s="876"/>
      <c r="U22" s="274"/>
      <c r="V22" s="236"/>
      <c r="W22" s="235"/>
      <c r="X22" s="973"/>
      <c r="Y22" s="235"/>
      <c r="Z22" s="235"/>
      <c r="AA22" s="235"/>
      <c r="AB22" s="283">
        <f t="shared" ref="AB22:AB23" si="32">L22</f>
        <v>170</v>
      </c>
      <c r="AC22" s="237">
        <v>170</v>
      </c>
      <c r="AD22" s="879">
        <f t="shared" si="28"/>
        <v>1</v>
      </c>
      <c r="AE22" s="76"/>
      <c r="AF22" s="76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69"/>
      <c r="BH22" s="69"/>
      <c r="BI22" s="69"/>
      <c r="BJ22" s="69"/>
      <c r="BK22" s="69"/>
      <c r="BL22" s="69"/>
      <c r="BM22" s="69"/>
      <c r="BN22" s="69"/>
      <c r="BO22" s="69"/>
      <c r="BP22" s="69"/>
      <c r="BQ22" s="69"/>
      <c r="BR22" s="69"/>
      <c r="BS22" s="69"/>
      <c r="BT22" s="69"/>
      <c r="BU22" s="69"/>
      <c r="BV22" s="69"/>
      <c r="BW22" s="69"/>
      <c r="BX22" s="69"/>
      <c r="BY22" s="69"/>
      <c r="BZ22" s="69"/>
      <c r="CA22" s="69"/>
      <c r="CB22" s="69"/>
      <c r="CC22" s="69"/>
      <c r="CD22" s="69"/>
      <c r="CE22" s="69"/>
      <c r="CF22" s="69"/>
      <c r="CG22" s="69"/>
      <c r="CH22" s="69"/>
      <c r="CI22" s="69"/>
      <c r="CJ22" s="69"/>
      <c r="CK22" s="69"/>
      <c r="CL22" s="69"/>
      <c r="CM22" s="69"/>
      <c r="CN22" s="69"/>
      <c r="CO22" s="69"/>
    </row>
    <row r="23" spans="1:93" ht="12.75" customHeight="1">
      <c r="A23" s="153" t="s">
        <v>53</v>
      </c>
      <c r="B23" s="286"/>
      <c r="C23" s="287"/>
      <c r="D23" s="112"/>
      <c r="E23" s="288"/>
      <c r="F23" s="289"/>
      <c r="G23" s="242"/>
      <c r="H23" s="290"/>
      <c r="I23" s="290"/>
      <c r="J23" s="291"/>
      <c r="K23" s="292">
        <v>304.5</v>
      </c>
      <c r="L23" s="293">
        <f>K23</f>
        <v>304.5</v>
      </c>
      <c r="M23" s="294">
        <v>300</v>
      </c>
      <c r="N23" s="506">
        <f t="shared" si="31"/>
        <v>1.0149999999999999</v>
      </c>
      <c r="O23" s="295"/>
      <c r="P23" s="295"/>
      <c r="Q23" s="295"/>
      <c r="R23" s="295"/>
      <c r="S23" s="296"/>
      <c r="T23" s="297"/>
      <c r="U23" s="506"/>
      <c r="V23" s="974"/>
      <c r="W23" s="956"/>
      <c r="X23" s="975"/>
      <c r="Y23" s="300"/>
      <c r="Z23" s="300"/>
      <c r="AA23" s="300"/>
      <c r="AB23" s="194">
        <f t="shared" si="32"/>
        <v>304.5</v>
      </c>
      <c r="AC23" s="69">
        <v>300</v>
      </c>
      <c r="AD23" s="253">
        <f t="shared" si="28"/>
        <v>1.0149999999999999</v>
      </c>
      <c r="AE23" s="76"/>
      <c r="AF23" s="976"/>
      <c r="AG23" s="152"/>
      <c r="AH23" s="152"/>
      <c r="AI23" s="152"/>
      <c r="AJ23" s="368"/>
      <c r="AK23" s="152"/>
      <c r="AL23" s="152"/>
      <c r="AM23" s="152"/>
      <c r="AN23" s="152"/>
      <c r="AO23" s="152"/>
      <c r="AP23" s="152"/>
      <c r="AQ23" s="152"/>
      <c r="AR23" s="152"/>
      <c r="AS23" s="152"/>
      <c r="AT23" s="152"/>
      <c r="AU23" s="152"/>
      <c r="AV23" s="152"/>
      <c r="AW23" s="152"/>
      <c r="AX23" s="152"/>
      <c r="AY23" s="152"/>
      <c r="AZ23" s="152"/>
      <c r="BA23" s="152"/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  <c r="BM23" s="152"/>
      <c r="BN23" s="152"/>
      <c r="BO23" s="152"/>
      <c r="BP23" s="152"/>
      <c r="BQ23" s="152"/>
      <c r="BR23" s="152"/>
      <c r="BS23" s="152"/>
      <c r="BT23" s="152"/>
      <c r="BU23" s="152"/>
      <c r="BV23" s="152"/>
      <c r="BW23" s="152"/>
      <c r="BX23" s="152"/>
      <c r="BY23" s="152"/>
      <c r="BZ23" s="152"/>
      <c r="CA23" s="152"/>
      <c r="CB23" s="152"/>
      <c r="CC23" s="152"/>
      <c r="CD23" s="152"/>
      <c r="CE23" s="152"/>
      <c r="CF23" s="152"/>
      <c r="CG23" s="152"/>
      <c r="CH23" s="152"/>
      <c r="CI23" s="152"/>
      <c r="CJ23" s="152"/>
      <c r="CK23" s="152"/>
      <c r="CL23" s="152"/>
      <c r="CM23" s="152"/>
      <c r="CN23" s="152"/>
      <c r="CO23" s="152"/>
    </row>
    <row r="24" spans="1:93" ht="12.75" customHeight="1">
      <c r="A24" s="303" t="s">
        <v>54</v>
      </c>
      <c r="B24" s="304">
        <v>78460060</v>
      </c>
      <c r="C24" s="305">
        <v>98369909</v>
      </c>
      <c r="D24" s="189">
        <v>0.79760224236864952</v>
      </c>
      <c r="E24" s="306">
        <f>+E28+E25+E26+E27</f>
        <v>1681151147</v>
      </c>
      <c r="F24" s="307">
        <v>2167175500</v>
      </c>
      <c r="G24" s="241">
        <v>0.84862223029317085</v>
      </c>
      <c r="H24" s="308">
        <f t="shared" ref="H24:K24" si="33">+H28+H25+H26+H27</f>
        <v>828181645</v>
      </c>
      <c r="I24" s="313">
        <f t="shared" si="33"/>
        <v>702793972</v>
      </c>
      <c r="J24" s="309">
        <f t="shared" si="33"/>
        <v>747002069</v>
      </c>
      <c r="K24" s="310">
        <f t="shared" si="33"/>
        <v>630596500</v>
      </c>
      <c r="L24" s="311">
        <f t="shared" ref="L24:L28" si="34">H24+I24+J24+K24</f>
        <v>2908574186</v>
      </c>
      <c r="M24" s="311">
        <v>2915684102</v>
      </c>
      <c r="N24" s="881">
        <f t="shared" si="31"/>
        <v>0.99756149303173036</v>
      </c>
      <c r="O24" s="312">
        <f t="shared" ref="O24:Q24" si="35">+O25+O26+O27+O28</f>
        <v>818088603</v>
      </c>
      <c r="P24" s="312">
        <f t="shared" si="35"/>
        <v>1055052802</v>
      </c>
      <c r="Q24" s="312">
        <f t="shared" si="35"/>
        <v>1189548717</v>
      </c>
      <c r="R24" s="312"/>
      <c r="S24" s="314">
        <f t="shared" ref="S24:S31" si="36">O24+P24+Q24+R24</f>
        <v>3062690122</v>
      </c>
      <c r="T24" s="314">
        <v>3662733297</v>
      </c>
      <c r="U24" s="977">
        <f t="shared" ref="U24:U31" si="37">S24/T24</f>
        <v>0.83617612139779007</v>
      </c>
      <c r="V24" s="978"/>
      <c r="W24" s="312">
        <v>4799889444</v>
      </c>
      <c r="X24" s="979"/>
      <c r="Y24" s="315"/>
      <c r="Z24" s="315"/>
      <c r="AA24" s="315"/>
      <c r="AB24" s="793">
        <f t="shared" ref="AB24:AB28" si="38">+B24+E24+L24+S24+V24+Y24</f>
        <v>7730875515</v>
      </c>
      <c r="AC24" s="793">
        <v>13455879321</v>
      </c>
      <c r="AD24" s="189">
        <f t="shared" si="28"/>
        <v>0.5745351404077147</v>
      </c>
      <c r="AE24" s="606">
        <v>7730875515</v>
      </c>
      <c r="AF24" s="606">
        <f>T24-S24</f>
        <v>600043175</v>
      </c>
      <c r="AG24" s="980">
        <f>AE24+AF24</f>
        <v>8330918690</v>
      </c>
      <c r="AH24" s="980">
        <f>AG24-AC24</f>
        <v>-5124960631</v>
      </c>
      <c r="AI24" s="152"/>
      <c r="AJ24" s="368"/>
      <c r="AK24" s="152"/>
      <c r="AL24" s="152"/>
      <c r="AM24" s="152"/>
      <c r="AN24" s="152"/>
      <c r="AO24" s="152"/>
      <c r="AP24" s="152"/>
      <c r="AQ24" s="152"/>
      <c r="AR24" s="152"/>
      <c r="AS24" s="152"/>
      <c r="AT24" s="152"/>
      <c r="AU24" s="152"/>
      <c r="AV24" s="152"/>
      <c r="AW24" s="152"/>
      <c r="AX24" s="152"/>
      <c r="AY24" s="152"/>
      <c r="AZ24" s="152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  <c r="BM24" s="152"/>
      <c r="BN24" s="152"/>
      <c r="BO24" s="152"/>
      <c r="BP24" s="152"/>
      <c r="BQ24" s="152"/>
      <c r="BR24" s="152"/>
      <c r="BS24" s="152"/>
      <c r="BT24" s="152"/>
      <c r="BU24" s="152"/>
      <c r="BV24" s="152"/>
      <c r="BW24" s="152"/>
      <c r="BX24" s="152"/>
      <c r="BY24" s="152"/>
      <c r="BZ24" s="152"/>
      <c r="CA24" s="152"/>
      <c r="CB24" s="152"/>
      <c r="CC24" s="152"/>
      <c r="CD24" s="152"/>
      <c r="CE24" s="152"/>
      <c r="CF24" s="152"/>
      <c r="CG24" s="152"/>
      <c r="CH24" s="152"/>
      <c r="CI24" s="152"/>
      <c r="CJ24" s="152"/>
      <c r="CK24" s="152"/>
      <c r="CL24" s="152"/>
      <c r="CM24" s="152"/>
      <c r="CN24" s="152"/>
      <c r="CO24" s="152"/>
    </row>
    <row r="25" spans="1:93" ht="12.75" customHeight="1">
      <c r="A25" s="170" t="s">
        <v>44</v>
      </c>
      <c r="B25" s="316">
        <v>16595000</v>
      </c>
      <c r="C25" s="317">
        <v>22741430.575268816</v>
      </c>
      <c r="D25" s="118">
        <v>0.72972542097008508</v>
      </c>
      <c r="E25" s="317">
        <v>56116530</v>
      </c>
      <c r="F25" s="317">
        <v>307777203.07778049</v>
      </c>
      <c r="G25" s="200">
        <v>0.18144106659481021</v>
      </c>
      <c r="H25" s="320">
        <v>62926240</v>
      </c>
      <c r="I25" s="321">
        <v>43354698</v>
      </c>
      <c r="J25" s="321">
        <v>37179451</v>
      </c>
      <c r="K25" s="322">
        <v>21166733</v>
      </c>
      <c r="L25" s="323">
        <f t="shared" si="34"/>
        <v>164627122</v>
      </c>
      <c r="M25" s="323">
        <v>454037416</v>
      </c>
      <c r="N25" s="333">
        <f t="shared" si="31"/>
        <v>0.36258492405832915</v>
      </c>
      <c r="O25" s="70">
        <v>46066350</v>
      </c>
      <c r="P25" s="70">
        <v>59314511</v>
      </c>
      <c r="Q25" s="70">
        <v>65467120</v>
      </c>
      <c r="R25" s="981"/>
      <c r="S25" s="326">
        <f t="shared" si="36"/>
        <v>170847981</v>
      </c>
      <c r="T25" s="327">
        <v>180000000</v>
      </c>
      <c r="U25" s="333">
        <f t="shared" si="37"/>
        <v>0.94915545000000001</v>
      </c>
      <c r="V25" s="709"/>
      <c r="W25" s="324" t="s">
        <v>150</v>
      </c>
      <c r="X25" s="982"/>
      <c r="Y25" s="324"/>
      <c r="Z25" s="324"/>
      <c r="AA25" s="324"/>
      <c r="AB25" s="795">
        <f t="shared" si="38"/>
        <v>408186633</v>
      </c>
      <c r="AC25" s="322">
        <f t="shared" ref="AC25:AC28" si="39">$AC$24*AE25</f>
        <v>0</v>
      </c>
      <c r="AD25" s="246" t="e">
        <f t="shared" si="28"/>
        <v>#DIV/0!</v>
      </c>
      <c r="AE25" s="983"/>
      <c r="AF25" s="895"/>
      <c r="AG25" s="69"/>
      <c r="AH25" s="69"/>
      <c r="AI25" s="984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  <c r="BM25" s="69"/>
      <c r="BN25" s="69"/>
      <c r="BO25" s="69"/>
      <c r="BP25" s="69"/>
      <c r="BQ25" s="69"/>
      <c r="BR25" s="69"/>
      <c r="BS25" s="69"/>
      <c r="BT25" s="69"/>
      <c r="BU25" s="69"/>
      <c r="BV25" s="69"/>
      <c r="BW25" s="69"/>
      <c r="BX25" s="69"/>
      <c r="BY25" s="69"/>
      <c r="BZ25" s="69"/>
      <c r="CA25" s="69"/>
      <c r="CB25" s="69"/>
      <c r="CC25" s="69"/>
      <c r="CD25" s="69"/>
      <c r="CE25" s="69"/>
      <c r="CF25" s="69"/>
      <c r="CG25" s="69"/>
      <c r="CH25" s="69"/>
      <c r="CI25" s="69"/>
      <c r="CJ25" s="69"/>
      <c r="CK25" s="69"/>
      <c r="CL25" s="69"/>
      <c r="CM25" s="69"/>
      <c r="CN25" s="69"/>
      <c r="CO25" s="69"/>
    </row>
    <row r="26" spans="1:93" ht="12.75" customHeight="1">
      <c r="A26" s="170" t="s">
        <v>45</v>
      </c>
      <c r="B26" s="316">
        <v>48754860</v>
      </c>
      <c r="C26" s="317">
        <v>42838508.758064516</v>
      </c>
      <c r="D26" s="41">
        <v>1.1381082445084345</v>
      </c>
      <c r="E26" s="317">
        <v>740115951</v>
      </c>
      <c r="F26" s="317">
        <v>888274633.69560504</v>
      </c>
      <c r="G26" s="200">
        <v>0.82874326933922704</v>
      </c>
      <c r="H26" s="320">
        <v>240731443</v>
      </c>
      <c r="I26" s="321">
        <v>350987910</v>
      </c>
      <c r="J26" s="321">
        <v>442308842</v>
      </c>
      <c r="K26" s="322">
        <v>350134951</v>
      </c>
      <c r="L26" s="323">
        <f t="shared" si="34"/>
        <v>1384163146</v>
      </c>
      <c r="M26" s="323">
        <v>1308608515</v>
      </c>
      <c r="N26" s="333">
        <f t="shared" si="31"/>
        <v>1.0577366188084143</v>
      </c>
      <c r="O26" s="70">
        <v>291390466</v>
      </c>
      <c r="P26" s="70">
        <v>336886441</v>
      </c>
      <c r="Q26" s="70">
        <v>581370354</v>
      </c>
      <c r="R26" s="321"/>
      <c r="S26" s="326">
        <f t="shared" si="36"/>
        <v>1209647261</v>
      </c>
      <c r="T26" s="327">
        <v>1739798316</v>
      </c>
      <c r="U26" s="333">
        <f t="shared" si="37"/>
        <v>0.69528016545108551</v>
      </c>
      <c r="V26" s="709"/>
      <c r="W26" s="324" t="s">
        <v>150</v>
      </c>
      <c r="X26" s="982"/>
      <c r="Y26" s="324"/>
      <c r="Z26" s="324"/>
      <c r="AA26" s="324"/>
      <c r="AB26" s="795">
        <f t="shared" si="38"/>
        <v>3382681218</v>
      </c>
      <c r="AC26" s="322">
        <f t="shared" si="39"/>
        <v>0</v>
      </c>
      <c r="AD26" s="246" t="e">
        <f t="shared" si="28"/>
        <v>#DIV/0!</v>
      </c>
      <c r="AE26" s="983"/>
      <c r="AF26" s="895"/>
      <c r="AG26" s="69"/>
      <c r="AH26" s="69"/>
      <c r="AI26" s="984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69"/>
      <c r="BH26" s="69"/>
      <c r="BI26" s="69"/>
      <c r="BJ26" s="69"/>
      <c r="BK26" s="69"/>
      <c r="BL26" s="69"/>
      <c r="BM26" s="69"/>
      <c r="BN26" s="69"/>
      <c r="BO26" s="69"/>
      <c r="BP26" s="69"/>
      <c r="BQ26" s="69"/>
      <c r="BR26" s="69"/>
      <c r="BS26" s="69"/>
      <c r="BT26" s="69"/>
      <c r="BU26" s="69"/>
      <c r="BV26" s="69"/>
      <c r="BW26" s="69"/>
      <c r="BX26" s="69"/>
      <c r="BY26" s="69"/>
      <c r="BZ26" s="69"/>
      <c r="CA26" s="69"/>
      <c r="CB26" s="69"/>
      <c r="CC26" s="69"/>
      <c r="CD26" s="69"/>
      <c r="CE26" s="69"/>
      <c r="CF26" s="69"/>
      <c r="CG26" s="69"/>
      <c r="CH26" s="69"/>
      <c r="CI26" s="69"/>
      <c r="CJ26" s="69"/>
      <c r="CK26" s="69"/>
      <c r="CL26" s="69"/>
      <c r="CM26" s="69"/>
      <c r="CN26" s="69"/>
      <c r="CO26" s="69"/>
    </row>
    <row r="27" spans="1:93" ht="12.75" customHeight="1">
      <c r="A27" s="170" t="s">
        <v>56</v>
      </c>
      <c r="B27" s="259"/>
      <c r="C27" s="335"/>
      <c r="D27" s="336"/>
      <c r="E27" s="317">
        <v>335984190</v>
      </c>
      <c r="F27" s="317">
        <v>423693292.54863286</v>
      </c>
      <c r="G27" s="200">
        <v>0.79564844647925448</v>
      </c>
      <c r="H27" s="320">
        <v>98159082</v>
      </c>
      <c r="I27" s="321">
        <v>40843835</v>
      </c>
      <c r="J27" s="321">
        <v>94333564</v>
      </c>
      <c r="K27" s="322">
        <v>197397310</v>
      </c>
      <c r="L27" s="323">
        <f t="shared" si="34"/>
        <v>430733791</v>
      </c>
      <c r="M27" s="324">
        <v>625038521</v>
      </c>
      <c r="N27" s="333">
        <f t="shared" si="31"/>
        <v>0.68913159193911511</v>
      </c>
      <c r="O27" s="70">
        <v>138994475</v>
      </c>
      <c r="P27" s="70">
        <v>306172600</v>
      </c>
      <c r="Q27" s="70">
        <v>311801132</v>
      </c>
      <c r="R27" s="70"/>
      <c r="S27" s="326">
        <f t="shared" si="36"/>
        <v>756968207</v>
      </c>
      <c r="T27" s="327">
        <v>552546660</v>
      </c>
      <c r="U27" s="333">
        <f t="shared" si="37"/>
        <v>1.3699625059718938</v>
      </c>
      <c r="V27" s="709"/>
      <c r="W27" s="324" t="s">
        <v>150</v>
      </c>
      <c r="X27" s="982"/>
      <c r="Y27" s="324"/>
      <c r="Z27" s="324"/>
      <c r="AA27" s="324"/>
      <c r="AB27" s="795">
        <f t="shared" si="38"/>
        <v>1523686188</v>
      </c>
      <c r="AC27" s="322">
        <f t="shared" si="39"/>
        <v>0</v>
      </c>
      <c r="AD27" s="246" t="e">
        <f t="shared" si="28"/>
        <v>#DIV/0!</v>
      </c>
      <c r="AE27" s="983"/>
      <c r="AF27" s="895"/>
      <c r="AG27" s="69"/>
      <c r="AH27" s="69"/>
      <c r="AI27" s="984"/>
      <c r="AJ27" s="69"/>
      <c r="AK27" s="69"/>
      <c r="AL27" s="985"/>
      <c r="AM27" s="69"/>
      <c r="AN27" s="69"/>
      <c r="AO27" s="69"/>
      <c r="AP27" s="69"/>
      <c r="AQ27" s="69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69"/>
      <c r="BF27" s="69"/>
      <c r="BG27" s="69"/>
      <c r="BH27" s="69"/>
      <c r="BI27" s="69"/>
      <c r="BJ27" s="69"/>
      <c r="BK27" s="69"/>
      <c r="BL27" s="69"/>
      <c r="BM27" s="69"/>
      <c r="BN27" s="69"/>
      <c r="BO27" s="69"/>
      <c r="BP27" s="69"/>
      <c r="BQ27" s="69"/>
      <c r="BR27" s="69"/>
      <c r="BS27" s="69"/>
      <c r="BT27" s="69"/>
      <c r="BU27" s="69"/>
      <c r="BV27" s="69"/>
      <c r="BW27" s="69"/>
      <c r="BX27" s="69"/>
      <c r="BY27" s="69"/>
      <c r="BZ27" s="69"/>
      <c r="CA27" s="69"/>
      <c r="CB27" s="69"/>
      <c r="CC27" s="69"/>
      <c r="CD27" s="69"/>
      <c r="CE27" s="69"/>
      <c r="CF27" s="69"/>
      <c r="CG27" s="69"/>
      <c r="CH27" s="69"/>
      <c r="CI27" s="69"/>
      <c r="CJ27" s="69"/>
      <c r="CK27" s="69"/>
      <c r="CL27" s="69"/>
      <c r="CM27" s="69"/>
      <c r="CN27" s="69"/>
      <c r="CO27" s="69"/>
    </row>
    <row r="28" spans="1:93" ht="12.75" customHeight="1">
      <c r="A28" s="170" t="s">
        <v>55</v>
      </c>
      <c r="B28" s="316">
        <v>13110200</v>
      </c>
      <c r="C28" s="317">
        <v>32789969.666666664</v>
      </c>
      <c r="D28" s="118">
        <v>0.39982348667212858</v>
      </c>
      <c r="E28" s="317">
        <v>548934476</v>
      </c>
      <c r="F28" s="317">
        <v>359457439.31650943</v>
      </c>
      <c r="G28" s="318">
        <v>1.5314451164141387</v>
      </c>
      <c r="H28" s="319">
        <v>426364880</v>
      </c>
      <c r="I28" s="321">
        <v>267607529</v>
      </c>
      <c r="J28" s="321">
        <v>173180212</v>
      </c>
      <c r="K28" s="322">
        <v>61897506</v>
      </c>
      <c r="L28" s="323">
        <f t="shared" si="34"/>
        <v>929050127</v>
      </c>
      <c r="M28" s="324">
        <v>527999651</v>
      </c>
      <c r="N28" s="333">
        <f t="shared" si="31"/>
        <v>1.759565797516029</v>
      </c>
      <c r="O28" s="70">
        <v>341637312</v>
      </c>
      <c r="P28" s="70">
        <v>352679250</v>
      </c>
      <c r="Q28" s="70">
        <v>230910111</v>
      </c>
      <c r="R28" s="70"/>
      <c r="S28" s="326">
        <f t="shared" si="36"/>
        <v>925226673</v>
      </c>
      <c r="T28" s="327">
        <v>1190388321</v>
      </c>
      <c r="U28" s="333">
        <f t="shared" si="37"/>
        <v>0.77724777425802716</v>
      </c>
      <c r="V28" s="709"/>
      <c r="W28" s="324" t="s">
        <v>150</v>
      </c>
      <c r="X28" s="982"/>
      <c r="Y28" s="324"/>
      <c r="Z28" s="324"/>
      <c r="AA28" s="324"/>
      <c r="AB28" s="795">
        <f t="shared" si="38"/>
        <v>2416321476</v>
      </c>
      <c r="AC28" s="322">
        <f t="shared" si="39"/>
        <v>0</v>
      </c>
      <c r="AD28" s="246" t="e">
        <f t="shared" si="28"/>
        <v>#DIV/0!</v>
      </c>
      <c r="AE28" s="986"/>
      <c r="AF28" s="895"/>
      <c r="AG28" s="69"/>
      <c r="AH28" s="69"/>
      <c r="AI28" s="984"/>
      <c r="AJ28" s="69"/>
      <c r="AK28" s="69"/>
      <c r="AL28" s="69"/>
      <c r="AM28" s="69"/>
      <c r="AN28" s="69"/>
      <c r="AO28" s="69"/>
      <c r="AP28" s="69"/>
      <c r="AQ28" s="69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69"/>
      <c r="BF28" s="69"/>
      <c r="BG28" s="69"/>
      <c r="BH28" s="69"/>
      <c r="BI28" s="69"/>
      <c r="BJ28" s="69"/>
      <c r="BK28" s="69"/>
      <c r="BL28" s="69"/>
      <c r="BM28" s="69"/>
      <c r="BN28" s="69"/>
      <c r="BO28" s="69"/>
      <c r="BP28" s="69"/>
      <c r="BQ28" s="69"/>
      <c r="BR28" s="69"/>
      <c r="BS28" s="69"/>
      <c r="BT28" s="69"/>
      <c r="BU28" s="69"/>
      <c r="BV28" s="69"/>
      <c r="BW28" s="69"/>
      <c r="BX28" s="69"/>
      <c r="BY28" s="69"/>
      <c r="BZ28" s="69"/>
      <c r="CA28" s="69"/>
      <c r="CB28" s="69"/>
      <c r="CC28" s="69"/>
      <c r="CD28" s="69"/>
      <c r="CE28" s="69"/>
      <c r="CF28" s="69"/>
      <c r="CG28" s="69"/>
      <c r="CH28" s="69"/>
      <c r="CI28" s="69"/>
      <c r="CJ28" s="69"/>
      <c r="CK28" s="69"/>
      <c r="CL28" s="69"/>
      <c r="CM28" s="69"/>
      <c r="CN28" s="69"/>
      <c r="CO28" s="69"/>
    </row>
    <row r="29" spans="1:93" ht="12.75" customHeight="1">
      <c r="A29" s="119" t="s">
        <v>57</v>
      </c>
      <c r="B29" s="271"/>
      <c r="C29" s="337"/>
      <c r="D29" s="338"/>
      <c r="E29" s="339">
        <v>14.8</v>
      </c>
      <c r="F29" s="340"/>
      <c r="G29" s="341"/>
      <c r="H29" s="987">
        <v>14.4</v>
      </c>
      <c r="I29" s="988">
        <v>7.6</v>
      </c>
      <c r="J29" s="989">
        <v>10.6</v>
      </c>
      <c r="K29" s="987">
        <v>5.5</v>
      </c>
      <c r="L29" s="344">
        <f>+H29+I29+J29+K29</f>
        <v>38.1</v>
      </c>
      <c r="M29" s="235">
        <v>30</v>
      </c>
      <c r="N29" s="467">
        <f t="shared" si="31"/>
        <v>1.27</v>
      </c>
      <c r="O29" s="201">
        <v>11.8</v>
      </c>
      <c r="P29" s="201">
        <v>16.600000000000001</v>
      </c>
      <c r="Q29" s="201">
        <v>9.1</v>
      </c>
      <c r="R29" s="70"/>
      <c r="S29" s="397">
        <f t="shared" si="36"/>
        <v>37.5</v>
      </c>
      <c r="T29" s="347">
        <v>30</v>
      </c>
      <c r="U29" s="467">
        <f t="shared" si="37"/>
        <v>1.25</v>
      </c>
      <c r="V29" s="990"/>
      <c r="W29" s="991">
        <v>30</v>
      </c>
      <c r="X29" s="992"/>
      <c r="Y29" s="344"/>
      <c r="Z29" s="344"/>
      <c r="AA29" s="344"/>
      <c r="AB29" s="894">
        <f>+E29+L29+S29+V29</f>
        <v>90.4</v>
      </c>
      <c r="AC29" s="350">
        <v>90</v>
      </c>
      <c r="AD29" s="246">
        <f t="shared" si="28"/>
        <v>1.0044444444444445</v>
      </c>
      <c r="AE29" s="895"/>
      <c r="AF29" s="895"/>
      <c r="AG29" s="69"/>
      <c r="AH29" s="69"/>
      <c r="AI29" s="984"/>
      <c r="AJ29" s="69"/>
      <c r="AK29" s="69"/>
      <c r="AL29" s="985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69"/>
      <c r="BM29" s="69"/>
      <c r="BN29" s="69"/>
      <c r="BO29" s="69"/>
      <c r="BP29" s="69"/>
      <c r="BQ29" s="69"/>
      <c r="BR29" s="69"/>
      <c r="BS29" s="69"/>
      <c r="BT29" s="69"/>
      <c r="BU29" s="69"/>
      <c r="BV29" s="69"/>
      <c r="BW29" s="69"/>
      <c r="BX29" s="69"/>
      <c r="BY29" s="69"/>
      <c r="BZ29" s="69"/>
      <c r="CA29" s="69"/>
      <c r="CB29" s="69"/>
      <c r="CC29" s="69"/>
      <c r="CD29" s="69"/>
      <c r="CE29" s="69"/>
      <c r="CF29" s="69"/>
      <c r="CG29" s="69"/>
      <c r="CH29" s="69"/>
      <c r="CI29" s="69"/>
      <c r="CJ29" s="69"/>
      <c r="CK29" s="69"/>
      <c r="CL29" s="69"/>
      <c r="CM29" s="69"/>
      <c r="CN29" s="69"/>
      <c r="CO29" s="69"/>
    </row>
    <row r="30" spans="1:93" ht="12.75" customHeight="1">
      <c r="A30" s="176" t="s">
        <v>58</v>
      </c>
      <c r="B30" s="993">
        <v>280</v>
      </c>
      <c r="C30" s="382">
        <v>400</v>
      </c>
      <c r="D30" s="902">
        <v>0.7</v>
      </c>
      <c r="E30" s="993">
        <v>52</v>
      </c>
      <c r="F30" s="382">
        <v>250</v>
      </c>
      <c r="G30" s="247">
        <v>0.20799999999999999</v>
      </c>
      <c r="H30" s="994">
        <v>0</v>
      </c>
      <c r="I30" s="995">
        <v>0</v>
      </c>
      <c r="J30" s="996">
        <v>485</v>
      </c>
      <c r="K30" s="997">
        <v>118</v>
      </c>
      <c r="L30" s="359">
        <f>H30+I30+J30+K30</f>
        <v>603</v>
      </c>
      <c r="M30" s="359">
        <v>540</v>
      </c>
      <c r="N30" s="242">
        <f t="shared" si="31"/>
        <v>1.1166666666666667</v>
      </c>
      <c r="O30" s="574"/>
      <c r="P30" s="382">
        <v>1</v>
      </c>
      <c r="Q30" s="382">
        <v>24</v>
      </c>
      <c r="R30" s="382">
        <v>428</v>
      </c>
      <c r="S30" s="380">
        <f t="shared" si="36"/>
        <v>453</v>
      </c>
      <c r="T30" s="995">
        <v>630</v>
      </c>
      <c r="U30" s="977">
        <f t="shared" si="37"/>
        <v>0.71904761904761905</v>
      </c>
      <c r="V30" s="382"/>
      <c r="W30" s="382">
        <v>650</v>
      </c>
      <c r="X30" s="998"/>
      <c r="Y30" s="362"/>
      <c r="Z30" s="362"/>
      <c r="AA30" s="362"/>
      <c r="AB30" s="999">
        <f>B30+E30+L30</f>
        <v>935</v>
      </c>
      <c r="AC30" s="901">
        <v>2470</v>
      </c>
      <c r="AD30" s="902">
        <f t="shared" si="28"/>
        <v>0.37854251012145751</v>
      </c>
      <c r="AE30" s="606">
        <f>AB30+T30</f>
        <v>1565</v>
      </c>
      <c r="AF30" s="76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69"/>
      <c r="BI30" s="69"/>
      <c r="BJ30" s="69"/>
      <c r="BK30" s="69"/>
      <c r="BL30" s="69"/>
      <c r="BM30" s="69"/>
      <c r="BN30" s="69"/>
      <c r="BO30" s="69"/>
      <c r="BP30" s="69"/>
      <c r="BQ30" s="69"/>
      <c r="BR30" s="69"/>
      <c r="BS30" s="69"/>
      <c r="BT30" s="69"/>
      <c r="BU30" s="69"/>
      <c r="BV30" s="69"/>
      <c r="BW30" s="69"/>
      <c r="BX30" s="69"/>
      <c r="BY30" s="69"/>
      <c r="BZ30" s="69"/>
      <c r="CA30" s="69"/>
      <c r="CB30" s="69"/>
      <c r="CC30" s="69"/>
      <c r="CD30" s="69"/>
      <c r="CE30" s="69"/>
      <c r="CF30" s="69"/>
      <c r="CG30" s="69"/>
      <c r="CH30" s="69"/>
      <c r="CI30" s="69"/>
      <c r="CJ30" s="69"/>
      <c r="CK30" s="69"/>
      <c r="CL30" s="69"/>
      <c r="CM30" s="69"/>
      <c r="CN30" s="69"/>
      <c r="CO30" s="69"/>
    </row>
    <row r="31" spans="1:93" ht="12.75" customHeight="1">
      <c r="A31" s="1000" t="s">
        <v>151</v>
      </c>
      <c r="B31" s="363"/>
      <c r="C31" s="152"/>
      <c r="D31" s="364"/>
      <c r="E31" s="363"/>
      <c r="F31" s="152"/>
      <c r="G31" s="196"/>
      <c r="H31" s="365"/>
      <c r="I31" s="77"/>
      <c r="J31" s="366"/>
      <c r="K31" s="77"/>
      <c r="L31" s="299"/>
      <c r="M31" s="299"/>
      <c r="N31" s="200"/>
      <c r="O31" s="906"/>
      <c r="P31" s="395"/>
      <c r="Q31" s="389">
        <v>62</v>
      </c>
      <c r="R31" s="395"/>
      <c r="S31" s="907">
        <f t="shared" si="36"/>
        <v>62</v>
      </c>
      <c r="T31" s="392">
        <v>80</v>
      </c>
      <c r="U31" s="394">
        <f t="shared" si="37"/>
        <v>0.77500000000000002</v>
      </c>
      <c r="V31" s="152"/>
      <c r="W31" s="152">
        <v>20</v>
      </c>
      <c r="X31" s="1001"/>
      <c r="Y31" s="152"/>
      <c r="Z31" s="152"/>
      <c r="AA31" s="152"/>
      <c r="AB31" s="908">
        <f t="shared" ref="AB31:AC31" si="40">S31+V31</f>
        <v>62</v>
      </c>
      <c r="AC31" s="152">
        <f t="shared" si="40"/>
        <v>100</v>
      </c>
      <c r="AD31" s="902">
        <f t="shared" si="28"/>
        <v>0.62</v>
      </c>
      <c r="AE31" s="1002">
        <f>AC30-AE30</f>
        <v>905</v>
      </c>
      <c r="AF31" s="76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69"/>
      <c r="BF31" s="69"/>
      <c r="BG31" s="69"/>
      <c r="BH31" s="69"/>
      <c r="BI31" s="69"/>
      <c r="BJ31" s="69"/>
      <c r="BK31" s="69"/>
      <c r="BL31" s="69"/>
      <c r="BM31" s="69"/>
      <c r="BN31" s="69"/>
      <c r="BO31" s="69"/>
      <c r="BP31" s="69"/>
      <c r="BQ31" s="69"/>
      <c r="BR31" s="69"/>
      <c r="BS31" s="69"/>
      <c r="BT31" s="69"/>
      <c r="BU31" s="69"/>
      <c r="BV31" s="69"/>
      <c r="BW31" s="69"/>
      <c r="BX31" s="69"/>
      <c r="BY31" s="69"/>
      <c r="BZ31" s="69"/>
      <c r="CA31" s="69"/>
      <c r="CB31" s="69"/>
      <c r="CC31" s="69"/>
      <c r="CD31" s="69"/>
      <c r="CE31" s="69"/>
      <c r="CF31" s="69"/>
      <c r="CG31" s="69"/>
      <c r="CH31" s="69"/>
      <c r="CI31" s="69"/>
      <c r="CJ31" s="69"/>
      <c r="CK31" s="69"/>
      <c r="CL31" s="69"/>
      <c r="CM31" s="69"/>
      <c r="CN31" s="69"/>
      <c r="CO31" s="69"/>
    </row>
    <row r="32" spans="1:93" ht="12.75" customHeight="1">
      <c r="A32" s="1003" t="s">
        <v>60</v>
      </c>
      <c r="B32" s="521">
        <f t="shared" ref="B32:U32" si="41">B33</f>
        <v>310</v>
      </c>
      <c r="C32" s="521">
        <f t="shared" si="41"/>
        <v>350</v>
      </c>
      <c r="D32" s="521">
        <f t="shared" si="41"/>
        <v>0.88571428571428568</v>
      </c>
      <c r="E32" s="521">
        <f t="shared" si="41"/>
        <v>231</v>
      </c>
      <c r="F32" s="521">
        <f t="shared" si="41"/>
        <v>346</v>
      </c>
      <c r="G32" s="521">
        <f t="shared" si="41"/>
        <v>0.66763005780346818</v>
      </c>
      <c r="H32" s="521">
        <f t="shared" si="41"/>
        <v>0</v>
      </c>
      <c r="I32" s="521">
        <f t="shared" si="41"/>
        <v>0</v>
      </c>
      <c r="J32" s="521">
        <f t="shared" si="41"/>
        <v>0</v>
      </c>
      <c r="K32" s="521">
        <f t="shared" si="41"/>
        <v>362</v>
      </c>
      <c r="L32" s="521">
        <f t="shared" si="41"/>
        <v>362</v>
      </c>
      <c r="M32" s="521">
        <f t="shared" si="41"/>
        <v>329</v>
      </c>
      <c r="N32" s="521">
        <f t="shared" si="41"/>
        <v>1.1003039513677813</v>
      </c>
      <c r="O32" s="521">
        <f t="shared" si="41"/>
        <v>0</v>
      </c>
      <c r="P32" s="521">
        <f t="shared" si="41"/>
        <v>0</v>
      </c>
      <c r="Q32" s="521">
        <f t="shared" si="41"/>
        <v>0</v>
      </c>
      <c r="R32" s="521">
        <f t="shared" si="41"/>
        <v>0</v>
      </c>
      <c r="S32" s="380">
        <f t="shared" si="41"/>
        <v>0</v>
      </c>
      <c r="T32" s="522">
        <f t="shared" si="41"/>
        <v>443</v>
      </c>
      <c r="U32" s="1004">
        <f t="shared" si="41"/>
        <v>0</v>
      </c>
      <c r="V32" s="1005"/>
      <c r="W32" s="382">
        <v>1305</v>
      </c>
      <c r="X32" s="383"/>
      <c r="Y32" s="1005"/>
      <c r="Z32" s="382"/>
      <c r="AA32" s="383"/>
      <c r="AB32" s="382">
        <f t="shared" ref="AB32:AC32" si="42">AVERAGE(AB33:AB34)</f>
        <v>546.54999999999995</v>
      </c>
      <c r="AC32" s="382">
        <f t="shared" si="42"/>
        <v>971</v>
      </c>
      <c r="AD32" s="575">
        <f t="shared" si="28"/>
        <v>0.56287332646755917</v>
      </c>
      <c r="AE32" s="386"/>
      <c r="AF32" s="76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69"/>
      <c r="BF32" s="69"/>
      <c r="BG32" s="69"/>
      <c r="BH32" s="69"/>
      <c r="BI32" s="69"/>
      <c r="BJ32" s="69"/>
      <c r="BK32" s="69"/>
      <c r="BL32" s="69"/>
      <c r="BM32" s="69"/>
      <c r="BN32" s="69"/>
      <c r="BO32" s="69"/>
      <c r="BP32" s="69"/>
      <c r="BQ32" s="69"/>
      <c r="BR32" s="69"/>
      <c r="BS32" s="69"/>
      <c r="BT32" s="69"/>
      <c r="BU32" s="69"/>
      <c r="BV32" s="69"/>
      <c r="BW32" s="69"/>
      <c r="BX32" s="69"/>
      <c r="BY32" s="69"/>
      <c r="BZ32" s="69"/>
      <c r="CA32" s="69"/>
      <c r="CB32" s="69"/>
      <c r="CC32" s="69"/>
      <c r="CD32" s="69"/>
      <c r="CE32" s="69"/>
      <c r="CF32" s="69"/>
      <c r="CG32" s="69"/>
      <c r="CH32" s="69"/>
      <c r="CI32" s="69"/>
      <c r="CJ32" s="69"/>
      <c r="CK32" s="69"/>
      <c r="CL32" s="69"/>
      <c r="CM32" s="69"/>
      <c r="CN32" s="69"/>
      <c r="CO32" s="69"/>
    </row>
    <row r="33" spans="1:93" ht="12.75" customHeight="1">
      <c r="A33" s="370" t="s">
        <v>152</v>
      </c>
      <c r="B33" s="1006">
        <v>310</v>
      </c>
      <c r="C33" s="152">
        <v>350</v>
      </c>
      <c r="D33" s="377">
        <f t="shared" ref="D33:D34" si="43">B33/C33</f>
        <v>0.88571428571428568</v>
      </c>
      <c r="E33" s="152">
        <v>231</v>
      </c>
      <c r="F33" s="152">
        <v>346</v>
      </c>
      <c r="G33" s="377">
        <f>E33/F33</f>
        <v>0.66763005780346818</v>
      </c>
      <c r="H33" s="1007"/>
      <c r="I33" s="77"/>
      <c r="J33" s="366"/>
      <c r="K33" s="77">
        <v>362</v>
      </c>
      <c r="L33" s="299">
        <f>K33</f>
        <v>362</v>
      </c>
      <c r="M33" s="299">
        <v>329</v>
      </c>
      <c r="N33" s="1004">
        <f t="shared" ref="N33:N34" si="44">L33/M33</f>
        <v>1.1003039513677813</v>
      </c>
      <c r="O33" s="396"/>
      <c r="P33" s="396"/>
      <c r="Q33" s="396"/>
      <c r="R33" s="396"/>
      <c r="S33" s="360">
        <f t="shared" ref="S33:S36" si="45">O33+P33+Q33+R33</f>
        <v>0</v>
      </c>
      <c r="T33" s="77">
        <v>443</v>
      </c>
      <c r="U33" s="1004">
        <f t="shared" ref="U33:U34" si="46">S33/T33</f>
        <v>0</v>
      </c>
      <c r="V33" s="1006"/>
      <c r="W33" s="152">
        <v>637</v>
      </c>
      <c r="X33" s="1008"/>
      <c r="Y33" s="1006"/>
      <c r="Z33" s="152"/>
      <c r="AA33" s="1008"/>
      <c r="AB33" s="1006">
        <f t="shared" ref="AB33:AB34" si="47">L33</f>
        <v>362</v>
      </c>
      <c r="AC33" s="152">
        <v>637</v>
      </c>
      <c r="AD33" s="575">
        <f t="shared" si="28"/>
        <v>0.56828885400313967</v>
      </c>
      <c r="AE33" s="386"/>
      <c r="AF33" s="76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69"/>
      <c r="BF33" s="69"/>
      <c r="BG33" s="69"/>
      <c r="BH33" s="69"/>
      <c r="BI33" s="69"/>
      <c r="BJ33" s="69"/>
      <c r="BK33" s="69"/>
      <c r="BL33" s="69"/>
      <c r="BM33" s="69"/>
      <c r="BN33" s="69"/>
      <c r="BO33" s="69"/>
      <c r="BP33" s="69"/>
      <c r="BQ33" s="69"/>
      <c r="BR33" s="69"/>
      <c r="BS33" s="69"/>
      <c r="BT33" s="69"/>
      <c r="BU33" s="69"/>
      <c r="BV33" s="69"/>
      <c r="BW33" s="69"/>
      <c r="BX33" s="69"/>
      <c r="BY33" s="69"/>
      <c r="BZ33" s="69"/>
      <c r="CA33" s="69"/>
      <c r="CB33" s="69"/>
      <c r="CC33" s="69"/>
      <c r="CD33" s="69"/>
      <c r="CE33" s="69"/>
      <c r="CF33" s="69"/>
      <c r="CG33" s="69"/>
      <c r="CH33" s="69"/>
      <c r="CI33" s="69"/>
      <c r="CJ33" s="69"/>
      <c r="CK33" s="69"/>
      <c r="CL33" s="69"/>
      <c r="CM33" s="69"/>
      <c r="CN33" s="69"/>
      <c r="CO33" s="69"/>
    </row>
    <row r="34" spans="1:93" ht="12.75" hidden="1" customHeight="1">
      <c r="A34" s="387" t="s">
        <v>61</v>
      </c>
      <c r="B34" s="388">
        <v>355</v>
      </c>
      <c r="C34" s="389">
        <v>356</v>
      </c>
      <c r="D34" s="390">
        <f t="shared" si="43"/>
        <v>0.9971910112359551</v>
      </c>
      <c r="E34" s="389">
        <v>519</v>
      </c>
      <c r="F34" s="389">
        <v>561</v>
      </c>
      <c r="G34" s="280">
        <v>0.92513368983957223</v>
      </c>
      <c r="H34" s="391">
        <v>457.3</v>
      </c>
      <c r="I34" s="392">
        <v>93.3</v>
      </c>
      <c r="J34" s="393">
        <v>91.3</v>
      </c>
      <c r="K34" s="392">
        <v>89.2</v>
      </c>
      <c r="L34" s="294">
        <f>H34+I34+J34+K34</f>
        <v>731.1</v>
      </c>
      <c r="M34" s="294">
        <v>844</v>
      </c>
      <c r="N34" s="394">
        <f t="shared" si="44"/>
        <v>0.86623222748815165</v>
      </c>
      <c r="O34" s="395"/>
      <c r="P34" s="396"/>
      <c r="Q34" s="395"/>
      <c r="R34" s="395"/>
      <c r="S34" s="397">
        <f t="shared" si="45"/>
        <v>0</v>
      </c>
      <c r="T34" s="77">
        <v>1082</v>
      </c>
      <c r="U34" s="394">
        <f t="shared" si="46"/>
        <v>0</v>
      </c>
      <c r="V34" s="388"/>
      <c r="W34" s="389">
        <v>1305</v>
      </c>
      <c r="X34" s="398"/>
      <c r="Y34" s="388"/>
      <c r="Z34" s="389"/>
      <c r="AA34" s="398"/>
      <c r="AB34" s="388">
        <f t="shared" si="47"/>
        <v>731.1</v>
      </c>
      <c r="AC34" s="389">
        <v>1305</v>
      </c>
      <c r="AD34" s="575">
        <f t="shared" si="28"/>
        <v>0.56022988505747129</v>
      </c>
      <c r="AE34" s="386"/>
      <c r="AF34" s="76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69"/>
      <c r="CM34" s="69"/>
      <c r="CN34" s="69"/>
      <c r="CO34" s="69"/>
    </row>
    <row r="35" spans="1:93" ht="27" customHeight="1">
      <c r="A35" s="416" t="s">
        <v>153</v>
      </c>
      <c r="B35" s="417"/>
      <c r="C35" s="418"/>
      <c r="D35" s="419"/>
      <c r="E35" s="417"/>
      <c r="F35" s="418"/>
      <c r="G35" s="420"/>
      <c r="H35" s="421"/>
      <c r="I35" s="422"/>
      <c r="J35" s="423"/>
      <c r="K35" s="422"/>
      <c r="L35" s="424"/>
      <c r="M35" s="424"/>
      <c r="N35" s="425"/>
      <c r="O35" s="368"/>
      <c r="P35" s="368"/>
      <c r="Q35" s="368"/>
      <c r="R35" s="368"/>
      <c r="S35" s="426">
        <f t="shared" si="45"/>
        <v>0</v>
      </c>
      <c r="T35" s="405" t="s">
        <v>64</v>
      </c>
      <c r="U35" s="584"/>
      <c r="V35" s="417"/>
      <c r="W35" s="1009">
        <v>0.9</v>
      </c>
      <c r="X35" s="1010"/>
      <c r="Y35" s="406"/>
      <c r="Z35" s="406"/>
      <c r="AA35" s="406"/>
      <c r="AB35" s="565">
        <f t="shared" ref="AB35:AC35" si="48">+S35</f>
        <v>0</v>
      </c>
      <c r="AC35" s="368" t="str">
        <f t="shared" si="48"/>
        <v>LB</v>
      </c>
      <c r="AD35" s="364" t="e">
        <f t="shared" si="28"/>
        <v>#VALUE!</v>
      </c>
      <c r="AE35" s="76"/>
      <c r="AF35" s="76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69"/>
      <c r="BI35" s="69"/>
      <c r="BJ35" s="69"/>
      <c r="BK35" s="69"/>
      <c r="BL35" s="69"/>
      <c r="BM35" s="69"/>
      <c r="BN35" s="69"/>
      <c r="BO35" s="69"/>
      <c r="BP35" s="69"/>
      <c r="BQ35" s="69"/>
      <c r="BR35" s="69"/>
      <c r="BS35" s="69"/>
      <c r="BT35" s="69"/>
      <c r="BU35" s="69"/>
      <c r="BV35" s="69"/>
      <c r="BW35" s="69"/>
      <c r="BX35" s="69"/>
      <c r="BY35" s="69"/>
      <c r="BZ35" s="69"/>
      <c r="CA35" s="69"/>
      <c r="CB35" s="69"/>
      <c r="CC35" s="69"/>
      <c r="CD35" s="69"/>
      <c r="CE35" s="69"/>
      <c r="CF35" s="69"/>
      <c r="CG35" s="69"/>
      <c r="CH35" s="69"/>
      <c r="CI35" s="69"/>
      <c r="CJ35" s="69"/>
      <c r="CK35" s="69"/>
      <c r="CL35" s="69"/>
      <c r="CM35" s="69"/>
      <c r="CN35" s="69"/>
      <c r="CO35" s="69"/>
    </row>
    <row r="36" spans="1:93" ht="27" customHeight="1">
      <c r="A36" s="432" t="s">
        <v>65</v>
      </c>
      <c r="B36" s="433"/>
      <c r="C36" s="434"/>
      <c r="D36" s="435"/>
      <c r="E36" s="433"/>
      <c r="F36" s="434"/>
      <c r="G36" s="436"/>
      <c r="H36" s="437"/>
      <c r="I36" s="438"/>
      <c r="J36" s="439"/>
      <c r="K36" s="438"/>
      <c r="L36" s="440"/>
      <c r="M36" s="440"/>
      <c r="N36" s="441"/>
      <c r="O36" s="442"/>
      <c r="P36" s="442"/>
      <c r="Q36" s="442"/>
      <c r="R36" s="442"/>
      <c r="S36" s="443">
        <f t="shared" si="45"/>
        <v>0</v>
      </c>
      <c r="T36" s="444" t="s">
        <v>64</v>
      </c>
      <c r="U36" s="1011"/>
      <c r="V36" s="912"/>
      <c r="W36" s="376">
        <v>0.9</v>
      </c>
      <c r="X36" s="1012"/>
      <c r="Y36" s="450"/>
      <c r="Z36" s="450"/>
      <c r="AA36" s="450"/>
      <c r="AB36" s="912">
        <f t="shared" ref="AB36:AC36" si="49">+V36</f>
        <v>0</v>
      </c>
      <c r="AC36" s="376">
        <f t="shared" si="49"/>
        <v>0.9</v>
      </c>
      <c r="AD36" s="451">
        <f t="shared" si="28"/>
        <v>0</v>
      </c>
      <c r="AE36" s="386"/>
      <c r="AF36" s="76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</row>
    <row r="37" spans="1:93" ht="12.75" customHeight="1">
      <c r="A37" s="452" t="s">
        <v>66</v>
      </c>
      <c r="B37" s="453"/>
      <c r="C37" s="454"/>
      <c r="D37" s="455"/>
      <c r="E37" s="453"/>
      <c r="F37" s="454"/>
      <c r="G37" s="456"/>
      <c r="H37" s="457"/>
      <c r="I37" s="458"/>
      <c r="J37" s="459"/>
      <c r="K37" s="458"/>
      <c r="L37" s="460"/>
      <c r="M37" s="460"/>
      <c r="N37" s="461"/>
      <c r="O37" s="462"/>
      <c r="P37" s="462"/>
      <c r="Q37" s="462"/>
      <c r="R37" s="462"/>
      <c r="S37" s="405">
        <f t="shared" ref="S37:S41" si="50">R37+Q37+P37+O37</f>
        <v>0</v>
      </c>
      <c r="T37" s="405">
        <v>1</v>
      </c>
      <c r="U37" s="1013">
        <f t="shared" ref="U37:U41" si="51">S37/T37</f>
        <v>0</v>
      </c>
      <c r="V37" s="1014"/>
      <c r="W37" s="1015"/>
      <c r="X37" s="1016"/>
      <c r="Y37" s="464"/>
      <c r="Z37" s="464"/>
      <c r="AA37" s="464"/>
      <c r="AB37" s="465">
        <f t="shared" ref="AB37:AB38" si="52">S37</f>
        <v>0</v>
      </c>
      <c r="AC37" s="466">
        <v>1</v>
      </c>
      <c r="AD37" s="467">
        <f t="shared" ref="AD37:AD41" si="53">AB37/AC37</f>
        <v>0</v>
      </c>
      <c r="AE37" s="35"/>
      <c r="AF37" s="35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69"/>
      <c r="BM37" s="69"/>
      <c r="BN37" s="69"/>
      <c r="BO37" s="69"/>
      <c r="BP37" s="69"/>
      <c r="BQ37" s="69"/>
      <c r="BR37" s="69"/>
      <c r="BS37" s="69"/>
      <c r="BT37" s="69"/>
      <c r="BU37" s="69"/>
      <c r="BV37" s="69"/>
      <c r="BW37" s="69"/>
      <c r="BX37" s="69"/>
      <c r="BY37" s="69"/>
      <c r="BZ37" s="69"/>
      <c r="CA37" s="69"/>
      <c r="CB37" s="69"/>
      <c r="CC37" s="69"/>
      <c r="CD37" s="69"/>
      <c r="CE37" s="69"/>
      <c r="CF37" s="69"/>
      <c r="CG37" s="69"/>
      <c r="CH37" s="69"/>
      <c r="CI37" s="69"/>
      <c r="CJ37" s="69"/>
      <c r="CK37" s="69"/>
      <c r="CL37" s="69"/>
      <c r="CM37" s="69"/>
      <c r="CN37" s="69"/>
      <c r="CO37" s="69"/>
    </row>
    <row r="38" spans="1:93" ht="12.75" customHeight="1">
      <c r="A38" s="468" t="s">
        <v>67</v>
      </c>
      <c r="B38" s="469"/>
      <c r="C38" s="470"/>
      <c r="D38" s="471"/>
      <c r="E38" s="469"/>
      <c r="F38" s="470"/>
      <c r="G38" s="472"/>
      <c r="H38" s="473"/>
      <c r="I38" s="474"/>
      <c r="J38" s="475"/>
      <c r="K38" s="474"/>
      <c r="L38" s="260"/>
      <c r="M38" s="260"/>
      <c r="N38" s="476"/>
      <c r="O38" s="462"/>
      <c r="P38" s="462"/>
      <c r="Q38" s="462"/>
      <c r="R38" s="462"/>
      <c r="S38" s="405">
        <f t="shared" si="50"/>
        <v>0</v>
      </c>
      <c r="T38" s="405">
        <v>1</v>
      </c>
      <c r="U38" s="1013">
        <f t="shared" si="51"/>
        <v>0</v>
      </c>
      <c r="V38" s="1014"/>
      <c r="W38" s="1015"/>
      <c r="X38" s="1016"/>
      <c r="Y38" s="464"/>
      <c r="Z38" s="464"/>
      <c r="AA38" s="464"/>
      <c r="AB38" s="465">
        <f t="shared" si="52"/>
        <v>0</v>
      </c>
      <c r="AC38" s="466">
        <v>1</v>
      </c>
      <c r="AD38" s="467">
        <f t="shared" si="53"/>
        <v>0</v>
      </c>
      <c r="AE38" s="35"/>
      <c r="AF38" s="35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69"/>
      <c r="BI38" s="69"/>
      <c r="BJ38" s="69"/>
      <c r="BK38" s="69"/>
      <c r="BL38" s="69"/>
      <c r="BM38" s="69"/>
      <c r="BN38" s="69"/>
      <c r="BO38" s="69"/>
      <c r="BP38" s="69"/>
      <c r="BQ38" s="69"/>
      <c r="BR38" s="69"/>
      <c r="BS38" s="69"/>
      <c r="BT38" s="69"/>
      <c r="BU38" s="69"/>
      <c r="BV38" s="69"/>
      <c r="BW38" s="69"/>
      <c r="BX38" s="69"/>
      <c r="BY38" s="69"/>
      <c r="BZ38" s="69"/>
      <c r="CA38" s="69"/>
      <c r="CB38" s="69"/>
      <c r="CC38" s="69"/>
      <c r="CD38" s="69"/>
      <c r="CE38" s="69"/>
      <c r="CF38" s="69"/>
      <c r="CG38" s="69"/>
      <c r="CH38" s="69"/>
      <c r="CI38" s="69"/>
      <c r="CJ38" s="69"/>
      <c r="CK38" s="69"/>
      <c r="CL38" s="69"/>
      <c r="CM38" s="69"/>
      <c r="CN38" s="69"/>
      <c r="CO38" s="69"/>
    </row>
    <row r="39" spans="1:93" ht="12.75" customHeight="1">
      <c r="A39" s="468" t="s">
        <v>68</v>
      </c>
      <c r="B39" s="453"/>
      <c r="C39" s="454"/>
      <c r="D39" s="455"/>
      <c r="E39" s="453"/>
      <c r="F39" s="454"/>
      <c r="G39" s="456"/>
      <c r="H39" s="457"/>
      <c r="I39" s="458"/>
      <c r="J39" s="459"/>
      <c r="K39" s="458"/>
      <c r="L39" s="460"/>
      <c r="M39" s="460"/>
      <c r="N39" s="461"/>
      <c r="O39" s="462">
        <v>150</v>
      </c>
      <c r="P39" s="462"/>
      <c r="Q39" s="462"/>
      <c r="R39" s="462"/>
      <c r="S39" s="405">
        <f t="shared" si="50"/>
        <v>150</v>
      </c>
      <c r="T39" s="405"/>
      <c r="U39" s="1013" t="e">
        <f t="shared" si="51"/>
        <v>#DIV/0!</v>
      </c>
      <c r="V39" s="1017"/>
      <c r="W39" s="1018">
        <v>236</v>
      </c>
      <c r="X39" s="1013">
        <f t="shared" ref="X39:X41" si="54">V39/W39</f>
        <v>0</v>
      </c>
      <c r="Y39" s="464"/>
      <c r="Z39" s="464"/>
      <c r="AA39" s="464"/>
      <c r="AB39" s="465">
        <f t="shared" ref="AB39:AB41" si="55">V39+S39</f>
        <v>150</v>
      </c>
      <c r="AC39" s="466">
        <f t="shared" ref="AC39:AC41" si="56">W39</f>
        <v>236</v>
      </c>
      <c r="AD39" s="467">
        <f t="shared" si="53"/>
        <v>0.63559322033898302</v>
      </c>
      <c r="AE39" s="35"/>
      <c r="AF39" s="35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69"/>
      <c r="CC39" s="69"/>
      <c r="CD39" s="69"/>
      <c r="CE39" s="69"/>
      <c r="CF39" s="69"/>
      <c r="CG39" s="69"/>
      <c r="CH39" s="69"/>
      <c r="CI39" s="69"/>
      <c r="CJ39" s="69"/>
      <c r="CK39" s="69"/>
      <c r="CL39" s="69"/>
      <c r="CM39" s="69"/>
      <c r="CN39" s="69"/>
      <c r="CO39" s="69"/>
    </row>
    <row r="40" spans="1:93" ht="12.75" customHeight="1">
      <c r="A40" s="452" t="s">
        <v>69</v>
      </c>
      <c r="B40" s="453"/>
      <c r="C40" s="454"/>
      <c r="D40" s="455"/>
      <c r="E40" s="453"/>
      <c r="F40" s="454"/>
      <c r="G40" s="456"/>
      <c r="H40" s="457"/>
      <c r="I40" s="458"/>
      <c r="J40" s="459"/>
      <c r="K40" s="458"/>
      <c r="L40" s="460"/>
      <c r="M40" s="460"/>
      <c r="N40" s="461"/>
      <c r="O40" s="462"/>
      <c r="P40" s="462"/>
      <c r="Q40" s="462"/>
      <c r="R40" s="462"/>
      <c r="S40" s="405">
        <f t="shared" si="50"/>
        <v>0</v>
      </c>
      <c r="T40" s="405"/>
      <c r="U40" s="1013" t="e">
        <f t="shared" si="51"/>
        <v>#DIV/0!</v>
      </c>
      <c r="V40" s="1017"/>
      <c r="W40" s="1018">
        <v>386</v>
      </c>
      <c r="X40" s="1013">
        <f t="shared" si="54"/>
        <v>0</v>
      </c>
      <c r="Y40" s="464"/>
      <c r="Z40" s="464"/>
      <c r="AA40" s="464"/>
      <c r="AB40" s="465">
        <f t="shared" si="55"/>
        <v>0</v>
      </c>
      <c r="AC40" s="466">
        <f t="shared" si="56"/>
        <v>386</v>
      </c>
      <c r="AD40" s="467">
        <f t="shared" si="53"/>
        <v>0</v>
      </c>
      <c r="AE40" s="35"/>
      <c r="AF40" s="35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69"/>
      <c r="BI40" s="69"/>
      <c r="BJ40" s="69"/>
      <c r="BK40" s="69"/>
      <c r="BL40" s="69"/>
      <c r="BM40" s="69"/>
      <c r="BN40" s="69"/>
      <c r="BO40" s="69"/>
      <c r="BP40" s="69"/>
      <c r="BQ40" s="69"/>
      <c r="BR40" s="69"/>
      <c r="BS40" s="69"/>
      <c r="BT40" s="69"/>
      <c r="BU40" s="69"/>
      <c r="BV40" s="69"/>
      <c r="BW40" s="69"/>
      <c r="BX40" s="69"/>
      <c r="BY40" s="69"/>
      <c r="BZ40" s="69"/>
      <c r="CA40" s="69"/>
      <c r="CB40" s="69"/>
      <c r="CC40" s="69"/>
      <c r="CD40" s="69"/>
      <c r="CE40" s="69"/>
      <c r="CF40" s="69"/>
      <c r="CG40" s="69"/>
      <c r="CH40" s="69"/>
      <c r="CI40" s="69"/>
      <c r="CJ40" s="69"/>
      <c r="CK40" s="69"/>
      <c r="CL40" s="69"/>
      <c r="CM40" s="69"/>
      <c r="CN40" s="69"/>
      <c r="CO40" s="69"/>
    </row>
    <row r="41" spans="1:93" ht="12.75" customHeight="1">
      <c r="A41" s="452" t="s">
        <v>154</v>
      </c>
      <c r="B41" s="453"/>
      <c r="C41" s="454"/>
      <c r="D41" s="455"/>
      <c r="E41" s="453"/>
      <c r="F41" s="454"/>
      <c r="G41" s="456"/>
      <c r="H41" s="457"/>
      <c r="I41" s="458"/>
      <c r="J41" s="459"/>
      <c r="K41" s="458"/>
      <c r="L41" s="460"/>
      <c r="M41" s="460"/>
      <c r="N41" s="461"/>
      <c r="O41" s="462">
        <v>170</v>
      </c>
      <c r="P41" s="462"/>
      <c r="Q41" s="462"/>
      <c r="R41" s="462"/>
      <c r="S41" s="405">
        <f t="shared" si="50"/>
        <v>170</v>
      </c>
      <c r="T41" s="405"/>
      <c r="U41" s="1013" t="e">
        <f t="shared" si="51"/>
        <v>#DIV/0!</v>
      </c>
      <c r="V41" s="1017"/>
      <c r="W41" s="1018">
        <v>250</v>
      </c>
      <c r="X41" s="1013">
        <f t="shared" si="54"/>
        <v>0</v>
      </c>
      <c r="Y41" s="464"/>
      <c r="Z41" s="464"/>
      <c r="AA41" s="464"/>
      <c r="AB41" s="465">
        <f t="shared" si="55"/>
        <v>170</v>
      </c>
      <c r="AC41" s="466">
        <f t="shared" si="56"/>
        <v>250</v>
      </c>
      <c r="AD41" s="467">
        <f t="shared" si="53"/>
        <v>0.68</v>
      </c>
      <c r="AE41" s="35"/>
      <c r="AF41" s="35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BU41" s="69"/>
      <c r="BV41" s="69"/>
      <c r="BW41" s="69"/>
      <c r="BX41" s="69"/>
      <c r="BY41" s="69"/>
      <c r="BZ41" s="69"/>
      <c r="CA41" s="69"/>
      <c r="CB41" s="69"/>
      <c r="CC41" s="69"/>
      <c r="CD41" s="69"/>
      <c r="CE41" s="69"/>
      <c r="CF41" s="69"/>
      <c r="CG41" s="69"/>
      <c r="CH41" s="69"/>
      <c r="CI41" s="69"/>
      <c r="CJ41" s="69"/>
      <c r="CK41" s="69"/>
      <c r="CL41" s="69"/>
      <c r="CM41" s="69"/>
      <c r="CN41" s="69"/>
      <c r="CO41" s="69"/>
    </row>
    <row r="42" spans="1:93" ht="12.75" customHeight="1">
      <c r="A42" s="480" t="s">
        <v>70</v>
      </c>
      <c r="B42" s="481"/>
      <c r="C42" s="482"/>
      <c r="D42" s="483"/>
      <c r="E42" s="481"/>
      <c r="F42" s="482"/>
      <c r="G42" s="484"/>
      <c r="H42" s="485"/>
      <c r="I42" s="486"/>
      <c r="J42" s="487"/>
      <c r="K42" s="486"/>
      <c r="L42" s="488"/>
      <c r="M42" s="488"/>
      <c r="N42" s="484"/>
      <c r="O42" s="489"/>
      <c r="P42" s="489"/>
      <c r="Q42" s="489"/>
      <c r="R42" s="489"/>
      <c r="S42" s="490">
        <f t="shared" ref="S42:S55" si="57">O42+P42+Q42+R42</f>
        <v>0</v>
      </c>
      <c r="T42" s="490"/>
      <c r="U42" s="484"/>
      <c r="V42" s="481"/>
      <c r="W42" s="482"/>
      <c r="X42" s="483"/>
      <c r="Y42" s="489"/>
      <c r="Z42" s="489"/>
      <c r="AA42" s="489"/>
      <c r="AB42" s="481"/>
      <c r="AC42" s="482"/>
      <c r="AD42" s="483"/>
      <c r="AE42" s="35"/>
      <c r="AF42" s="35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BU42" s="69"/>
      <c r="BV42" s="69"/>
      <c r="BW42" s="69"/>
      <c r="BX42" s="69"/>
      <c r="BY42" s="69"/>
      <c r="BZ42" s="69"/>
      <c r="CA42" s="69"/>
      <c r="CB42" s="69"/>
      <c r="CC42" s="69"/>
      <c r="CD42" s="69"/>
      <c r="CE42" s="69"/>
      <c r="CF42" s="69"/>
      <c r="CG42" s="69"/>
      <c r="CH42" s="69"/>
      <c r="CI42" s="69"/>
      <c r="CJ42" s="69"/>
      <c r="CK42" s="69"/>
      <c r="CL42" s="69"/>
      <c r="CM42" s="69"/>
      <c r="CN42" s="69"/>
      <c r="CO42" s="69"/>
    </row>
    <row r="43" spans="1:93" ht="12.75" customHeight="1">
      <c r="A43" s="492" t="s">
        <v>71</v>
      </c>
      <c r="B43" s="493"/>
      <c r="C43" s="494"/>
      <c r="D43" s="495"/>
      <c r="E43" s="496">
        <f t="shared" ref="E43:F43" si="58">+E44</f>
        <v>8</v>
      </c>
      <c r="F43" s="132">
        <f t="shared" si="58"/>
        <v>8</v>
      </c>
      <c r="G43" s="196">
        <v>1</v>
      </c>
      <c r="H43" s="361"/>
      <c r="I43" s="88"/>
      <c r="J43" s="497">
        <f>J44+J45</f>
        <v>1</v>
      </c>
      <c r="K43" s="88">
        <f>K44</f>
        <v>3</v>
      </c>
      <c r="L43" s="299">
        <f>H43+I43+J43+K43</f>
        <v>4</v>
      </c>
      <c r="M43" s="299">
        <v>3</v>
      </c>
      <c r="N43" s="159">
        <f t="shared" ref="N43:N44" si="59">+L43/M43</f>
        <v>1.3333333333333333</v>
      </c>
      <c r="O43" s="498"/>
      <c r="P43" s="498"/>
      <c r="Q43" s="498"/>
      <c r="R43" s="498"/>
      <c r="S43" s="296">
        <f t="shared" si="57"/>
        <v>0</v>
      </c>
      <c r="T43" s="88">
        <v>4</v>
      </c>
      <c r="U43" s="159">
        <f t="shared" ref="U43:U44" si="60">+S43/T43</f>
        <v>0</v>
      </c>
      <c r="V43" s="496"/>
      <c r="W43" s="132">
        <v>2</v>
      </c>
      <c r="X43" s="1019"/>
      <c r="Y43" s="132"/>
      <c r="Z43" s="132"/>
      <c r="AA43" s="132"/>
      <c r="AB43" s="1020">
        <f>AB44+AB45</f>
        <v>15</v>
      </c>
      <c r="AC43" s="132">
        <f>F43+M43+T43+W43+AC45</f>
        <v>19</v>
      </c>
      <c r="AD43" s="364">
        <f t="shared" ref="AD43:AD52" si="61">+AB43/AC43</f>
        <v>0.78947368421052633</v>
      </c>
      <c r="AE43" s="35"/>
      <c r="AF43" s="35"/>
      <c r="AG43" s="69"/>
      <c r="AH43" s="69"/>
      <c r="AI43" s="69"/>
      <c r="AJ43" s="69"/>
      <c r="AK43" s="69"/>
      <c r="AL43" s="69"/>
      <c r="AM43" s="69"/>
      <c r="AN43" s="69"/>
      <c r="AO43" s="69"/>
      <c r="AP43" s="69"/>
      <c r="AQ43" s="69"/>
      <c r="AR43" s="69"/>
      <c r="AS43" s="69"/>
      <c r="AT43" s="69"/>
      <c r="AU43" s="69"/>
      <c r="AV43" s="69"/>
      <c r="AW43" s="69"/>
      <c r="AX43" s="69"/>
      <c r="AY43" s="69"/>
      <c r="AZ43" s="69"/>
      <c r="BA43" s="69"/>
      <c r="BB43" s="69"/>
      <c r="BC43" s="69"/>
      <c r="BD43" s="69"/>
      <c r="BE43" s="69"/>
      <c r="BF43" s="69"/>
      <c r="BG43" s="69"/>
      <c r="BH43" s="69"/>
      <c r="BI43" s="69"/>
      <c r="BJ43" s="69"/>
      <c r="BK43" s="69"/>
      <c r="BL43" s="69"/>
      <c r="BM43" s="69"/>
      <c r="BN43" s="69"/>
      <c r="BO43" s="69"/>
      <c r="BP43" s="69"/>
      <c r="BQ43" s="69"/>
      <c r="BR43" s="69"/>
      <c r="BS43" s="69"/>
      <c r="BT43" s="69"/>
      <c r="BU43" s="69"/>
      <c r="BV43" s="69"/>
      <c r="BW43" s="69"/>
      <c r="BX43" s="69"/>
      <c r="BY43" s="69"/>
      <c r="BZ43" s="69"/>
      <c r="CA43" s="69"/>
      <c r="CB43" s="69"/>
      <c r="CC43" s="69"/>
      <c r="CD43" s="69"/>
      <c r="CE43" s="69"/>
      <c r="CF43" s="69"/>
      <c r="CG43" s="69"/>
      <c r="CH43" s="69"/>
      <c r="CI43" s="69"/>
      <c r="CJ43" s="69"/>
      <c r="CK43" s="69"/>
      <c r="CL43" s="69"/>
      <c r="CM43" s="69"/>
      <c r="CN43" s="69"/>
      <c r="CO43" s="69"/>
    </row>
    <row r="44" spans="1:93" ht="12.75" customHeight="1">
      <c r="A44" s="501" t="s">
        <v>37</v>
      </c>
      <c r="B44" s="191"/>
      <c r="C44" s="192"/>
      <c r="D44" s="193"/>
      <c r="E44" s="369">
        <v>8</v>
      </c>
      <c r="F44" s="69">
        <v>8</v>
      </c>
      <c r="G44" s="196">
        <v>1</v>
      </c>
      <c r="H44" s="365"/>
      <c r="I44" s="77"/>
      <c r="J44" s="366">
        <v>0</v>
      </c>
      <c r="K44" s="77">
        <v>3</v>
      </c>
      <c r="L44" s="299">
        <f>J44+K44</f>
        <v>3</v>
      </c>
      <c r="M44" s="299">
        <v>3</v>
      </c>
      <c r="N44" s="159">
        <f t="shared" si="59"/>
        <v>1</v>
      </c>
      <c r="O44" s="329"/>
      <c r="P44" s="329">
        <v>1</v>
      </c>
      <c r="Q44" s="329"/>
      <c r="R44" s="329">
        <v>1</v>
      </c>
      <c r="S44" s="296">
        <f t="shared" si="57"/>
        <v>2</v>
      </c>
      <c r="T44" s="77">
        <v>4</v>
      </c>
      <c r="U44" s="242">
        <f t="shared" si="60"/>
        <v>0.5</v>
      </c>
      <c r="V44" s="69"/>
      <c r="W44" s="69">
        <f>W43</f>
        <v>2</v>
      </c>
      <c r="X44" s="1021"/>
      <c r="Y44" s="69"/>
      <c r="Z44" s="69"/>
      <c r="AA44" s="69"/>
      <c r="AB44" s="1022">
        <f>E44+L44+S44+V44</f>
        <v>13</v>
      </c>
      <c r="AC44" s="69">
        <f>+W44+T44+M44+F44</f>
        <v>17</v>
      </c>
      <c r="AD44" s="1023">
        <f t="shared" si="61"/>
        <v>0.76470588235294112</v>
      </c>
      <c r="AE44" s="76"/>
      <c r="AF44" s="76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69"/>
      <c r="BE44" s="69"/>
      <c r="BF44" s="69"/>
      <c r="BG44" s="69"/>
      <c r="BH44" s="69"/>
      <c r="BI44" s="69"/>
      <c r="BJ44" s="69"/>
      <c r="BK44" s="69"/>
      <c r="BL44" s="69"/>
      <c r="BM44" s="69"/>
      <c r="BN44" s="69"/>
      <c r="BO44" s="69"/>
      <c r="BP44" s="69"/>
      <c r="BQ44" s="69"/>
      <c r="BR44" s="69"/>
      <c r="BS44" s="69"/>
      <c r="BT44" s="69"/>
      <c r="BU44" s="69"/>
      <c r="BV44" s="69"/>
      <c r="BW44" s="69"/>
      <c r="BX44" s="69"/>
      <c r="BY44" s="69"/>
      <c r="BZ44" s="69"/>
      <c r="CA44" s="69"/>
      <c r="CB44" s="69"/>
      <c r="CC44" s="69"/>
      <c r="CD44" s="69"/>
      <c r="CE44" s="69"/>
      <c r="CF44" s="69"/>
      <c r="CG44" s="69"/>
      <c r="CH44" s="69"/>
      <c r="CI44" s="69"/>
      <c r="CJ44" s="69"/>
      <c r="CK44" s="69"/>
      <c r="CL44" s="69"/>
      <c r="CM44" s="69"/>
      <c r="CN44" s="69"/>
      <c r="CO44" s="69"/>
    </row>
    <row r="45" spans="1:93" ht="12.75" customHeight="1">
      <c r="A45" s="546" t="s">
        <v>40</v>
      </c>
      <c r="B45" s="224"/>
      <c r="C45" s="227"/>
      <c r="D45" s="505"/>
      <c r="E45" s="271"/>
      <c r="F45" s="272"/>
      <c r="G45" s="506"/>
      <c r="H45" s="507"/>
      <c r="I45" s="508"/>
      <c r="J45" s="509">
        <v>1</v>
      </c>
      <c r="K45" s="508"/>
      <c r="L45" s="211">
        <f>H45+I45+J45+K45</f>
        <v>1</v>
      </c>
      <c r="M45" s="510"/>
      <c r="N45" s="511" t="s">
        <v>72</v>
      </c>
      <c r="O45" s="415"/>
      <c r="P45" s="415"/>
      <c r="Q45" s="222">
        <v>1</v>
      </c>
      <c r="R45" s="222"/>
      <c r="S45" s="296">
        <f t="shared" si="57"/>
        <v>1</v>
      </c>
      <c r="T45" s="508">
        <v>1</v>
      </c>
      <c r="U45" s="88" t="s">
        <v>72</v>
      </c>
      <c r="V45" s="69"/>
      <c r="W45" s="222">
        <v>1</v>
      </c>
      <c r="X45" s="1024"/>
      <c r="Y45" s="237"/>
      <c r="Z45" s="237"/>
      <c r="AA45" s="237"/>
      <c r="AB45" s="1025">
        <f>L45+S45+V45</f>
        <v>2</v>
      </c>
      <c r="AC45" s="69">
        <v>2</v>
      </c>
      <c r="AD45" s="189">
        <f t="shared" si="61"/>
        <v>1</v>
      </c>
      <c r="AE45" s="76"/>
      <c r="AF45" s="76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69"/>
      <c r="BE45" s="69"/>
      <c r="BF45" s="69"/>
      <c r="BG45" s="69"/>
      <c r="BH45" s="69"/>
      <c r="BI45" s="69"/>
      <c r="BJ45" s="69"/>
      <c r="BK45" s="69"/>
      <c r="BL45" s="69"/>
      <c r="BM45" s="69"/>
      <c r="BN45" s="69"/>
      <c r="BO45" s="69"/>
      <c r="BP45" s="69"/>
      <c r="BQ45" s="69"/>
      <c r="BR45" s="69"/>
      <c r="BS45" s="69"/>
      <c r="BT45" s="69"/>
      <c r="BU45" s="69"/>
      <c r="BV45" s="69"/>
      <c r="BW45" s="69"/>
      <c r="BX45" s="69"/>
      <c r="BY45" s="69"/>
      <c r="BZ45" s="69"/>
      <c r="CA45" s="69"/>
      <c r="CB45" s="69"/>
      <c r="CC45" s="69"/>
      <c r="CD45" s="69"/>
      <c r="CE45" s="69"/>
      <c r="CF45" s="69"/>
      <c r="CG45" s="69"/>
      <c r="CH45" s="69"/>
      <c r="CI45" s="69"/>
      <c r="CJ45" s="69"/>
      <c r="CK45" s="69"/>
      <c r="CL45" s="69"/>
      <c r="CM45" s="69"/>
      <c r="CN45" s="69"/>
      <c r="CO45" s="69"/>
    </row>
    <row r="46" spans="1:93" ht="26.25" customHeight="1">
      <c r="A46" s="520" t="s">
        <v>155</v>
      </c>
      <c r="B46" s="354">
        <f t="shared" ref="B46:G46" si="62">+B47</f>
        <v>188</v>
      </c>
      <c r="C46" s="239">
        <f t="shared" si="62"/>
        <v>150</v>
      </c>
      <c r="D46" s="189">
        <f t="shared" si="62"/>
        <v>1.2533333333333334</v>
      </c>
      <c r="E46" s="354">
        <f t="shared" si="62"/>
        <v>250</v>
      </c>
      <c r="F46" s="239">
        <f t="shared" si="62"/>
        <v>250</v>
      </c>
      <c r="G46" s="182">
        <f t="shared" si="62"/>
        <v>1</v>
      </c>
      <c r="H46" s="355">
        <f t="shared" ref="H46:L46" si="63">+H47+H48+H49</f>
        <v>7</v>
      </c>
      <c r="I46" s="356">
        <f t="shared" si="63"/>
        <v>0</v>
      </c>
      <c r="J46" s="357">
        <f t="shared" si="63"/>
        <v>16</v>
      </c>
      <c r="K46" s="356">
        <f t="shared" si="63"/>
        <v>51</v>
      </c>
      <c r="L46" s="521">
        <f t="shared" si="63"/>
        <v>74</v>
      </c>
      <c r="M46" s="359">
        <f>+M47+M49</f>
        <v>72</v>
      </c>
      <c r="N46" s="182">
        <f t="shared" ref="N46:N47" si="64">+L46/M46</f>
        <v>1.0277777777777777</v>
      </c>
      <c r="O46" s="521">
        <f t="shared" ref="O46:R46" si="65">+O47+O48+O49</f>
        <v>70</v>
      </c>
      <c r="P46" s="521">
        <f t="shared" si="65"/>
        <v>44</v>
      </c>
      <c r="Q46" s="521">
        <f t="shared" si="65"/>
        <v>66</v>
      </c>
      <c r="R46" s="521">
        <f t="shared" si="65"/>
        <v>4</v>
      </c>
      <c r="S46" s="522">
        <f t="shared" si="57"/>
        <v>184</v>
      </c>
      <c r="T46" s="523"/>
      <c r="U46" s="182" t="e">
        <f t="shared" ref="U46:U52" si="66">+S46/T46</f>
        <v>#DIV/0!</v>
      </c>
      <c r="V46" s="1026"/>
      <c r="W46" s="1027"/>
      <c r="X46" s="179"/>
      <c r="Y46" s="260"/>
      <c r="Z46" s="260"/>
      <c r="AA46" s="260"/>
      <c r="AB46" s="526">
        <f t="shared" ref="AB46:AC46" si="67">+AB47+AB48+AB49</f>
        <v>696</v>
      </c>
      <c r="AC46" s="188">
        <f t="shared" si="67"/>
        <v>640</v>
      </c>
      <c r="AD46" s="189">
        <f t="shared" si="61"/>
        <v>1.0874999999999999</v>
      </c>
      <c r="AE46" s="519"/>
      <c r="AF46" s="519"/>
      <c r="AG46" s="152"/>
      <c r="AH46" s="152"/>
      <c r="AI46" s="152"/>
      <c r="AJ46" s="152"/>
      <c r="AK46" s="152"/>
      <c r="AL46" s="152"/>
      <c r="AM46" s="152"/>
      <c r="AN46" s="152"/>
      <c r="AO46" s="152"/>
      <c r="AP46" s="152"/>
      <c r="AQ46" s="152"/>
      <c r="AR46" s="152"/>
      <c r="AS46" s="152"/>
      <c r="AT46" s="152"/>
      <c r="AU46" s="152"/>
      <c r="AV46" s="152"/>
      <c r="AW46" s="15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R46" s="152"/>
      <c r="BS46" s="152"/>
      <c r="BT46" s="152"/>
      <c r="BU46" s="152"/>
      <c r="BV46" s="152"/>
      <c r="BW46" s="152"/>
      <c r="BX46" s="152"/>
      <c r="BY46" s="152"/>
      <c r="BZ46" s="152"/>
      <c r="CA46" s="152"/>
      <c r="CB46" s="152"/>
      <c r="CC46" s="152"/>
      <c r="CD46" s="152"/>
      <c r="CE46" s="152"/>
      <c r="CF46" s="152"/>
      <c r="CG46" s="152"/>
      <c r="CH46" s="152"/>
      <c r="CI46" s="152"/>
      <c r="CJ46" s="152"/>
      <c r="CK46" s="152"/>
      <c r="CL46" s="152"/>
      <c r="CM46" s="152"/>
      <c r="CN46" s="152"/>
      <c r="CO46" s="152"/>
    </row>
    <row r="47" spans="1:93" ht="14.25" customHeight="1">
      <c r="A47" s="501" t="s">
        <v>75</v>
      </c>
      <c r="B47" s="369">
        <v>188</v>
      </c>
      <c r="C47" s="69">
        <v>150</v>
      </c>
      <c r="D47" s="118">
        <v>1.2533333333333334</v>
      </c>
      <c r="E47" s="369">
        <v>250</v>
      </c>
      <c r="F47" s="69">
        <v>250</v>
      </c>
      <c r="G47" s="196">
        <v>1</v>
      </c>
      <c r="H47" s="365">
        <v>7</v>
      </c>
      <c r="I47" s="77">
        <v>0</v>
      </c>
      <c r="J47" s="366">
        <v>16</v>
      </c>
      <c r="K47" s="77">
        <v>40</v>
      </c>
      <c r="L47" s="298">
        <f>+SUM(H47:K47)</f>
        <v>63</v>
      </c>
      <c r="M47" s="299">
        <v>62</v>
      </c>
      <c r="N47" s="196">
        <f t="shared" si="64"/>
        <v>1.0161290322580645</v>
      </c>
      <c r="O47" s="527"/>
      <c r="P47" s="528">
        <v>12</v>
      </c>
      <c r="Q47" s="528">
        <v>18</v>
      </c>
      <c r="R47" s="528"/>
      <c r="S47" s="529">
        <f t="shared" si="57"/>
        <v>30</v>
      </c>
      <c r="T47" s="474"/>
      <c r="U47" s="196" t="e">
        <f t="shared" si="66"/>
        <v>#DIV/0!</v>
      </c>
      <c r="V47" s="259"/>
      <c r="W47" s="260"/>
      <c r="X47" s="261"/>
      <c r="Y47" s="260"/>
      <c r="Z47" s="260"/>
      <c r="AA47" s="260"/>
      <c r="AB47" s="531">
        <f>+B47+E47+L47+S47+V47</f>
        <v>531</v>
      </c>
      <c r="AC47" s="69">
        <v>500</v>
      </c>
      <c r="AD47" s="532">
        <f t="shared" si="61"/>
        <v>1.0620000000000001</v>
      </c>
      <c r="AE47" s="76"/>
      <c r="AF47" s="76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69"/>
      <c r="BE47" s="69"/>
      <c r="BF47" s="69"/>
      <c r="BG47" s="69"/>
      <c r="BH47" s="69"/>
      <c r="BI47" s="69"/>
      <c r="BJ47" s="69"/>
      <c r="BK47" s="69"/>
      <c r="BL47" s="69"/>
      <c r="BM47" s="69"/>
      <c r="BN47" s="69"/>
      <c r="BO47" s="69"/>
      <c r="BP47" s="69"/>
      <c r="BQ47" s="69"/>
      <c r="BR47" s="69"/>
      <c r="BS47" s="69"/>
      <c r="BT47" s="69"/>
      <c r="BU47" s="69"/>
      <c r="BV47" s="69"/>
      <c r="BW47" s="69"/>
      <c r="BX47" s="69"/>
      <c r="BY47" s="69"/>
      <c r="BZ47" s="69"/>
      <c r="CA47" s="69"/>
      <c r="CB47" s="69"/>
      <c r="CC47" s="69"/>
      <c r="CD47" s="69"/>
      <c r="CE47" s="69"/>
      <c r="CF47" s="69"/>
      <c r="CG47" s="69"/>
      <c r="CH47" s="69"/>
      <c r="CI47" s="69"/>
      <c r="CJ47" s="69"/>
      <c r="CK47" s="69"/>
      <c r="CL47" s="69"/>
      <c r="CM47" s="69"/>
      <c r="CN47" s="69"/>
      <c r="CO47" s="69"/>
    </row>
    <row r="48" spans="1:93" ht="12.75" customHeight="1">
      <c r="A48" s="501" t="s">
        <v>76</v>
      </c>
      <c r="B48" s="191"/>
      <c r="C48" s="192"/>
      <c r="D48" s="193"/>
      <c r="E48" s="259"/>
      <c r="F48" s="260"/>
      <c r="G48" s="472"/>
      <c r="H48" s="365">
        <v>0</v>
      </c>
      <c r="I48" s="77">
        <v>0</v>
      </c>
      <c r="J48" s="366"/>
      <c r="K48" s="77"/>
      <c r="L48" s="298"/>
      <c r="M48" s="533"/>
      <c r="N48" s="534"/>
      <c r="O48" s="71">
        <v>70</v>
      </c>
      <c r="P48" s="51">
        <v>19</v>
      </c>
      <c r="Q48" s="329"/>
      <c r="R48" s="222">
        <v>4</v>
      </c>
      <c r="S48" s="514">
        <f t="shared" si="57"/>
        <v>93</v>
      </c>
      <c r="T48" s="412">
        <v>100</v>
      </c>
      <c r="U48" s="159">
        <f t="shared" si="66"/>
        <v>0.93</v>
      </c>
      <c r="V48" s="259"/>
      <c r="W48" s="260"/>
      <c r="X48" s="261"/>
      <c r="Y48" s="260"/>
      <c r="Z48" s="260"/>
      <c r="AA48" s="260"/>
      <c r="AB48" s="531">
        <f>S48</f>
        <v>93</v>
      </c>
      <c r="AC48" s="69">
        <v>100</v>
      </c>
      <c r="AD48" s="532">
        <f t="shared" si="61"/>
        <v>0.93</v>
      </c>
      <c r="AE48" s="76"/>
      <c r="AF48" s="76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69"/>
      <c r="BI48" s="69"/>
      <c r="BJ48" s="69"/>
      <c r="BK48" s="69"/>
      <c r="BL48" s="69"/>
      <c r="BM48" s="69"/>
      <c r="BN48" s="69"/>
      <c r="BO48" s="69"/>
      <c r="BP48" s="69"/>
      <c r="BQ48" s="69"/>
      <c r="BR48" s="69"/>
      <c r="BS48" s="69"/>
      <c r="BT48" s="69"/>
      <c r="BU48" s="69"/>
      <c r="BV48" s="69"/>
      <c r="BW48" s="69"/>
      <c r="BX48" s="69"/>
      <c r="BY48" s="69"/>
      <c r="BZ48" s="69"/>
      <c r="CA48" s="69"/>
      <c r="CB48" s="69"/>
      <c r="CC48" s="69"/>
      <c r="CD48" s="69"/>
      <c r="CE48" s="69"/>
      <c r="CF48" s="69"/>
      <c r="CG48" s="69"/>
      <c r="CH48" s="69"/>
      <c r="CI48" s="69"/>
      <c r="CJ48" s="69"/>
      <c r="CK48" s="69"/>
      <c r="CL48" s="69"/>
      <c r="CM48" s="69"/>
      <c r="CN48" s="69"/>
      <c r="CO48" s="69"/>
    </row>
    <row r="49" spans="1:93" ht="12.75" customHeight="1">
      <c r="A49" s="119" t="s">
        <v>77</v>
      </c>
      <c r="B49" s="224"/>
      <c r="C49" s="227"/>
      <c r="D49" s="505"/>
      <c r="E49" s="271"/>
      <c r="F49" s="272"/>
      <c r="G49" s="535"/>
      <c r="H49" s="536">
        <v>0</v>
      </c>
      <c r="I49" s="392">
        <v>0</v>
      </c>
      <c r="J49" s="393"/>
      <c r="K49" s="392">
        <v>11</v>
      </c>
      <c r="L49" s="293">
        <f>+SUM(H49:K49)</f>
        <v>11</v>
      </c>
      <c r="M49" s="294">
        <v>10</v>
      </c>
      <c r="N49" s="506">
        <f t="shared" ref="N49:N52" si="68">+L49/M49</f>
        <v>1.1000000000000001</v>
      </c>
      <c r="O49" s="537"/>
      <c r="P49" s="325">
        <v>13</v>
      </c>
      <c r="Q49" s="237">
        <v>48</v>
      </c>
      <c r="R49" s="537"/>
      <c r="S49" s="514">
        <f t="shared" si="57"/>
        <v>61</v>
      </c>
      <c r="T49" s="392">
        <v>15</v>
      </c>
      <c r="U49" s="506">
        <f t="shared" si="66"/>
        <v>4.0666666666666664</v>
      </c>
      <c r="V49" s="667"/>
      <c r="W49" s="237">
        <v>15</v>
      </c>
      <c r="X49" s="1024"/>
      <c r="Y49" s="235"/>
      <c r="Z49" s="235"/>
      <c r="AA49" s="235"/>
      <c r="AB49" s="236">
        <f t="shared" ref="AB49:AC49" si="69">+L49+S49+V49</f>
        <v>72</v>
      </c>
      <c r="AC49" s="237">
        <f t="shared" si="69"/>
        <v>40</v>
      </c>
      <c r="AD49" s="131">
        <f t="shared" si="61"/>
        <v>1.8</v>
      </c>
      <c r="AE49" s="76"/>
      <c r="AF49" s="76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69"/>
      <c r="BI49" s="69"/>
      <c r="BJ49" s="69"/>
      <c r="BK49" s="69"/>
      <c r="BL49" s="69"/>
      <c r="BM49" s="69"/>
      <c r="BN49" s="69"/>
      <c r="BO49" s="69"/>
      <c r="BP49" s="69"/>
      <c r="BQ49" s="69"/>
      <c r="BR49" s="69"/>
      <c r="BS49" s="69"/>
      <c r="BT49" s="69"/>
      <c r="BU49" s="69"/>
      <c r="BV49" s="69"/>
      <c r="BW49" s="69"/>
      <c r="BX49" s="69"/>
      <c r="BY49" s="69"/>
      <c r="BZ49" s="69"/>
      <c r="CA49" s="69"/>
      <c r="CB49" s="69"/>
      <c r="CC49" s="69"/>
      <c r="CD49" s="69"/>
      <c r="CE49" s="69"/>
      <c r="CF49" s="69"/>
      <c r="CG49" s="69"/>
      <c r="CH49" s="69"/>
      <c r="CI49" s="69"/>
      <c r="CJ49" s="69"/>
      <c r="CK49" s="69"/>
      <c r="CL49" s="69"/>
      <c r="CM49" s="69"/>
      <c r="CN49" s="69"/>
      <c r="CO49" s="69"/>
    </row>
    <row r="50" spans="1:93" ht="33.75" customHeight="1">
      <c r="A50" s="520" t="s">
        <v>78</v>
      </c>
      <c r="B50" s="177"/>
      <c r="C50" s="178"/>
      <c r="D50" s="179"/>
      <c r="E50" s="354">
        <v>25</v>
      </c>
      <c r="F50" s="239">
        <v>20</v>
      </c>
      <c r="G50" s="182">
        <v>1.25</v>
      </c>
      <c r="H50" s="540"/>
      <c r="I50" s="523"/>
      <c r="J50" s="541"/>
      <c r="K50" s="356">
        <f>K51+K52</f>
        <v>42</v>
      </c>
      <c r="L50" s="359">
        <f t="shared" ref="L50:M50" si="70">+L51+L52</f>
        <v>42</v>
      </c>
      <c r="M50" s="359">
        <f t="shared" si="70"/>
        <v>38</v>
      </c>
      <c r="N50" s="182">
        <f t="shared" si="68"/>
        <v>1.1052631578947369</v>
      </c>
      <c r="O50" s="542"/>
      <c r="P50" s="542"/>
      <c r="Q50" s="380">
        <f>Q51+Q52</f>
        <v>92</v>
      </c>
      <c r="R50" s="542"/>
      <c r="S50" s="380">
        <f t="shared" si="57"/>
        <v>92</v>
      </c>
      <c r="T50" s="356">
        <f>+T51+T52</f>
        <v>50</v>
      </c>
      <c r="U50" s="182">
        <f t="shared" si="66"/>
        <v>1.84</v>
      </c>
      <c r="V50" s="354"/>
      <c r="W50" s="239">
        <f>+W51+W52</f>
        <v>40</v>
      </c>
      <c r="X50" s="1028"/>
      <c r="Y50" s="239"/>
      <c r="Z50" s="239"/>
      <c r="AA50" s="239"/>
      <c r="AB50" s="384">
        <f t="shared" ref="AB50:AC50" si="71">+AB51+AB52</f>
        <v>92</v>
      </c>
      <c r="AC50" s="239">
        <f t="shared" si="71"/>
        <v>40</v>
      </c>
      <c r="AD50" s="385">
        <f t="shared" si="61"/>
        <v>2.2999999999999998</v>
      </c>
      <c r="AE50" s="543"/>
      <c r="AF50" s="223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2"/>
      <c r="CG50" s="132"/>
      <c r="CH50" s="132"/>
      <c r="CI50" s="132"/>
      <c r="CJ50" s="132"/>
      <c r="CK50" s="132"/>
      <c r="CL50" s="132"/>
      <c r="CM50" s="132"/>
      <c r="CN50" s="132"/>
      <c r="CO50" s="132"/>
    </row>
    <row r="51" spans="1:93" ht="12.75" customHeight="1">
      <c r="A51" s="501" t="s">
        <v>75</v>
      </c>
      <c r="B51" s="191"/>
      <c r="C51" s="192"/>
      <c r="D51" s="193"/>
      <c r="E51" s="369">
        <v>25</v>
      </c>
      <c r="F51" s="69">
        <v>20</v>
      </c>
      <c r="G51" s="196">
        <v>1.25</v>
      </c>
      <c r="H51" s="473"/>
      <c r="I51" s="474"/>
      <c r="J51" s="475"/>
      <c r="K51" s="77">
        <v>24</v>
      </c>
      <c r="L51" s="299">
        <f t="shared" ref="L51:L52" si="72">+K51</f>
        <v>24</v>
      </c>
      <c r="M51" s="299">
        <v>20</v>
      </c>
      <c r="N51" s="196">
        <f t="shared" si="68"/>
        <v>1.2</v>
      </c>
      <c r="O51" s="208"/>
      <c r="P51" s="208"/>
      <c r="Q51" s="69">
        <v>26</v>
      </c>
      <c r="R51" s="208"/>
      <c r="S51" s="544">
        <f t="shared" si="57"/>
        <v>26</v>
      </c>
      <c r="T51" s="77">
        <v>20</v>
      </c>
      <c r="U51" s="196">
        <f t="shared" si="66"/>
        <v>1.3</v>
      </c>
      <c r="V51" s="369"/>
      <c r="W51" s="69">
        <v>20</v>
      </c>
      <c r="X51" s="1021"/>
      <c r="Y51" s="69"/>
      <c r="Z51" s="69"/>
      <c r="AA51" s="69"/>
      <c r="AB51" s="545">
        <v>26</v>
      </c>
      <c r="AC51" s="69">
        <f t="shared" ref="AC51:AC52" si="73">+W51</f>
        <v>20</v>
      </c>
      <c r="AD51" s="333">
        <f t="shared" si="61"/>
        <v>1.3</v>
      </c>
      <c r="AE51" s="386"/>
      <c r="AF51" s="76"/>
      <c r="AG51" s="69"/>
      <c r="AH51" s="69"/>
      <c r="AI51" s="69"/>
      <c r="AJ51" s="69"/>
      <c r="AK51" s="69"/>
      <c r="AL51" s="69"/>
      <c r="AM51" s="69"/>
      <c r="AN51" s="69"/>
      <c r="AO51" s="69"/>
      <c r="AP51" s="69"/>
      <c r="AQ51" s="69"/>
      <c r="AR51" s="69"/>
      <c r="AS51" s="69"/>
      <c r="AT51" s="69"/>
      <c r="AU51" s="69"/>
      <c r="AV51" s="69"/>
      <c r="AW51" s="69"/>
      <c r="AX51" s="69"/>
      <c r="AY51" s="69"/>
      <c r="AZ51" s="69"/>
      <c r="BA51" s="69"/>
      <c r="BB51" s="69"/>
      <c r="BC51" s="69"/>
      <c r="BD51" s="69"/>
      <c r="BE51" s="69"/>
      <c r="BF51" s="69"/>
      <c r="BG51" s="69"/>
      <c r="BH51" s="69"/>
      <c r="BI51" s="69"/>
      <c r="BJ51" s="69"/>
      <c r="BK51" s="69"/>
      <c r="BL51" s="69"/>
      <c r="BM51" s="69"/>
      <c r="BN51" s="69"/>
      <c r="BO51" s="69"/>
      <c r="BP51" s="69"/>
      <c r="BQ51" s="69"/>
      <c r="BR51" s="69"/>
      <c r="BS51" s="69"/>
      <c r="BT51" s="69"/>
      <c r="BU51" s="69"/>
      <c r="BV51" s="69"/>
      <c r="BW51" s="69"/>
      <c r="BX51" s="69"/>
      <c r="BY51" s="69"/>
      <c r="BZ51" s="69"/>
      <c r="CA51" s="69"/>
      <c r="CB51" s="69"/>
      <c r="CC51" s="69"/>
      <c r="CD51" s="69"/>
      <c r="CE51" s="69"/>
      <c r="CF51" s="69"/>
      <c r="CG51" s="69"/>
      <c r="CH51" s="69"/>
      <c r="CI51" s="69"/>
      <c r="CJ51" s="69"/>
      <c r="CK51" s="69"/>
      <c r="CL51" s="69"/>
      <c r="CM51" s="69"/>
      <c r="CN51" s="69"/>
      <c r="CO51" s="69"/>
    </row>
    <row r="52" spans="1:93" ht="12.75" customHeight="1">
      <c r="A52" s="546" t="s">
        <v>76</v>
      </c>
      <c r="B52" s="224"/>
      <c r="C52" s="227"/>
      <c r="D52" s="505"/>
      <c r="E52" s="271"/>
      <c r="F52" s="272"/>
      <c r="G52" s="535"/>
      <c r="H52" s="547"/>
      <c r="I52" s="548"/>
      <c r="J52" s="549"/>
      <c r="K52" s="392">
        <v>18</v>
      </c>
      <c r="L52" s="294">
        <f t="shared" si="72"/>
        <v>18</v>
      </c>
      <c r="M52" s="294">
        <v>18</v>
      </c>
      <c r="N52" s="506">
        <f t="shared" si="68"/>
        <v>1</v>
      </c>
      <c r="O52" s="537"/>
      <c r="P52" s="537"/>
      <c r="Q52" s="237">
        <v>66</v>
      </c>
      <c r="R52" s="537"/>
      <c r="S52" s="550">
        <f t="shared" si="57"/>
        <v>66</v>
      </c>
      <c r="T52" s="392">
        <v>30</v>
      </c>
      <c r="U52" s="506">
        <f t="shared" si="66"/>
        <v>2.2000000000000002</v>
      </c>
      <c r="V52" s="667"/>
      <c r="W52" s="237">
        <v>20</v>
      </c>
      <c r="X52" s="1024"/>
      <c r="Y52" s="237"/>
      <c r="Z52" s="237"/>
      <c r="AA52" s="237"/>
      <c r="AB52" s="915">
        <f>S52</f>
        <v>66</v>
      </c>
      <c r="AC52" s="237">
        <f t="shared" si="73"/>
        <v>20</v>
      </c>
      <c r="AD52" s="552">
        <f t="shared" si="61"/>
        <v>3.3</v>
      </c>
      <c r="AE52" s="386"/>
      <c r="AF52" s="76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69"/>
      <c r="BR52" s="69"/>
      <c r="BS52" s="69"/>
      <c r="BT52" s="69"/>
      <c r="BU52" s="69"/>
      <c r="BV52" s="69"/>
      <c r="BW52" s="69"/>
      <c r="BX52" s="69"/>
      <c r="BY52" s="69"/>
      <c r="BZ52" s="69"/>
      <c r="CA52" s="69"/>
      <c r="CB52" s="69"/>
      <c r="CC52" s="69"/>
      <c r="CD52" s="69"/>
      <c r="CE52" s="69"/>
      <c r="CF52" s="69"/>
      <c r="CG52" s="69"/>
      <c r="CH52" s="69"/>
      <c r="CI52" s="69"/>
      <c r="CJ52" s="69"/>
      <c r="CK52" s="69"/>
      <c r="CL52" s="69"/>
      <c r="CM52" s="69"/>
      <c r="CN52" s="69"/>
      <c r="CO52" s="69"/>
    </row>
    <row r="53" spans="1:93" ht="28.5" hidden="1" customHeight="1">
      <c r="A53" s="553" t="s">
        <v>79</v>
      </c>
      <c r="B53" s="554"/>
      <c r="C53" s="402"/>
      <c r="D53" s="555"/>
      <c r="E53" s="556"/>
      <c r="F53" s="517"/>
      <c r="G53" s="557"/>
      <c r="H53" s="558"/>
      <c r="I53" s="257"/>
      <c r="J53" s="401">
        <v>91</v>
      </c>
      <c r="K53" s="77">
        <v>83</v>
      </c>
      <c r="L53" s="299"/>
      <c r="M53" s="299"/>
      <c r="N53" s="196"/>
      <c r="O53" s="281"/>
      <c r="P53" s="281"/>
      <c r="Q53" s="281"/>
      <c r="R53" s="208"/>
      <c r="S53" s="544">
        <f t="shared" si="57"/>
        <v>0</v>
      </c>
      <c r="T53" s="77">
        <v>100</v>
      </c>
      <c r="U53" s="196"/>
      <c r="V53" s="369"/>
      <c r="W53" s="69">
        <v>85</v>
      </c>
      <c r="X53" s="1021"/>
      <c r="Y53" s="69"/>
      <c r="Z53" s="69"/>
      <c r="AA53" s="69"/>
      <c r="AB53" s="369"/>
      <c r="AC53" s="69">
        <v>85</v>
      </c>
      <c r="AD53" s="118"/>
      <c r="AE53" s="76"/>
      <c r="AF53" s="76"/>
      <c r="AG53" s="69"/>
      <c r="AH53" s="69"/>
      <c r="AI53" s="69"/>
      <c r="AJ53" s="69"/>
      <c r="AK53" s="69"/>
      <c r="AL53" s="69"/>
      <c r="AM53" s="69"/>
      <c r="AN53" s="69"/>
      <c r="AO53" s="69"/>
      <c r="AP53" s="69"/>
      <c r="AQ53" s="69"/>
      <c r="AR53" s="69"/>
      <c r="AS53" s="69"/>
      <c r="AT53" s="69"/>
      <c r="AU53" s="69"/>
      <c r="AV53" s="69"/>
      <c r="AW53" s="69"/>
      <c r="AX53" s="69"/>
      <c r="AY53" s="69"/>
      <c r="AZ53" s="69"/>
      <c r="BA53" s="69"/>
      <c r="BB53" s="69"/>
      <c r="BC53" s="69"/>
      <c r="BD53" s="69"/>
      <c r="BE53" s="69"/>
      <c r="BF53" s="69"/>
      <c r="BG53" s="69"/>
      <c r="BH53" s="69"/>
      <c r="BI53" s="69"/>
      <c r="BJ53" s="69"/>
      <c r="BK53" s="69"/>
      <c r="BL53" s="69"/>
      <c r="BM53" s="69"/>
      <c r="BN53" s="69"/>
      <c r="BO53" s="69"/>
      <c r="BP53" s="69"/>
      <c r="BQ53" s="69"/>
      <c r="BR53" s="69"/>
      <c r="BS53" s="69"/>
      <c r="BT53" s="69"/>
      <c r="BU53" s="69"/>
      <c r="BV53" s="69"/>
      <c r="BW53" s="69"/>
      <c r="BX53" s="69"/>
      <c r="BY53" s="69"/>
      <c r="BZ53" s="69"/>
      <c r="CA53" s="69"/>
      <c r="CB53" s="69"/>
      <c r="CC53" s="69"/>
      <c r="CD53" s="69"/>
      <c r="CE53" s="69"/>
      <c r="CF53" s="69"/>
      <c r="CG53" s="69"/>
      <c r="CH53" s="69"/>
      <c r="CI53" s="69"/>
      <c r="CJ53" s="69"/>
      <c r="CK53" s="69"/>
      <c r="CL53" s="69"/>
      <c r="CM53" s="69"/>
      <c r="CN53" s="69"/>
      <c r="CO53" s="69"/>
    </row>
    <row r="54" spans="1:93" ht="36" hidden="1" customHeight="1">
      <c r="A54" s="559" t="s">
        <v>80</v>
      </c>
      <c r="B54" s="560"/>
      <c r="C54" s="406"/>
      <c r="D54" s="561"/>
      <c r="E54" s="560"/>
      <c r="F54" s="406"/>
      <c r="G54" s="270"/>
      <c r="H54" s="562"/>
      <c r="I54" s="204"/>
      <c r="J54" s="563"/>
      <c r="K54" s="204"/>
      <c r="L54" s="564"/>
      <c r="M54" s="564"/>
      <c r="N54" s="270"/>
      <c r="O54" s="406"/>
      <c r="P54" s="406"/>
      <c r="Q54" s="406"/>
      <c r="R54" s="368"/>
      <c r="S54" s="544">
        <f t="shared" si="57"/>
        <v>0</v>
      </c>
      <c r="T54" s="200"/>
      <c r="U54" s="196"/>
      <c r="V54" s="565"/>
      <c r="W54" s="368"/>
      <c r="X54" s="364"/>
      <c r="Y54" s="368"/>
      <c r="Z54" s="368"/>
      <c r="AA54" s="368"/>
      <c r="AB54" s="565"/>
      <c r="AC54" s="368"/>
      <c r="AD54" s="364"/>
      <c r="AE54" s="76"/>
      <c r="AF54" s="76"/>
      <c r="AG54" s="69"/>
      <c r="AH54" s="69"/>
      <c r="AI54" s="69"/>
      <c r="AJ54" s="69"/>
      <c r="AK54" s="69"/>
      <c r="AL54" s="69"/>
      <c r="AM54" s="69"/>
      <c r="AN54" s="69"/>
      <c r="AO54" s="69"/>
      <c r="AP54" s="69"/>
      <c r="AQ54" s="69"/>
      <c r="AR54" s="69"/>
      <c r="AS54" s="69"/>
      <c r="AT54" s="69"/>
      <c r="AU54" s="69"/>
      <c r="AV54" s="69"/>
      <c r="AW54" s="69"/>
      <c r="AX54" s="69"/>
      <c r="AY54" s="69"/>
      <c r="AZ54" s="69"/>
      <c r="BA54" s="69"/>
      <c r="BB54" s="69"/>
      <c r="BC54" s="69"/>
      <c r="BD54" s="69"/>
      <c r="BE54" s="69"/>
      <c r="BF54" s="69"/>
      <c r="BG54" s="69"/>
      <c r="BH54" s="69"/>
      <c r="BI54" s="69"/>
      <c r="BJ54" s="69"/>
      <c r="BK54" s="69"/>
      <c r="BL54" s="69"/>
      <c r="BM54" s="69"/>
      <c r="BN54" s="69"/>
      <c r="BO54" s="69"/>
      <c r="BP54" s="69"/>
      <c r="BQ54" s="69"/>
      <c r="BR54" s="69"/>
      <c r="BS54" s="69"/>
      <c r="BT54" s="69"/>
      <c r="BU54" s="69"/>
      <c r="BV54" s="69"/>
      <c r="BW54" s="69"/>
      <c r="BX54" s="69"/>
      <c r="BY54" s="69"/>
      <c r="BZ54" s="69"/>
      <c r="CA54" s="69"/>
      <c r="CB54" s="69"/>
      <c r="CC54" s="69"/>
      <c r="CD54" s="69"/>
      <c r="CE54" s="69"/>
      <c r="CF54" s="69"/>
      <c r="CG54" s="69"/>
      <c r="CH54" s="69"/>
      <c r="CI54" s="69"/>
      <c r="CJ54" s="69"/>
      <c r="CK54" s="69"/>
      <c r="CL54" s="69"/>
      <c r="CM54" s="69"/>
      <c r="CN54" s="69"/>
      <c r="CO54" s="69"/>
    </row>
    <row r="55" spans="1:93" ht="36" hidden="1" customHeight="1">
      <c r="A55" s="566" t="s">
        <v>81</v>
      </c>
      <c r="B55" s="363">
        <v>117</v>
      </c>
      <c r="C55" s="406"/>
      <c r="D55" s="561"/>
      <c r="E55" s="560"/>
      <c r="F55" s="406"/>
      <c r="G55" s="270"/>
      <c r="H55" s="562"/>
      <c r="I55" s="204"/>
      <c r="J55" s="563"/>
      <c r="K55" s="204"/>
      <c r="L55" s="299">
        <v>126</v>
      </c>
      <c r="M55" s="299">
        <v>100</v>
      </c>
      <c r="N55" s="196"/>
      <c r="O55" s="406"/>
      <c r="P55" s="406"/>
      <c r="Q55" s="406"/>
      <c r="R55" s="368"/>
      <c r="S55" s="544">
        <f t="shared" si="57"/>
        <v>0</v>
      </c>
      <c r="T55" s="200"/>
      <c r="U55" s="196"/>
      <c r="V55" s="565"/>
      <c r="W55" s="368"/>
      <c r="X55" s="364"/>
      <c r="Y55" s="368"/>
      <c r="Z55" s="368"/>
      <c r="AA55" s="368"/>
      <c r="AB55" s="565"/>
      <c r="AC55" s="368"/>
      <c r="AD55" s="364"/>
      <c r="AE55" s="76"/>
      <c r="AF55" s="76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  <c r="BG55" s="69"/>
      <c r="BH55" s="69"/>
      <c r="BI55" s="69"/>
      <c r="BJ55" s="69"/>
      <c r="BK55" s="69"/>
      <c r="BL55" s="69"/>
      <c r="BM55" s="69"/>
      <c r="BN55" s="69"/>
      <c r="BO55" s="69"/>
      <c r="BP55" s="69"/>
      <c r="BQ55" s="69"/>
      <c r="BR55" s="69"/>
      <c r="BS55" s="69"/>
      <c r="BT55" s="69"/>
      <c r="BU55" s="69"/>
      <c r="BV55" s="69"/>
      <c r="BW55" s="69"/>
      <c r="BX55" s="69"/>
      <c r="BY55" s="69"/>
      <c r="BZ55" s="69"/>
      <c r="CA55" s="69"/>
      <c r="CB55" s="69"/>
      <c r="CC55" s="69"/>
      <c r="CD55" s="69"/>
      <c r="CE55" s="69"/>
      <c r="CF55" s="69"/>
      <c r="CG55" s="69"/>
      <c r="CH55" s="69"/>
      <c r="CI55" s="69"/>
      <c r="CJ55" s="69"/>
      <c r="CK55" s="69"/>
      <c r="CL55" s="69"/>
      <c r="CM55" s="69"/>
      <c r="CN55" s="69"/>
      <c r="CO55" s="69"/>
    </row>
    <row r="56" spans="1:93" ht="36" customHeight="1">
      <c r="A56" s="520" t="s">
        <v>82</v>
      </c>
      <c r="B56" s="567">
        <v>0.51</v>
      </c>
      <c r="C56" s="568">
        <v>0.5</v>
      </c>
      <c r="D56" s="118">
        <f t="shared" ref="D56:D57" si="74">+B56/C56</f>
        <v>1.02</v>
      </c>
      <c r="E56" s="567">
        <v>0.45</v>
      </c>
      <c r="F56" s="568">
        <v>0.5</v>
      </c>
      <c r="G56" s="247">
        <v>0.9</v>
      </c>
      <c r="H56" s="569">
        <v>0</v>
      </c>
      <c r="I56" s="570">
        <v>0</v>
      </c>
      <c r="J56" s="571">
        <v>0.56000000000000005</v>
      </c>
      <c r="K56" s="570">
        <v>0.67</v>
      </c>
      <c r="L56" s="378">
        <v>0.57999999999999996</v>
      </c>
      <c r="M56" s="378">
        <v>0.5</v>
      </c>
      <c r="N56" s="196">
        <f t="shared" ref="N56:N57" si="75">L56/M56</f>
        <v>1.1599999999999999</v>
      </c>
      <c r="O56" s="368">
        <f>66/O48</f>
        <v>0.94285714285714284</v>
      </c>
      <c r="P56" s="368">
        <f>(8+19+7)/P46</f>
        <v>0.77272727272727271</v>
      </c>
      <c r="Q56" s="368"/>
      <c r="R56" s="368"/>
      <c r="S56" s="241">
        <f>129/S46</f>
        <v>0.70108695652173914</v>
      </c>
      <c r="T56" s="241">
        <v>0.5</v>
      </c>
      <c r="U56" s="159">
        <f t="shared" ref="U56:U57" si="76">S56/T56</f>
        <v>1.4021739130434783</v>
      </c>
      <c r="V56" s="1029">
        <f t="shared" ref="V56:W56" si="77">V59</f>
        <v>0</v>
      </c>
      <c r="W56" s="596">
        <f t="shared" si="77"/>
        <v>15</v>
      </c>
      <c r="X56" s="159">
        <f>V56/W56</f>
        <v>0</v>
      </c>
      <c r="Y56" s="573"/>
      <c r="Z56" s="573"/>
      <c r="AA56" s="573"/>
      <c r="AB56" s="574">
        <f t="shared" ref="AB56:AB57" si="78">AVERAGE(V56,S56,L56,E56,B56)</f>
        <v>0.44821739130434785</v>
      </c>
      <c r="AC56" s="568">
        <v>0.5</v>
      </c>
      <c r="AD56" s="575">
        <f t="shared" ref="AD56:AD61" si="79">+AB56/AC56</f>
        <v>0.89643478260869569</v>
      </c>
      <c r="AE56" s="386"/>
      <c r="AF56" s="76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69"/>
      <c r="BE56" s="69"/>
      <c r="BF56" s="69"/>
      <c r="BG56" s="69"/>
      <c r="BH56" s="69"/>
      <c r="BI56" s="69"/>
      <c r="BJ56" s="69"/>
      <c r="BK56" s="69"/>
      <c r="BL56" s="69"/>
      <c r="BM56" s="69"/>
      <c r="BN56" s="69"/>
      <c r="BO56" s="69"/>
      <c r="BP56" s="69"/>
      <c r="BQ56" s="69"/>
      <c r="BR56" s="69"/>
      <c r="BS56" s="69"/>
      <c r="BT56" s="69"/>
      <c r="BU56" s="69"/>
      <c r="BV56" s="69"/>
      <c r="BW56" s="69"/>
      <c r="BX56" s="69"/>
      <c r="BY56" s="69"/>
      <c r="BZ56" s="69"/>
      <c r="CA56" s="69"/>
      <c r="CB56" s="69"/>
      <c r="CC56" s="69"/>
      <c r="CD56" s="69"/>
      <c r="CE56" s="69"/>
      <c r="CF56" s="69"/>
      <c r="CG56" s="69"/>
      <c r="CH56" s="69"/>
      <c r="CI56" s="69"/>
      <c r="CJ56" s="69"/>
      <c r="CK56" s="69"/>
      <c r="CL56" s="69"/>
      <c r="CM56" s="69"/>
      <c r="CN56" s="69"/>
      <c r="CO56" s="69"/>
    </row>
    <row r="57" spans="1:93" ht="15.75" customHeight="1">
      <c r="A57" s="576" t="s">
        <v>83</v>
      </c>
      <c r="B57" s="567">
        <v>0.51</v>
      </c>
      <c r="C57" s="568">
        <v>0.5</v>
      </c>
      <c r="D57" s="118">
        <f t="shared" si="74"/>
        <v>1.02</v>
      </c>
      <c r="E57" s="567">
        <v>0.45</v>
      </c>
      <c r="F57" s="568">
        <v>0.5</v>
      </c>
      <c r="G57" s="247">
        <v>0.9</v>
      </c>
      <c r="H57" s="577"/>
      <c r="I57" s="252"/>
      <c r="J57" s="578"/>
      <c r="K57" s="252"/>
      <c r="L57" s="378">
        <v>0.57999999999999996</v>
      </c>
      <c r="M57" s="378">
        <v>0.5</v>
      </c>
      <c r="N57" s="196">
        <f t="shared" si="75"/>
        <v>1.1599999999999999</v>
      </c>
      <c r="O57" s="368"/>
      <c r="P57" s="368">
        <f>8/P47</f>
        <v>0.66666666666666663</v>
      </c>
      <c r="Q57" s="368">
        <f>10/Q47</f>
        <v>0.55555555555555558</v>
      </c>
      <c r="R57" s="579"/>
      <c r="S57" s="580">
        <f>18/S47</f>
        <v>0.6</v>
      </c>
      <c r="T57" s="200">
        <v>0.5</v>
      </c>
      <c r="U57" s="159">
        <f t="shared" si="76"/>
        <v>1.2</v>
      </c>
      <c r="V57" s="897"/>
      <c r="W57" s="579"/>
      <c r="X57" s="364"/>
      <c r="Y57" s="579"/>
      <c r="Z57" s="579"/>
      <c r="AA57" s="579"/>
      <c r="AB57" s="367">
        <f t="shared" si="78"/>
        <v>0.53499999999999992</v>
      </c>
      <c r="AC57" s="368">
        <v>0.5</v>
      </c>
      <c r="AD57" s="377">
        <f t="shared" si="79"/>
        <v>1.0699999999999998</v>
      </c>
      <c r="AE57" s="386"/>
      <c r="AF57" s="76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69"/>
      <c r="BE57" s="69"/>
      <c r="BF57" s="69"/>
      <c r="BG57" s="69"/>
      <c r="BH57" s="69"/>
      <c r="BI57" s="69"/>
      <c r="BJ57" s="69"/>
      <c r="BK57" s="69"/>
      <c r="BL57" s="69"/>
      <c r="BM57" s="69"/>
      <c r="BN57" s="69"/>
      <c r="BO57" s="69"/>
      <c r="BP57" s="69"/>
      <c r="BQ57" s="69"/>
      <c r="BR57" s="69"/>
      <c r="BS57" s="69"/>
      <c r="BT57" s="69"/>
      <c r="BU57" s="69"/>
      <c r="BV57" s="69"/>
      <c r="BW57" s="69"/>
      <c r="BX57" s="69"/>
      <c r="BY57" s="69"/>
      <c r="BZ57" s="69"/>
      <c r="CA57" s="69"/>
      <c r="CB57" s="69"/>
      <c r="CC57" s="69"/>
      <c r="CD57" s="69"/>
      <c r="CE57" s="69"/>
      <c r="CF57" s="69"/>
      <c r="CG57" s="69"/>
      <c r="CH57" s="69"/>
      <c r="CI57" s="69"/>
      <c r="CJ57" s="69"/>
      <c r="CK57" s="69"/>
      <c r="CL57" s="69"/>
      <c r="CM57" s="69"/>
      <c r="CN57" s="69"/>
      <c r="CO57" s="69"/>
    </row>
    <row r="58" spans="1:93" ht="15.75" customHeight="1">
      <c r="A58" s="576" t="s">
        <v>84</v>
      </c>
      <c r="B58" s="582"/>
      <c r="C58" s="400"/>
      <c r="D58" s="583"/>
      <c r="E58" s="582"/>
      <c r="F58" s="400"/>
      <c r="G58" s="584"/>
      <c r="H58" s="577"/>
      <c r="I58" s="252"/>
      <c r="J58" s="578"/>
      <c r="K58" s="252"/>
      <c r="L58" s="585"/>
      <c r="M58" s="585"/>
      <c r="N58" s="584"/>
      <c r="O58" s="368">
        <f>66/O48</f>
        <v>0.94285714285714284</v>
      </c>
      <c r="P58" s="368">
        <f>19/P48</f>
        <v>1</v>
      </c>
      <c r="Q58" s="579"/>
      <c r="R58" s="579"/>
      <c r="S58" s="580">
        <f>(66+19)/S48</f>
        <v>0.91397849462365588</v>
      </c>
      <c r="T58" s="200">
        <v>0.5</v>
      </c>
      <c r="U58" s="584"/>
      <c r="V58" s="897"/>
      <c r="W58" s="579"/>
      <c r="X58" s="364"/>
      <c r="Y58" s="579"/>
      <c r="Z58" s="579"/>
      <c r="AA58" s="579"/>
      <c r="AB58" s="367">
        <f>S58</f>
        <v>0.91397849462365588</v>
      </c>
      <c r="AC58" s="368">
        <v>0.5</v>
      </c>
      <c r="AD58" s="377">
        <f t="shared" si="79"/>
        <v>1.8279569892473118</v>
      </c>
      <c r="AE58" s="386"/>
      <c r="AF58" s="76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69"/>
      <c r="BE58" s="69"/>
      <c r="BF58" s="69"/>
      <c r="BG58" s="69"/>
      <c r="BH58" s="69"/>
      <c r="BI58" s="69"/>
      <c r="BJ58" s="69"/>
      <c r="BK58" s="69"/>
      <c r="BL58" s="69"/>
      <c r="BM58" s="69"/>
      <c r="BN58" s="69"/>
      <c r="BO58" s="69"/>
      <c r="BP58" s="69"/>
      <c r="BQ58" s="69"/>
      <c r="BR58" s="69"/>
      <c r="BS58" s="69"/>
      <c r="BT58" s="69"/>
      <c r="BU58" s="69"/>
      <c r="BV58" s="69"/>
      <c r="BW58" s="69"/>
      <c r="BX58" s="69"/>
      <c r="BY58" s="69"/>
      <c r="BZ58" s="69"/>
      <c r="CA58" s="69"/>
      <c r="CB58" s="69"/>
      <c r="CC58" s="69"/>
      <c r="CD58" s="69"/>
      <c r="CE58" s="69"/>
      <c r="CF58" s="69"/>
      <c r="CG58" s="69"/>
      <c r="CH58" s="69"/>
      <c r="CI58" s="69"/>
      <c r="CJ58" s="69"/>
      <c r="CK58" s="69"/>
      <c r="CL58" s="69"/>
      <c r="CM58" s="69"/>
      <c r="CN58" s="69"/>
      <c r="CO58" s="69"/>
    </row>
    <row r="59" spans="1:93" ht="15.75" customHeight="1">
      <c r="A59" s="586" t="s">
        <v>85</v>
      </c>
      <c r="B59" s="587"/>
      <c r="C59" s="588"/>
      <c r="D59" s="589"/>
      <c r="E59" s="587"/>
      <c r="F59" s="588"/>
      <c r="G59" s="590"/>
      <c r="H59" s="591"/>
      <c r="I59" s="592"/>
      <c r="J59" s="593"/>
      <c r="K59" s="592">
        <v>6</v>
      </c>
      <c r="L59" s="594">
        <f>K59</f>
        <v>6</v>
      </c>
      <c r="M59" s="594" t="s">
        <v>39</v>
      </c>
      <c r="N59" s="595">
        <v>1</v>
      </c>
      <c r="O59" s="596"/>
      <c r="P59" s="596">
        <f>7</f>
        <v>7</v>
      </c>
      <c r="Q59" s="596">
        <v>19</v>
      </c>
      <c r="R59" s="596"/>
      <c r="S59" s="597">
        <f>O59+P59+Q59+R59</f>
        <v>26</v>
      </c>
      <c r="T59" s="550">
        <v>15</v>
      </c>
      <c r="U59" s="159">
        <f>S59/T59</f>
        <v>1.7333333333333334</v>
      </c>
      <c r="V59" s="641"/>
      <c r="W59" s="596">
        <v>15</v>
      </c>
      <c r="X59" s="159">
        <f>V59/W59</f>
        <v>0</v>
      </c>
      <c r="Y59" s="596"/>
      <c r="Z59" s="596"/>
      <c r="AA59" s="596"/>
      <c r="AB59" s="604">
        <f>+S59+V59+L59</f>
        <v>32</v>
      </c>
      <c r="AC59" s="596">
        <f>+T59+W59</f>
        <v>30</v>
      </c>
      <c r="AD59" s="390">
        <f t="shared" si="79"/>
        <v>1.0666666666666667</v>
      </c>
      <c r="AE59" s="605"/>
      <c r="AF59" s="606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</row>
    <row r="60" spans="1:93" ht="15.75" customHeight="1">
      <c r="A60" s="432" t="s">
        <v>86</v>
      </c>
      <c r="B60" s="608"/>
      <c r="C60" s="609"/>
      <c r="D60" s="435"/>
      <c r="E60" s="608"/>
      <c r="F60" s="609"/>
      <c r="G60" s="441"/>
      <c r="H60" s="446"/>
      <c r="I60" s="610"/>
      <c r="J60" s="611"/>
      <c r="K60" s="612">
        <v>123</v>
      </c>
      <c r="L60" s="448"/>
      <c r="M60" s="447" t="s">
        <v>87</v>
      </c>
      <c r="N60" s="441"/>
      <c r="O60" s="613"/>
      <c r="P60" s="613"/>
      <c r="Q60" s="613"/>
      <c r="R60" s="613"/>
      <c r="S60" s="614">
        <f>R60</f>
        <v>0</v>
      </c>
      <c r="T60" s="615"/>
      <c r="U60" s="1030"/>
      <c r="V60" s="1031"/>
      <c r="W60" s="622">
        <v>109</v>
      </c>
      <c r="X60" s="371">
        <f>+V60/W60</f>
        <v>0</v>
      </c>
      <c r="Y60" s="622"/>
      <c r="Z60" s="622"/>
      <c r="AA60" s="622"/>
      <c r="AB60" s="623">
        <f t="shared" ref="AB60:AC60" si="80">+V60</f>
        <v>0</v>
      </c>
      <c r="AC60" s="624">
        <f t="shared" si="80"/>
        <v>109</v>
      </c>
      <c r="AD60" s="625">
        <f t="shared" si="79"/>
        <v>0</v>
      </c>
      <c r="AE60" s="76"/>
      <c r="AF60" s="76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69"/>
      <c r="BE60" s="69"/>
      <c r="BF60" s="69"/>
      <c r="BG60" s="69"/>
      <c r="BH60" s="69"/>
      <c r="BI60" s="69"/>
      <c r="BJ60" s="69"/>
      <c r="BK60" s="69"/>
      <c r="BL60" s="69"/>
      <c r="BM60" s="69"/>
      <c r="BN60" s="69"/>
      <c r="BO60" s="69"/>
      <c r="BP60" s="69"/>
      <c r="BQ60" s="69"/>
      <c r="BR60" s="69"/>
      <c r="BS60" s="69"/>
      <c r="BT60" s="69"/>
      <c r="BU60" s="69"/>
      <c r="BV60" s="69"/>
      <c r="BW60" s="69"/>
      <c r="BX60" s="69"/>
      <c r="BY60" s="69"/>
      <c r="BZ60" s="69"/>
      <c r="CA60" s="69"/>
      <c r="CB60" s="69"/>
      <c r="CC60" s="69"/>
      <c r="CD60" s="69"/>
      <c r="CE60" s="69"/>
      <c r="CF60" s="69"/>
      <c r="CG60" s="69"/>
      <c r="CH60" s="69"/>
      <c r="CI60" s="69"/>
      <c r="CJ60" s="69"/>
      <c r="CK60" s="69"/>
      <c r="CL60" s="69"/>
      <c r="CM60" s="69"/>
      <c r="CN60" s="69"/>
      <c r="CO60" s="69"/>
    </row>
    <row r="61" spans="1:93" ht="15.75" customHeight="1">
      <c r="A61" s="432" t="s">
        <v>88</v>
      </c>
      <c r="B61" s="626"/>
      <c r="C61" s="627"/>
      <c r="D61" s="628"/>
      <c r="E61" s="626"/>
      <c r="F61" s="627"/>
      <c r="G61" s="629"/>
      <c r="H61" s="630"/>
      <c r="I61" s="631"/>
      <c r="J61" s="632"/>
      <c r="K61" s="633"/>
      <c r="L61" s="634"/>
      <c r="M61" s="634"/>
      <c r="N61" s="629"/>
      <c r="O61" s="635"/>
      <c r="P61" s="635">
        <v>1</v>
      </c>
      <c r="Q61" s="635">
        <v>1</v>
      </c>
      <c r="R61" s="635"/>
      <c r="S61" s="592">
        <f t="shared" ref="S61:S72" si="81">O61+P61+Q61+R61</f>
        <v>2</v>
      </c>
      <c r="T61" s="636">
        <v>1</v>
      </c>
      <c r="U61" s="159">
        <f>S61/T61</f>
        <v>2</v>
      </c>
      <c r="V61" s="999"/>
      <c r="W61" s="362">
        <v>1</v>
      </c>
      <c r="X61" s="159">
        <f>V61/W61</f>
        <v>0</v>
      </c>
      <c r="Y61" s="362"/>
      <c r="Z61" s="362"/>
      <c r="AA61" s="362"/>
      <c r="AB61" s="641">
        <f>+S61+V61</f>
        <v>2</v>
      </c>
      <c r="AC61" s="362">
        <v>2</v>
      </c>
      <c r="AD61" s="371">
        <f t="shared" si="79"/>
        <v>1</v>
      </c>
      <c r="AE61" s="76"/>
      <c r="AF61" s="76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69"/>
      <c r="BV61" s="69"/>
      <c r="BW61" s="69"/>
      <c r="BX61" s="69"/>
      <c r="BY61" s="69"/>
      <c r="BZ61" s="69"/>
      <c r="CA61" s="69"/>
      <c r="CB61" s="69"/>
      <c r="CC61" s="69"/>
      <c r="CD61" s="69"/>
      <c r="CE61" s="69"/>
      <c r="CF61" s="69"/>
      <c r="CG61" s="69"/>
      <c r="CH61" s="69"/>
      <c r="CI61" s="69"/>
      <c r="CJ61" s="69"/>
      <c r="CK61" s="69"/>
      <c r="CL61" s="69"/>
      <c r="CM61" s="69"/>
      <c r="CN61" s="69"/>
      <c r="CO61" s="69"/>
    </row>
    <row r="62" spans="1:93" ht="12.75" customHeight="1">
      <c r="A62" s="642" t="s">
        <v>89</v>
      </c>
      <c r="B62" s="643"/>
      <c r="C62" s="644"/>
      <c r="D62" s="645"/>
      <c r="E62" s="643"/>
      <c r="F62" s="644"/>
      <c r="G62" s="646"/>
      <c r="H62" s="647"/>
      <c r="I62" s="648"/>
      <c r="J62" s="649"/>
      <c r="K62" s="648"/>
      <c r="L62" s="650"/>
      <c r="M62" s="650"/>
      <c r="N62" s="646"/>
      <c r="O62" s="651"/>
      <c r="P62" s="651"/>
      <c r="Q62" s="651"/>
      <c r="R62" s="651"/>
      <c r="S62" s="648">
        <f t="shared" si="81"/>
        <v>0</v>
      </c>
      <c r="T62" s="648"/>
      <c r="U62" s="646"/>
      <c r="V62" s="643"/>
      <c r="W62" s="644"/>
      <c r="X62" s="645"/>
      <c r="Y62" s="651"/>
      <c r="Z62" s="651"/>
      <c r="AA62" s="651"/>
      <c r="AB62" s="643"/>
      <c r="AC62" s="644"/>
      <c r="AD62" s="645"/>
      <c r="AE62" s="35"/>
      <c r="AF62" s="35"/>
      <c r="AG62" s="69"/>
      <c r="AH62" s="69"/>
      <c r="AI62" s="69"/>
      <c r="AJ62" s="69"/>
      <c r="AK62" s="69"/>
      <c r="AL62" s="69"/>
      <c r="AM62" s="69"/>
      <c r="AN62" s="69"/>
      <c r="AO62" s="69"/>
      <c r="AP62" s="69"/>
      <c r="AQ62" s="69"/>
      <c r="AR62" s="69"/>
      <c r="AS62" s="69"/>
      <c r="AT62" s="69"/>
      <c r="AU62" s="69"/>
      <c r="AV62" s="69"/>
      <c r="AW62" s="69"/>
      <c r="AX62" s="69"/>
      <c r="AY62" s="69"/>
      <c r="AZ62" s="69"/>
      <c r="BA62" s="69"/>
      <c r="BB62" s="69"/>
      <c r="BC62" s="69"/>
      <c r="BD62" s="69"/>
      <c r="BE62" s="69"/>
      <c r="BF62" s="69"/>
      <c r="BG62" s="69"/>
      <c r="BH62" s="69"/>
      <c r="BI62" s="69"/>
      <c r="BJ62" s="69"/>
      <c r="BK62" s="69"/>
      <c r="BL62" s="69"/>
      <c r="BM62" s="69"/>
      <c r="BN62" s="69"/>
      <c r="BO62" s="69"/>
      <c r="BP62" s="69"/>
      <c r="BQ62" s="69"/>
      <c r="BR62" s="69"/>
      <c r="BS62" s="69"/>
      <c r="BT62" s="69"/>
      <c r="BU62" s="69"/>
      <c r="BV62" s="69"/>
      <c r="BW62" s="69"/>
      <c r="BX62" s="69"/>
      <c r="BY62" s="69"/>
      <c r="BZ62" s="69"/>
      <c r="CA62" s="69"/>
      <c r="CB62" s="69"/>
      <c r="CC62" s="69"/>
      <c r="CD62" s="69"/>
      <c r="CE62" s="69"/>
      <c r="CF62" s="69"/>
      <c r="CG62" s="69"/>
      <c r="CH62" s="69"/>
      <c r="CI62" s="69"/>
      <c r="CJ62" s="69"/>
      <c r="CK62" s="69"/>
      <c r="CL62" s="69"/>
      <c r="CM62" s="69"/>
      <c r="CN62" s="69"/>
      <c r="CO62" s="69"/>
    </row>
    <row r="63" spans="1:93" ht="24.75" customHeight="1">
      <c r="A63" s="653" t="s">
        <v>90</v>
      </c>
      <c r="B63" s="654">
        <v>0.83</v>
      </c>
      <c r="C63" s="208">
        <v>0.8</v>
      </c>
      <c r="D63" s="118">
        <f>+B63/C63</f>
        <v>1.0374999999999999</v>
      </c>
      <c r="E63" s="369">
        <v>0</v>
      </c>
      <c r="F63" s="655">
        <v>0.8</v>
      </c>
      <c r="G63" s="196">
        <f>+E63/F63</f>
        <v>0</v>
      </c>
      <c r="H63" s="656">
        <v>0.54</v>
      </c>
      <c r="I63" s="657"/>
      <c r="J63" s="658"/>
      <c r="K63" s="657"/>
      <c r="L63" s="332">
        <f>+H63</f>
        <v>0.54</v>
      </c>
      <c r="M63" s="332">
        <v>0.8</v>
      </c>
      <c r="N63" s="196">
        <f>+L63/M63</f>
        <v>0.67500000000000004</v>
      </c>
      <c r="O63" s="655">
        <v>0.87</v>
      </c>
      <c r="P63" s="659"/>
      <c r="Q63" s="659"/>
      <c r="R63" s="659"/>
      <c r="S63" s="242">
        <f t="shared" si="81"/>
        <v>0.87</v>
      </c>
      <c r="T63" s="200">
        <v>0.8</v>
      </c>
      <c r="U63" s="196">
        <f>+S63/T63</f>
        <v>1.0874999999999999</v>
      </c>
      <c r="V63" s="654">
        <v>0.8</v>
      </c>
      <c r="W63" s="655">
        <v>0.8</v>
      </c>
      <c r="X63" s="1032"/>
      <c r="Y63" s="655">
        <v>0.8</v>
      </c>
      <c r="Z63" s="655">
        <v>0.8</v>
      </c>
      <c r="AA63" s="655"/>
      <c r="AB63" s="654">
        <f>AVERAGE(B63,L63,O63,V63,Y63)</f>
        <v>0.76800000000000002</v>
      </c>
      <c r="AC63" s="208">
        <v>0.8</v>
      </c>
      <c r="AD63" s="118">
        <f t="shared" ref="AD63:AD76" si="82">+AB63/AC63</f>
        <v>0.96</v>
      </c>
      <c r="AE63" s="661"/>
      <c r="AF63" s="661"/>
      <c r="AG63" s="69"/>
      <c r="AH63" s="69"/>
      <c r="AI63" s="69"/>
      <c r="AJ63" s="69"/>
      <c r="AK63" s="69"/>
      <c r="AL63" s="69"/>
      <c r="AM63" s="69"/>
      <c r="AN63" s="69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69"/>
      <c r="BA63" s="69"/>
      <c r="BB63" s="69"/>
      <c r="BC63" s="69"/>
      <c r="BD63" s="69"/>
      <c r="BE63" s="69"/>
      <c r="BF63" s="69"/>
      <c r="BG63" s="69"/>
      <c r="BH63" s="69"/>
      <c r="BI63" s="69"/>
      <c r="BJ63" s="69"/>
      <c r="BK63" s="69"/>
      <c r="BL63" s="69"/>
      <c r="BM63" s="69"/>
      <c r="BN63" s="69"/>
      <c r="BO63" s="69"/>
      <c r="BP63" s="69"/>
      <c r="BQ63" s="69"/>
      <c r="BR63" s="69"/>
      <c r="BS63" s="69"/>
      <c r="BT63" s="69"/>
      <c r="BU63" s="69"/>
      <c r="BV63" s="69"/>
      <c r="BW63" s="69"/>
      <c r="BX63" s="69"/>
      <c r="BY63" s="69"/>
      <c r="BZ63" s="69"/>
      <c r="CA63" s="69"/>
      <c r="CB63" s="69"/>
      <c r="CC63" s="69"/>
      <c r="CD63" s="69"/>
      <c r="CE63" s="69"/>
      <c r="CF63" s="69"/>
      <c r="CG63" s="69"/>
      <c r="CH63" s="69"/>
      <c r="CI63" s="69"/>
      <c r="CJ63" s="69"/>
      <c r="CK63" s="69"/>
      <c r="CL63" s="69"/>
      <c r="CM63" s="69"/>
      <c r="CN63" s="69"/>
      <c r="CO63" s="69"/>
    </row>
    <row r="64" spans="1:93" ht="28.5" customHeight="1">
      <c r="A64" s="653" t="s">
        <v>126</v>
      </c>
      <c r="B64" s="369">
        <v>278</v>
      </c>
      <c r="C64" s="69">
        <v>154</v>
      </c>
      <c r="D64" s="118">
        <v>1.8051948051948052</v>
      </c>
      <c r="E64" s="369">
        <v>309</v>
      </c>
      <c r="F64" s="69">
        <v>278</v>
      </c>
      <c r="G64" s="196">
        <v>1.1115107913669064</v>
      </c>
      <c r="H64" s="473"/>
      <c r="I64" s="474"/>
      <c r="J64" s="475">
        <v>313</v>
      </c>
      <c r="K64" s="77">
        <v>314</v>
      </c>
      <c r="L64" s="662">
        <f t="shared" ref="L64:L65" si="83">K64</f>
        <v>314</v>
      </c>
      <c r="M64" s="299">
        <v>278</v>
      </c>
      <c r="N64" s="196">
        <f t="shared" ref="N64:N65" si="84">L64/M64</f>
        <v>1.1294964028776979</v>
      </c>
      <c r="O64" s="208"/>
      <c r="P64" s="208"/>
      <c r="Q64" s="208"/>
      <c r="R64" s="69">
        <v>307</v>
      </c>
      <c r="S64" s="360">
        <f t="shared" si="81"/>
        <v>307</v>
      </c>
      <c r="T64" s="663">
        <v>278</v>
      </c>
      <c r="U64" s="196">
        <f t="shared" ref="U64:U65" si="85">S64/T64</f>
        <v>1.1043165467625899</v>
      </c>
      <c r="V64" s="665"/>
      <c r="W64" s="664">
        <v>278</v>
      </c>
      <c r="X64" s="1033"/>
      <c r="Y64" s="664"/>
      <c r="Z64" s="664"/>
      <c r="AA64" s="664"/>
      <c r="AB64" s="665">
        <f t="shared" ref="AB64:AB65" si="86">+SUM(B64,E64,K64,S64,V64)</f>
        <v>1208</v>
      </c>
      <c r="AC64" s="69">
        <v>1266</v>
      </c>
      <c r="AD64" s="118">
        <f t="shared" si="82"/>
        <v>0.95418641390205372</v>
      </c>
      <c r="AE64" s="76"/>
      <c r="AF64" s="76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69"/>
      <c r="BI64" s="69"/>
      <c r="BJ64" s="69"/>
      <c r="BK64" s="69"/>
      <c r="BL64" s="69"/>
      <c r="BM64" s="69"/>
      <c r="BN64" s="69"/>
      <c r="BO64" s="69"/>
      <c r="BP64" s="69"/>
      <c r="BQ64" s="69"/>
      <c r="BR64" s="69"/>
      <c r="BS64" s="69"/>
      <c r="BT64" s="69"/>
      <c r="BU64" s="69"/>
      <c r="BV64" s="69"/>
      <c r="BW64" s="69"/>
      <c r="BX64" s="69"/>
      <c r="BY64" s="69"/>
      <c r="BZ64" s="69"/>
      <c r="CA64" s="69"/>
      <c r="CB64" s="69"/>
      <c r="CC64" s="69"/>
      <c r="CD64" s="69"/>
      <c r="CE64" s="69"/>
      <c r="CF64" s="69"/>
      <c r="CG64" s="69"/>
      <c r="CH64" s="69"/>
      <c r="CI64" s="69"/>
      <c r="CJ64" s="69"/>
      <c r="CK64" s="69"/>
      <c r="CL64" s="69"/>
      <c r="CM64" s="69"/>
      <c r="CN64" s="69"/>
      <c r="CO64" s="69"/>
    </row>
    <row r="65" spans="1:93" ht="15.75" customHeight="1">
      <c r="A65" s="666" t="s">
        <v>127</v>
      </c>
      <c r="B65" s="667">
        <v>570</v>
      </c>
      <c r="C65" s="237">
        <v>600</v>
      </c>
      <c r="D65" s="131">
        <v>0.95</v>
      </c>
      <c r="E65" s="667">
        <v>628</v>
      </c>
      <c r="F65" s="237">
        <v>600</v>
      </c>
      <c r="G65" s="506">
        <v>1.0466666666666666</v>
      </c>
      <c r="H65" s="547"/>
      <c r="I65" s="548"/>
      <c r="J65" s="549">
        <v>666</v>
      </c>
      <c r="K65" s="392">
        <v>666</v>
      </c>
      <c r="L65" s="662">
        <f t="shared" si="83"/>
        <v>666</v>
      </c>
      <c r="M65" s="294">
        <v>600</v>
      </c>
      <c r="N65" s="506">
        <f t="shared" si="84"/>
        <v>1.1100000000000001</v>
      </c>
      <c r="O65" s="537"/>
      <c r="P65" s="537"/>
      <c r="Q65" s="537"/>
      <c r="R65" s="237">
        <v>642</v>
      </c>
      <c r="S65" s="360">
        <f t="shared" si="81"/>
        <v>642</v>
      </c>
      <c r="T65" s="668">
        <v>600</v>
      </c>
      <c r="U65" s="506">
        <f t="shared" si="85"/>
        <v>1.07</v>
      </c>
      <c r="V65" s="673"/>
      <c r="W65" s="672">
        <v>600</v>
      </c>
      <c r="X65" s="1034"/>
      <c r="Y65" s="672"/>
      <c r="Z65" s="672"/>
      <c r="AA65" s="672"/>
      <c r="AB65" s="673">
        <f t="shared" si="86"/>
        <v>2506</v>
      </c>
      <c r="AC65" s="237">
        <v>3000</v>
      </c>
      <c r="AD65" s="131">
        <f t="shared" si="82"/>
        <v>0.83533333333333337</v>
      </c>
      <c r="AE65" s="76"/>
      <c r="AF65" s="76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69"/>
      <c r="BY65" s="69"/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69"/>
      <c r="CN65" s="69"/>
      <c r="CO65" s="69"/>
    </row>
    <row r="66" spans="1:93" ht="24.75" customHeight="1">
      <c r="A66" s="1035" t="s">
        <v>91</v>
      </c>
      <c r="B66" s="177"/>
      <c r="C66" s="178"/>
      <c r="D66" s="179"/>
      <c r="E66" s="354">
        <v>61</v>
      </c>
      <c r="F66" s="239">
        <v>61</v>
      </c>
      <c r="G66" s="182">
        <f t="shared" ref="G66:G67" si="87">+E66/F66</f>
        <v>1</v>
      </c>
      <c r="H66" s="355"/>
      <c r="I66" s="356">
        <f t="shared" ref="I66:K66" si="88">+I67</f>
        <v>0</v>
      </c>
      <c r="J66" s="357">
        <f t="shared" si="88"/>
        <v>109</v>
      </c>
      <c r="K66" s="356">
        <f t="shared" si="88"/>
        <v>0</v>
      </c>
      <c r="L66" s="674">
        <f t="shared" ref="L66:M66" si="89">+L67+L68</f>
        <v>109</v>
      </c>
      <c r="M66" s="359">
        <f t="shared" si="89"/>
        <v>63</v>
      </c>
      <c r="N66" s="182">
        <f>+L66/M66</f>
        <v>1.7301587301587302</v>
      </c>
      <c r="O66" s="674">
        <f t="shared" ref="O66:R66" si="90">O67</f>
        <v>9</v>
      </c>
      <c r="P66" s="674">
        <f t="shared" si="90"/>
        <v>0</v>
      </c>
      <c r="Q66" s="674">
        <f t="shared" si="90"/>
        <v>0</v>
      </c>
      <c r="R66" s="674">
        <f t="shared" si="90"/>
        <v>110</v>
      </c>
      <c r="S66" s="380">
        <f t="shared" si="81"/>
        <v>119</v>
      </c>
      <c r="T66" s="522">
        <f>+T67+T68</f>
        <v>113</v>
      </c>
      <c r="U66" s="182">
        <f>+S66/T66</f>
        <v>1.0530973451327434</v>
      </c>
      <c r="V66" s="526"/>
      <c r="W66" s="188">
        <f>+W67+W68</f>
        <v>113</v>
      </c>
      <c r="X66" s="968"/>
      <c r="Y66" s="188"/>
      <c r="Z66" s="188"/>
      <c r="AA66" s="188"/>
      <c r="AB66" s="526">
        <f t="shared" ref="AB66:AB67" si="91">+B66+E66+L66+S66+V66</f>
        <v>289</v>
      </c>
      <c r="AC66" s="188">
        <f t="shared" ref="AC66:AC67" si="92">+W66+T66+M66+F66+C66</f>
        <v>350</v>
      </c>
      <c r="AD66" s="189">
        <f t="shared" si="82"/>
        <v>0.82571428571428573</v>
      </c>
      <c r="AE66" s="150">
        <f>AC66-AB66</f>
        <v>61</v>
      </c>
      <c r="AF66" s="223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2"/>
      <c r="BK66" s="132"/>
      <c r="BL66" s="132"/>
      <c r="BM66" s="132"/>
      <c r="BN66" s="132"/>
      <c r="BO66" s="132"/>
      <c r="BP66" s="132"/>
      <c r="BQ66" s="132"/>
      <c r="BR66" s="132"/>
      <c r="BS66" s="132"/>
      <c r="BT66" s="132"/>
      <c r="BU66" s="132"/>
      <c r="BV66" s="132"/>
      <c r="BW66" s="132"/>
      <c r="BX66" s="132"/>
      <c r="BY66" s="132"/>
      <c r="BZ66" s="132"/>
      <c r="CA66" s="132"/>
      <c r="CB66" s="132"/>
      <c r="CC66" s="132"/>
      <c r="CD66" s="132"/>
      <c r="CE66" s="132"/>
      <c r="CF66" s="132"/>
      <c r="CG66" s="132"/>
      <c r="CH66" s="132"/>
      <c r="CI66" s="132"/>
      <c r="CJ66" s="132"/>
      <c r="CK66" s="132"/>
      <c r="CL66" s="132"/>
      <c r="CM66" s="132"/>
      <c r="CN66" s="132"/>
      <c r="CO66" s="132"/>
    </row>
    <row r="67" spans="1:93" ht="15.75" customHeight="1">
      <c r="A67" s="703" t="s">
        <v>92</v>
      </c>
      <c r="B67" s="493"/>
      <c r="C67" s="494"/>
      <c r="D67" s="495"/>
      <c r="E67" s="677">
        <v>61</v>
      </c>
      <c r="F67" s="69">
        <v>61</v>
      </c>
      <c r="G67" s="196">
        <f t="shared" si="87"/>
        <v>1</v>
      </c>
      <c r="H67" s="473"/>
      <c r="I67" s="77"/>
      <c r="J67" s="366">
        <v>109</v>
      </c>
      <c r="K67" s="77"/>
      <c r="L67" s="662">
        <f>J67</f>
        <v>109</v>
      </c>
      <c r="M67" s="299">
        <v>63</v>
      </c>
      <c r="O67" s="366">
        <v>9</v>
      </c>
      <c r="P67" s="366"/>
      <c r="Q67" s="366"/>
      <c r="R67" s="366">
        <f>110</f>
        <v>110</v>
      </c>
      <c r="S67" s="360">
        <f t="shared" si="81"/>
        <v>119</v>
      </c>
      <c r="T67" s="663">
        <v>63</v>
      </c>
      <c r="V67" s="531"/>
      <c r="W67" s="175">
        <v>63</v>
      </c>
      <c r="X67" s="959"/>
      <c r="Y67" s="175"/>
      <c r="Z67" s="175"/>
      <c r="AA67" s="175"/>
      <c r="AB67" s="531">
        <f t="shared" si="91"/>
        <v>289</v>
      </c>
      <c r="AC67" s="175">
        <f t="shared" si="92"/>
        <v>250</v>
      </c>
      <c r="AD67" s="118">
        <f t="shared" si="82"/>
        <v>1.1559999999999999</v>
      </c>
      <c r="AE67" s="76"/>
      <c r="AF67" s="76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69"/>
      <c r="BI67" s="69"/>
      <c r="BJ67" s="69"/>
      <c r="BK67" s="69"/>
      <c r="BL67" s="69"/>
      <c r="BM67" s="69"/>
      <c r="BN67" s="69"/>
      <c r="BO67" s="69"/>
      <c r="BP67" s="69"/>
      <c r="BQ67" s="69"/>
      <c r="BR67" s="69"/>
      <c r="BS67" s="69"/>
      <c r="BT67" s="69"/>
      <c r="BU67" s="69"/>
      <c r="BV67" s="69"/>
      <c r="BW67" s="69"/>
      <c r="BX67" s="69"/>
      <c r="BY67" s="69"/>
      <c r="BZ67" s="69"/>
      <c r="CA67" s="69"/>
      <c r="CB67" s="69"/>
      <c r="CC67" s="69"/>
      <c r="CD67" s="69"/>
      <c r="CE67" s="69"/>
      <c r="CF67" s="69"/>
      <c r="CG67" s="69"/>
      <c r="CH67" s="69"/>
      <c r="CI67" s="69"/>
      <c r="CJ67" s="69"/>
      <c r="CK67" s="69"/>
      <c r="CL67" s="69"/>
      <c r="CM67" s="69"/>
      <c r="CN67" s="69"/>
      <c r="CO67" s="69"/>
    </row>
    <row r="68" spans="1:93" ht="15.75" customHeight="1">
      <c r="A68" s="676" t="s">
        <v>46</v>
      </c>
      <c r="B68" s="271"/>
      <c r="C68" s="272"/>
      <c r="D68" s="273"/>
      <c r="E68" s="271"/>
      <c r="F68" s="272"/>
      <c r="G68" s="535"/>
      <c r="H68" s="547"/>
      <c r="I68" s="548"/>
      <c r="J68" s="549"/>
      <c r="K68" s="548"/>
      <c r="L68" s="227"/>
      <c r="M68" s="227"/>
      <c r="N68" s="535"/>
      <c r="O68" s="537"/>
      <c r="P68" s="537"/>
      <c r="Q68" s="537"/>
      <c r="R68" s="537"/>
      <c r="S68" s="712">
        <f t="shared" si="81"/>
        <v>0</v>
      </c>
      <c r="T68" s="668">
        <v>50</v>
      </c>
      <c r="U68" s="535"/>
      <c r="V68" s="236"/>
      <c r="W68" s="235">
        <v>50</v>
      </c>
      <c r="X68" s="973"/>
      <c r="Y68" s="235"/>
      <c r="Z68" s="235"/>
      <c r="AA68" s="235"/>
      <c r="AB68" s="236">
        <f>+S68+V68</f>
        <v>0</v>
      </c>
      <c r="AC68" s="235">
        <f>+W68+T68</f>
        <v>100</v>
      </c>
      <c r="AD68" s="131">
        <f t="shared" si="82"/>
        <v>0</v>
      </c>
      <c r="AE68" s="76"/>
      <c r="AF68" s="76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69"/>
      <c r="BE68" s="69"/>
      <c r="BF68" s="69"/>
      <c r="BG68" s="69"/>
      <c r="BH68" s="69"/>
      <c r="BI68" s="69"/>
      <c r="BJ68" s="69"/>
      <c r="BK68" s="69"/>
      <c r="BL68" s="69"/>
      <c r="BM68" s="69"/>
      <c r="BN68" s="69"/>
      <c r="BO68" s="69"/>
      <c r="BP68" s="69"/>
      <c r="BQ68" s="69"/>
      <c r="BR68" s="69"/>
      <c r="BS68" s="69"/>
      <c r="BT68" s="69"/>
      <c r="BU68" s="69"/>
      <c r="BV68" s="69"/>
      <c r="BW68" s="69"/>
      <c r="BX68" s="69"/>
      <c r="BY68" s="69"/>
      <c r="BZ68" s="69"/>
      <c r="CA68" s="69"/>
      <c r="CB68" s="69"/>
      <c r="CC68" s="69"/>
      <c r="CD68" s="69"/>
      <c r="CE68" s="69"/>
      <c r="CF68" s="69"/>
      <c r="CG68" s="69"/>
      <c r="CH68" s="69"/>
      <c r="CI68" s="69"/>
      <c r="CJ68" s="69"/>
      <c r="CK68" s="69"/>
      <c r="CL68" s="69"/>
      <c r="CM68" s="69"/>
      <c r="CN68" s="69"/>
      <c r="CO68" s="69"/>
    </row>
    <row r="69" spans="1:93" ht="19.5" customHeight="1">
      <c r="A69" s="682" t="s">
        <v>128</v>
      </c>
      <c r="B69" s="683">
        <v>75</v>
      </c>
      <c r="C69" s="684">
        <v>60</v>
      </c>
      <c r="D69" s="532">
        <v>1.25</v>
      </c>
      <c r="E69" s="683">
        <v>122</v>
      </c>
      <c r="F69" s="684">
        <v>60</v>
      </c>
      <c r="G69" s="247">
        <v>2.0333333333333332</v>
      </c>
      <c r="H69" s="685"/>
      <c r="I69" s="686"/>
      <c r="J69" s="687">
        <v>50</v>
      </c>
      <c r="K69" s="686">
        <v>53</v>
      </c>
      <c r="L69" s="688">
        <f t="shared" ref="L69:L70" si="93">K69</f>
        <v>53</v>
      </c>
      <c r="M69" s="688"/>
      <c r="N69" s="247" t="s">
        <v>93</v>
      </c>
      <c r="O69" s="689"/>
      <c r="P69" s="689"/>
      <c r="Q69" s="689"/>
      <c r="R69" s="690">
        <v>17</v>
      </c>
      <c r="S69" s="1036">
        <f t="shared" si="81"/>
        <v>17</v>
      </c>
      <c r="T69" s="686"/>
      <c r="U69" s="247" t="s">
        <v>93</v>
      </c>
      <c r="V69" s="695"/>
      <c r="W69" s="696"/>
      <c r="X69" s="697"/>
      <c r="Y69" s="693"/>
      <c r="Z69" s="693"/>
      <c r="AA69" s="693"/>
      <c r="AB69" s="683">
        <f>+B69+E69+K69</f>
        <v>250</v>
      </c>
      <c r="AC69" s="684">
        <v>120</v>
      </c>
      <c r="AD69" s="532">
        <f t="shared" si="82"/>
        <v>2.0833333333333335</v>
      </c>
      <c r="AE69" s="76"/>
      <c r="AF69" s="76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69"/>
      <c r="BE69" s="69"/>
      <c r="BF69" s="69"/>
      <c r="BG69" s="69"/>
      <c r="BH69" s="69"/>
      <c r="BI69" s="69"/>
      <c r="BJ69" s="69"/>
      <c r="BK69" s="69"/>
      <c r="BL69" s="69"/>
      <c r="BM69" s="69"/>
      <c r="BN69" s="69"/>
      <c r="BO69" s="69"/>
      <c r="BP69" s="69"/>
      <c r="BQ69" s="69"/>
      <c r="BR69" s="69"/>
      <c r="BS69" s="69"/>
      <c r="BT69" s="69"/>
      <c r="BU69" s="69"/>
      <c r="BV69" s="69"/>
      <c r="BW69" s="69"/>
      <c r="BX69" s="69"/>
      <c r="BY69" s="69"/>
      <c r="BZ69" s="69"/>
      <c r="CA69" s="69"/>
      <c r="CB69" s="69"/>
      <c r="CC69" s="69"/>
      <c r="CD69" s="69"/>
      <c r="CE69" s="69"/>
      <c r="CF69" s="69"/>
      <c r="CG69" s="69"/>
      <c r="CH69" s="69"/>
      <c r="CI69" s="69"/>
      <c r="CJ69" s="69"/>
      <c r="CK69" s="69"/>
      <c r="CL69" s="69"/>
      <c r="CM69" s="69"/>
      <c r="CN69" s="69"/>
      <c r="CO69" s="69"/>
    </row>
    <row r="70" spans="1:93" ht="24.75" customHeight="1">
      <c r="A70" s="666" t="s">
        <v>94</v>
      </c>
      <c r="B70" s="667">
        <v>25</v>
      </c>
      <c r="C70" s="237">
        <v>25</v>
      </c>
      <c r="D70" s="131">
        <v>1</v>
      </c>
      <c r="E70" s="667">
        <v>27</v>
      </c>
      <c r="F70" s="237">
        <v>27</v>
      </c>
      <c r="G70" s="506">
        <v>1</v>
      </c>
      <c r="H70" s="547"/>
      <c r="I70" s="548"/>
      <c r="J70" s="549">
        <v>25</v>
      </c>
      <c r="K70" s="392">
        <v>26</v>
      </c>
      <c r="L70" s="662">
        <f t="shared" si="93"/>
        <v>26</v>
      </c>
      <c r="M70" s="294">
        <v>25</v>
      </c>
      <c r="N70" s="196">
        <f>L70/M70</f>
        <v>1.04</v>
      </c>
      <c r="O70" s="208"/>
      <c r="P70" s="208"/>
      <c r="Q70" s="208"/>
      <c r="R70" s="208"/>
      <c r="S70" s="360">
        <f t="shared" si="81"/>
        <v>0</v>
      </c>
      <c r="T70" s="392">
        <v>25</v>
      </c>
      <c r="U70" s="196">
        <f>S70/T70</f>
        <v>0</v>
      </c>
      <c r="V70" s="667"/>
      <c r="W70" s="237">
        <v>25</v>
      </c>
      <c r="X70" s="1024"/>
      <c r="Y70" s="237"/>
      <c r="Z70" s="237"/>
      <c r="AA70" s="237"/>
      <c r="AB70" s="512">
        <f>B70+E70+L70</f>
        <v>78</v>
      </c>
      <c r="AC70" s="237">
        <v>102</v>
      </c>
      <c r="AD70" s="131">
        <f t="shared" si="82"/>
        <v>0.76470588235294112</v>
      </c>
      <c r="AE70" s="76"/>
      <c r="AF70" s="76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</row>
    <row r="71" spans="1:93" ht="29.25" customHeight="1">
      <c r="A71" s="682" t="s">
        <v>95</v>
      </c>
      <c r="B71" s="695"/>
      <c r="C71" s="696"/>
      <c r="D71" s="697"/>
      <c r="E71" s="695"/>
      <c r="F71" s="696"/>
      <c r="G71" s="699"/>
      <c r="H71" s="685"/>
      <c r="I71" s="700"/>
      <c r="J71" s="701"/>
      <c r="K71" s="570">
        <f>K72</f>
        <v>0.67500000000000004</v>
      </c>
      <c r="L71" s="378">
        <f t="shared" ref="L71:M71" si="94">+L72</f>
        <v>0.67500000000000004</v>
      </c>
      <c r="M71" s="378">
        <f t="shared" si="94"/>
        <v>0.82499999999999996</v>
      </c>
      <c r="N71" s="247">
        <f t="shared" ref="N71:N72" si="95">+L71/M71</f>
        <v>0.81818181818181823</v>
      </c>
      <c r="O71" s="689">
        <f>M71-L71</f>
        <v>0.14999999999999991</v>
      </c>
      <c r="P71" s="690"/>
      <c r="Q71" s="690"/>
      <c r="R71" s="690"/>
      <c r="S71" s="241">
        <f t="shared" si="81"/>
        <v>0.14999999999999991</v>
      </c>
      <c r="T71" s="686"/>
      <c r="U71" s="247" t="e">
        <f t="shared" ref="U71:U72" si="96">+S71/T71</f>
        <v>#DIV/0!</v>
      </c>
      <c r="V71" s="683"/>
      <c r="W71" s="684"/>
      <c r="X71" s="1037"/>
      <c r="Y71" s="702"/>
      <c r="Z71" s="702"/>
      <c r="AA71" s="702"/>
      <c r="AB71" s="926">
        <f t="shared" ref="AB71:AB72" si="97">+L71</f>
        <v>0.67500000000000004</v>
      </c>
      <c r="AC71" s="1038" t="s">
        <v>156</v>
      </c>
      <c r="AD71" s="532" t="e">
        <f t="shared" si="82"/>
        <v>#VALUE!</v>
      </c>
      <c r="AE71" s="207"/>
      <c r="AF71" s="207"/>
      <c r="AG71" s="69"/>
      <c r="AH71" s="69"/>
      <c r="AI71" s="69"/>
      <c r="AJ71" s="69"/>
      <c r="AK71" s="69"/>
      <c r="AL71" s="69"/>
      <c r="AM71" s="69"/>
      <c r="AN71" s="69"/>
      <c r="AO71" s="69"/>
      <c r="AP71" s="69"/>
      <c r="AQ71" s="69"/>
      <c r="AR71" s="69"/>
      <c r="AS71" s="69"/>
      <c r="AT71" s="69"/>
      <c r="AU71" s="69"/>
      <c r="AV71" s="69"/>
      <c r="AW71" s="69"/>
      <c r="AX71" s="69"/>
      <c r="AY71" s="69"/>
      <c r="AZ71" s="69"/>
      <c r="BA71" s="69"/>
      <c r="BB71" s="69"/>
      <c r="BC71" s="69"/>
      <c r="BD71" s="69"/>
      <c r="BE71" s="69"/>
      <c r="BF71" s="69"/>
      <c r="BG71" s="69"/>
      <c r="BH71" s="69"/>
      <c r="BI71" s="69"/>
      <c r="BJ71" s="69"/>
      <c r="BK71" s="69"/>
      <c r="BL71" s="69"/>
      <c r="BM71" s="69"/>
      <c r="BN71" s="69"/>
      <c r="BO71" s="69"/>
      <c r="BP71" s="69"/>
      <c r="BQ71" s="69"/>
      <c r="BR71" s="69"/>
      <c r="BS71" s="69"/>
      <c r="BT71" s="69"/>
      <c r="BU71" s="69"/>
      <c r="BV71" s="69"/>
      <c r="BW71" s="69"/>
      <c r="BX71" s="69"/>
      <c r="BY71" s="69"/>
      <c r="BZ71" s="69"/>
      <c r="CA71" s="69"/>
      <c r="CB71" s="69"/>
      <c r="CC71" s="69"/>
      <c r="CD71" s="69"/>
      <c r="CE71" s="69"/>
      <c r="CF71" s="69"/>
      <c r="CG71" s="69"/>
      <c r="CH71" s="69"/>
      <c r="CI71" s="69"/>
      <c r="CJ71" s="69"/>
      <c r="CK71" s="69"/>
      <c r="CL71" s="69"/>
      <c r="CM71" s="69"/>
      <c r="CN71" s="69"/>
      <c r="CO71" s="69"/>
    </row>
    <row r="72" spans="1:93" ht="15.75" customHeight="1">
      <c r="A72" s="703" t="s">
        <v>92</v>
      </c>
      <c r="B72" s="259"/>
      <c r="C72" s="260"/>
      <c r="D72" s="261"/>
      <c r="E72" s="259" t="s">
        <v>157</v>
      </c>
      <c r="F72" s="260"/>
      <c r="G72" s="472"/>
      <c r="H72" s="473"/>
      <c r="I72" s="704"/>
      <c r="J72" s="705"/>
      <c r="K72" s="200">
        <v>0.67500000000000004</v>
      </c>
      <c r="L72" s="332">
        <f>+K72</f>
        <v>0.67500000000000004</v>
      </c>
      <c r="M72" s="332">
        <v>0.82499999999999996</v>
      </c>
      <c r="N72" s="196">
        <f t="shared" si="95"/>
        <v>0.81818181818181823</v>
      </c>
      <c r="O72" s="517"/>
      <c r="P72" s="517"/>
      <c r="Q72" s="517"/>
      <c r="R72" s="517"/>
      <c r="S72" s="242">
        <f t="shared" si="81"/>
        <v>0</v>
      </c>
      <c r="T72" s="474"/>
      <c r="U72" s="196" t="e">
        <f t="shared" si="96"/>
        <v>#DIV/0!</v>
      </c>
      <c r="V72" s="259"/>
      <c r="W72" s="260"/>
      <c r="X72" s="261"/>
      <c r="Y72" s="70"/>
      <c r="Z72" s="70"/>
      <c r="AA72" s="70"/>
      <c r="AB72" s="930">
        <f t="shared" si="97"/>
        <v>0.67500000000000004</v>
      </c>
      <c r="AC72" s="931">
        <v>0.82499999999999996</v>
      </c>
      <c r="AD72" s="118">
        <f t="shared" si="82"/>
        <v>0.81818181818181823</v>
      </c>
      <c r="AE72" s="207"/>
      <c r="AF72" s="207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9"/>
      <c r="CM72" s="69"/>
      <c r="CN72" s="69"/>
      <c r="CO72" s="69"/>
    </row>
    <row r="73" spans="1:93" ht="15.75" customHeight="1">
      <c r="A73" s="676" t="s">
        <v>46</v>
      </c>
      <c r="B73" s="271"/>
      <c r="C73" s="272"/>
      <c r="D73" s="273"/>
      <c r="E73" s="271"/>
      <c r="F73" s="272"/>
      <c r="G73" s="535"/>
      <c r="H73" s="547"/>
      <c r="I73" s="548"/>
      <c r="J73" s="549"/>
      <c r="K73" s="548" t="s">
        <v>64</v>
      </c>
      <c r="L73" s="227"/>
      <c r="M73" s="227"/>
      <c r="N73" s="535"/>
      <c r="O73" s="710">
        <v>0.25</v>
      </c>
      <c r="P73" s="711"/>
      <c r="Q73" s="711"/>
      <c r="R73" s="711"/>
      <c r="S73" s="712">
        <v>0</v>
      </c>
      <c r="T73" s="548" t="s">
        <v>64</v>
      </c>
      <c r="U73" s="535"/>
      <c r="V73" s="667"/>
      <c r="W73" s="237" t="s">
        <v>158</v>
      </c>
      <c r="X73" s="1024" t="str">
        <f>+W73</f>
        <v>Lb+7,5%</v>
      </c>
      <c r="Y73" s="237"/>
      <c r="Z73" s="237"/>
      <c r="AA73" s="237"/>
      <c r="AB73" s="667" t="s">
        <v>159</v>
      </c>
      <c r="AC73" s="715" t="str">
        <f>+W73</f>
        <v>Lb+7,5%</v>
      </c>
      <c r="AD73" s="131" t="e">
        <f t="shared" si="82"/>
        <v>#VALUE!</v>
      </c>
      <c r="AE73" s="207"/>
      <c r="AF73" s="207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9"/>
      <c r="CM73" s="69"/>
      <c r="CN73" s="69"/>
      <c r="CO73" s="69"/>
    </row>
    <row r="74" spans="1:93" ht="27" customHeight="1">
      <c r="A74" s="682" t="s">
        <v>97</v>
      </c>
      <c r="B74" s="177"/>
      <c r="C74" s="178"/>
      <c r="D74" s="179"/>
      <c r="E74" s="177"/>
      <c r="F74" s="178"/>
      <c r="G74" s="716"/>
      <c r="H74" s="540"/>
      <c r="I74" s="523"/>
      <c r="J74" s="541"/>
      <c r="K74" s="356">
        <f>K75+K76</f>
        <v>621</v>
      </c>
      <c r="L74" s="674">
        <f t="shared" ref="L74:M74" si="98">+L75+L76</f>
        <v>621</v>
      </c>
      <c r="M74" s="359">
        <f t="shared" si="98"/>
        <v>556</v>
      </c>
      <c r="N74" s="182">
        <f t="shared" ref="N74:N76" si="99">+L74/M74</f>
        <v>1.1169064748201438</v>
      </c>
      <c r="O74" s="239">
        <f t="shared" ref="O74:R74" si="100">O75+O76</f>
        <v>0</v>
      </c>
      <c r="P74" s="239">
        <f t="shared" si="100"/>
        <v>0</v>
      </c>
      <c r="Q74" s="239">
        <f t="shared" si="100"/>
        <v>271</v>
      </c>
      <c r="R74" s="239">
        <f t="shared" si="100"/>
        <v>0</v>
      </c>
      <c r="S74" s="360">
        <f t="shared" ref="S74:S77" si="101">O74+P74+Q74+R74</f>
        <v>271</v>
      </c>
      <c r="T74" s="356">
        <f>+T76</f>
        <v>270</v>
      </c>
      <c r="U74" s="182">
        <f t="shared" ref="U74:U76" si="102">+S74/T74</f>
        <v>1.0037037037037038</v>
      </c>
      <c r="V74" s="354"/>
      <c r="W74" s="239">
        <f>+W76</f>
        <v>130</v>
      </c>
      <c r="X74" s="1028"/>
      <c r="Y74" s="312"/>
      <c r="Z74" s="312"/>
      <c r="AA74" s="312"/>
      <c r="AB74" s="717">
        <f>+L74+S74+V74</f>
        <v>892</v>
      </c>
      <c r="AC74" s="239">
        <f>+AC75+AC76</f>
        <v>956</v>
      </c>
      <c r="AD74" s="189">
        <f t="shared" si="82"/>
        <v>0.93305439330543938</v>
      </c>
      <c r="AE74" s="606">
        <f>AB74+AB70+AB69++AB65+AB64</f>
        <v>4934</v>
      </c>
      <c r="AF74" s="207">
        <f>278+600+25</f>
        <v>903</v>
      </c>
      <c r="AG74" s="606">
        <f>AE74+AF74</f>
        <v>5837</v>
      </c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  <c r="CG74" s="69"/>
      <c r="CH74" s="69"/>
      <c r="CI74" s="69"/>
      <c r="CJ74" s="69"/>
      <c r="CK74" s="69"/>
      <c r="CL74" s="69"/>
      <c r="CM74" s="69"/>
      <c r="CN74" s="69"/>
      <c r="CO74" s="69"/>
    </row>
    <row r="75" spans="1:93" ht="15.75" customHeight="1">
      <c r="A75" s="703" t="s">
        <v>92</v>
      </c>
      <c r="B75" s="259"/>
      <c r="C75" s="260"/>
      <c r="D75" s="261"/>
      <c r="E75" s="259"/>
      <c r="F75" s="260"/>
      <c r="G75" s="472"/>
      <c r="H75" s="473"/>
      <c r="I75" s="474"/>
      <c r="J75" s="475"/>
      <c r="K75" s="412">
        <v>525</v>
      </c>
      <c r="L75" s="662">
        <f t="shared" ref="L75:L76" si="103">+K75</f>
        <v>525</v>
      </c>
      <c r="M75" s="299">
        <v>430</v>
      </c>
      <c r="N75" s="196">
        <f t="shared" si="99"/>
        <v>1.2209302325581395</v>
      </c>
      <c r="O75" s="517"/>
      <c r="P75" s="517"/>
      <c r="Q75" s="517"/>
      <c r="R75" s="517"/>
      <c r="S75" s="360">
        <f t="shared" si="101"/>
        <v>0</v>
      </c>
      <c r="T75" s="474"/>
      <c r="U75" s="196" t="e">
        <f t="shared" si="102"/>
        <v>#DIV/0!</v>
      </c>
      <c r="V75" s="259"/>
      <c r="W75" s="260"/>
      <c r="X75" s="261"/>
      <c r="Y75" s="70"/>
      <c r="Z75" s="70"/>
      <c r="AA75" s="70"/>
      <c r="AB75" s="502">
        <f t="shared" ref="AB75:AC75" si="104">+L75</f>
        <v>525</v>
      </c>
      <c r="AC75" s="69">
        <f t="shared" si="104"/>
        <v>430</v>
      </c>
      <c r="AD75" s="118">
        <f t="shared" si="82"/>
        <v>1.2209302325581395</v>
      </c>
      <c r="AF75" s="207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  <c r="CG75" s="69"/>
      <c r="CH75" s="69"/>
      <c r="CI75" s="69"/>
      <c r="CJ75" s="69"/>
      <c r="CK75" s="69"/>
      <c r="CL75" s="69"/>
      <c r="CM75" s="69"/>
      <c r="CN75" s="69"/>
      <c r="CO75" s="69"/>
    </row>
    <row r="76" spans="1:93" ht="15.75" customHeight="1">
      <c r="A76" s="703" t="s">
        <v>46</v>
      </c>
      <c r="B76" s="259"/>
      <c r="C76" s="260"/>
      <c r="D76" s="261"/>
      <c r="E76" s="259"/>
      <c r="F76" s="260"/>
      <c r="G76" s="472"/>
      <c r="H76" s="473"/>
      <c r="I76" s="474"/>
      <c r="J76" s="475"/>
      <c r="K76" s="77">
        <v>96</v>
      </c>
      <c r="L76" s="662">
        <f t="shared" si="103"/>
        <v>96</v>
      </c>
      <c r="M76" s="722">
        <v>126</v>
      </c>
      <c r="N76" s="196">
        <f t="shared" si="99"/>
        <v>0.76190476190476186</v>
      </c>
      <c r="O76" s="69"/>
      <c r="P76" s="69"/>
      <c r="Q76" s="69">
        <v>271</v>
      </c>
      <c r="R76" s="69"/>
      <c r="S76" s="360">
        <f t="shared" si="101"/>
        <v>271</v>
      </c>
      <c r="T76" s="723">
        <v>270</v>
      </c>
      <c r="U76" s="196">
        <f t="shared" si="102"/>
        <v>1.0037037037037038</v>
      </c>
      <c r="V76" s="369"/>
      <c r="W76" s="1039">
        <v>130</v>
      </c>
      <c r="X76" s="1021"/>
      <c r="Y76" s="70"/>
      <c r="Z76" s="70"/>
      <c r="AA76" s="70"/>
      <c r="AB76" s="502">
        <f t="shared" ref="AB76:AC76" si="105">+L76+S76+V76</f>
        <v>367</v>
      </c>
      <c r="AC76" s="69">
        <f t="shared" si="105"/>
        <v>526</v>
      </c>
      <c r="AD76" s="118">
        <f t="shared" si="82"/>
        <v>0.69771863117870725</v>
      </c>
      <c r="AE76" s="207"/>
      <c r="AF76" s="207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69"/>
      <c r="CO76" s="69"/>
    </row>
    <row r="77" spans="1:93" ht="15.75" customHeight="1">
      <c r="A77" s="756" t="s">
        <v>100</v>
      </c>
      <c r="B77" s="757"/>
      <c r="C77" s="758"/>
      <c r="D77" s="759"/>
      <c r="E77" s="757"/>
      <c r="F77" s="758"/>
      <c r="G77" s="760"/>
      <c r="H77" s="761"/>
      <c r="I77" s="762"/>
      <c r="J77" s="763"/>
      <c r="K77" s="762"/>
      <c r="L77" s="764"/>
      <c r="M77" s="762"/>
      <c r="N77" s="760"/>
      <c r="O77" s="765"/>
      <c r="P77" s="765"/>
      <c r="Q77" s="765"/>
      <c r="R77" s="765"/>
      <c r="S77" s="764">
        <f t="shared" si="101"/>
        <v>0</v>
      </c>
      <c r="T77" s="762"/>
      <c r="U77" s="760"/>
      <c r="V77" s="757"/>
      <c r="W77" s="758"/>
      <c r="X77" s="759"/>
      <c r="Y77" s="771"/>
      <c r="Z77" s="771"/>
      <c r="AA77" s="771"/>
      <c r="AB77" s="1040"/>
      <c r="AC77" s="758"/>
      <c r="AD77" s="759"/>
      <c r="AE77" s="207"/>
      <c r="AF77" s="207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69"/>
      <c r="CI77" s="69"/>
      <c r="CJ77" s="69"/>
      <c r="CK77" s="69"/>
      <c r="CL77" s="69"/>
      <c r="CM77" s="69"/>
      <c r="CN77" s="69"/>
      <c r="CO77" s="69"/>
    </row>
    <row r="78" spans="1:93" ht="15" customHeight="1">
      <c r="A78" s="784"/>
      <c r="B78" s="132" t="s">
        <v>103</v>
      </c>
      <c r="C78" s="132"/>
      <c r="D78" s="208">
        <f>+AVERAGE(D17:D32)</f>
        <v>0.84809736802335833</v>
      </c>
      <c r="E78" s="1071"/>
      <c r="F78" s="1064"/>
      <c r="G78" s="200"/>
      <c r="H78" s="77"/>
      <c r="I78" s="77"/>
      <c r="J78" s="366"/>
      <c r="K78" s="77"/>
      <c r="L78" s="77"/>
      <c r="M78" s="77"/>
      <c r="N78" s="77"/>
      <c r="O78" s="69"/>
      <c r="P78" s="69"/>
      <c r="Q78" s="69"/>
      <c r="R78" s="69"/>
      <c r="S78" s="77"/>
      <c r="T78" s="77"/>
      <c r="U78" s="69"/>
      <c r="V78" s="69"/>
      <c r="W78" s="69"/>
      <c r="X78" s="69"/>
      <c r="Y78" s="69"/>
      <c r="Z78" s="69"/>
      <c r="AA78" s="69"/>
      <c r="AB78" s="69"/>
      <c r="AC78" s="207"/>
      <c r="AD78" s="207"/>
      <c r="AE78" s="207"/>
      <c r="AF78" s="207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69"/>
      <c r="CO78" s="69"/>
    </row>
    <row r="79" spans="1:93" ht="12.75" customHeight="1">
      <c r="A79" s="784"/>
      <c r="B79" s="132" t="s">
        <v>104</v>
      </c>
      <c r="C79" s="132"/>
      <c r="D79" s="208">
        <f>+AVERAGE(D44:D56)</f>
        <v>1.1755555555555557</v>
      </c>
      <c r="E79" s="69"/>
      <c r="F79" s="69"/>
      <c r="G79" s="200">
        <f>+AVERAGE(G44:G56)</f>
        <v>1.0666666666666667</v>
      </c>
      <c r="H79" s="77"/>
      <c r="I79" s="77"/>
      <c r="J79" s="366"/>
      <c r="K79" s="77"/>
      <c r="L79" s="77"/>
      <c r="M79" s="77"/>
      <c r="N79" s="77"/>
      <c r="O79" s="69"/>
      <c r="P79" s="69"/>
      <c r="Q79" s="69"/>
      <c r="R79" s="69"/>
      <c r="S79" s="77"/>
      <c r="T79" s="77"/>
      <c r="U79" s="69"/>
      <c r="V79" s="69"/>
      <c r="W79" s="69"/>
      <c r="X79" s="69"/>
      <c r="Y79" s="69"/>
      <c r="Z79" s="69"/>
      <c r="AA79" s="69"/>
      <c r="AB79" s="69"/>
      <c r="AC79" s="207"/>
      <c r="AD79" s="207"/>
      <c r="AE79" s="207"/>
      <c r="AF79" s="207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69"/>
      <c r="CO79" s="69"/>
    </row>
    <row r="80" spans="1:93" ht="12.75" customHeight="1">
      <c r="A80" s="784"/>
      <c r="B80" s="132" t="s">
        <v>105</v>
      </c>
      <c r="C80" s="132"/>
      <c r="D80" s="208">
        <f>+AVERAGE(D63:D74)</f>
        <v>1.208538961038961</v>
      </c>
      <c r="E80" s="69"/>
      <c r="F80" s="69"/>
      <c r="G80" s="200">
        <f>+AVERAGE(G63:G74)</f>
        <v>1.0273586844809866</v>
      </c>
      <c r="H80" s="77"/>
      <c r="I80" s="77"/>
      <c r="J80" s="366"/>
      <c r="K80" s="77"/>
      <c r="L80" s="77"/>
      <c r="M80" s="77" t="s">
        <v>106</v>
      </c>
      <c r="N80" s="208">
        <f>+AVERAGE(N4,N6,N8,N13,N17,N24,N30,N32,N43,N46,N50,N56,N63,N64,N65,N66,N70,N71,N74)</f>
        <v>1.0957025564152383</v>
      </c>
      <c r="O80" s="69"/>
      <c r="P80" s="69"/>
      <c r="Q80" s="69"/>
      <c r="R80" s="69"/>
      <c r="S80" s="77"/>
      <c r="T80" s="77"/>
      <c r="U80" s="69"/>
      <c r="V80" s="69"/>
      <c r="W80" s="69"/>
      <c r="X80" s="69"/>
      <c r="Y80" s="69"/>
      <c r="Z80" s="69"/>
      <c r="AA80" s="69"/>
      <c r="AB80" s="69"/>
      <c r="AC80" s="207"/>
      <c r="AD80" s="207"/>
      <c r="AE80" s="207"/>
      <c r="AF80" s="207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69"/>
      <c r="CO80" s="69"/>
    </row>
    <row r="81" spans="1:93" ht="12.75" customHeight="1">
      <c r="A81" s="784"/>
      <c r="B81" s="132" t="s">
        <v>107</v>
      </c>
      <c r="C81" s="132"/>
      <c r="D81" s="208">
        <f>+AVERAGE(D6,D17,D24,D30,D32,D47,D56,D63,D64,D65,D69,D70)</f>
        <v>1.1064800230888903</v>
      </c>
      <c r="E81" s="69"/>
      <c r="F81" s="69"/>
      <c r="G81" s="200">
        <f>+AVERAGE(G6,G17,G24,G30,G32,G47,G56,G63,G64,G65,G69,G70)</f>
        <v>0.94349553569016076</v>
      </c>
      <c r="H81" s="77"/>
      <c r="I81" s="77"/>
      <c r="J81" s="366"/>
      <c r="K81" s="77"/>
      <c r="L81" s="77"/>
      <c r="M81" s="77"/>
      <c r="N81" s="77"/>
      <c r="O81" s="69"/>
      <c r="P81" s="69"/>
      <c r="Q81" s="69"/>
      <c r="R81" s="69"/>
      <c r="S81" s="77"/>
      <c r="T81" s="77"/>
      <c r="U81" s="69"/>
      <c r="V81" s="69"/>
      <c r="W81" s="69"/>
      <c r="X81" s="69"/>
      <c r="Y81" s="69"/>
      <c r="Z81" s="69"/>
      <c r="AA81" s="69"/>
      <c r="AB81" s="69"/>
      <c r="AC81" s="207"/>
      <c r="AD81" s="207"/>
      <c r="AE81" s="207"/>
      <c r="AF81" s="207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  <c r="CG81" s="69"/>
      <c r="CH81" s="69"/>
      <c r="CI81" s="69"/>
      <c r="CJ81" s="69"/>
      <c r="CK81" s="69"/>
      <c r="CL81" s="69"/>
      <c r="CM81" s="69"/>
      <c r="CN81" s="69"/>
      <c r="CO81" s="69"/>
    </row>
    <row r="82" spans="1:93" ht="12.75" customHeight="1">
      <c r="A82" s="784"/>
      <c r="B82" s="69"/>
      <c r="C82" s="69"/>
      <c r="D82" s="69"/>
      <c r="E82" s="69"/>
      <c r="F82" s="69"/>
      <c r="G82" s="77"/>
      <c r="H82" s="77"/>
      <c r="I82" s="77"/>
      <c r="J82" s="366"/>
      <c r="K82" s="77"/>
      <c r="L82" s="77"/>
      <c r="M82" s="77"/>
      <c r="N82" s="77"/>
      <c r="O82" s="69"/>
      <c r="P82" s="69"/>
      <c r="Q82" s="69"/>
      <c r="R82" s="69"/>
      <c r="S82" s="77"/>
      <c r="T82" s="77"/>
      <c r="U82" s="69"/>
      <c r="V82" s="69"/>
      <c r="W82" s="69"/>
      <c r="X82" s="69"/>
      <c r="Y82" s="69"/>
      <c r="Z82" s="69"/>
      <c r="AA82" s="69"/>
      <c r="AB82" s="69"/>
      <c r="AC82" s="207"/>
      <c r="AD82" s="207"/>
      <c r="AE82" s="207"/>
      <c r="AF82" s="207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  <c r="CG82" s="69"/>
      <c r="CH82" s="69"/>
      <c r="CI82" s="69"/>
      <c r="CJ82" s="69"/>
      <c r="CK82" s="69"/>
      <c r="CL82" s="69"/>
      <c r="CM82" s="69"/>
      <c r="CN82" s="69"/>
      <c r="CO82" s="69"/>
    </row>
    <row r="83" spans="1:93" ht="12.75" customHeight="1">
      <c r="A83" s="784"/>
      <c r="B83" s="786" t="s">
        <v>37</v>
      </c>
      <c r="C83" s="1072" t="s">
        <v>108</v>
      </c>
      <c r="D83" s="1070"/>
      <c r="E83" s="69"/>
      <c r="F83" s="69"/>
      <c r="G83" s="77"/>
      <c r="H83" s="77"/>
      <c r="I83" s="77"/>
      <c r="J83" s="366"/>
      <c r="K83" s="77"/>
      <c r="L83" s="77"/>
      <c r="M83" s="77"/>
      <c r="N83" s="77"/>
      <c r="O83" s="69"/>
      <c r="P83" s="69"/>
      <c r="Q83" s="69"/>
      <c r="R83" s="69"/>
      <c r="S83" s="77"/>
      <c r="T83" s="77"/>
      <c r="U83" s="69"/>
      <c r="V83" s="69"/>
      <c r="W83" s="69"/>
      <c r="X83" s="69"/>
      <c r="Y83" s="69"/>
      <c r="Z83" s="69"/>
      <c r="AA83" s="69"/>
      <c r="AB83" s="69"/>
      <c r="AC83" s="207"/>
      <c r="AD83" s="207"/>
      <c r="AE83" s="207"/>
      <c r="AF83" s="207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  <c r="BZ83" s="69"/>
      <c r="CA83" s="69"/>
      <c r="CB83" s="69"/>
      <c r="CC83" s="69"/>
      <c r="CD83" s="69"/>
      <c r="CE83" s="69"/>
      <c r="CF83" s="69"/>
      <c r="CG83" s="69"/>
      <c r="CH83" s="69"/>
      <c r="CI83" s="69"/>
      <c r="CJ83" s="69"/>
      <c r="CK83" s="69"/>
      <c r="CL83" s="69"/>
      <c r="CM83" s="69"/>
      <c r="CN83" s="69"/>
      <c r="CO83" s="69"/>
    </row>
    <row r="84" spans="1:93" ht="12.75" customHeight="1">
      <c r="A84" s="784"/>
      <c r="B84" s="786" t="s">
        <v>40</v>
      </c>
      <c r="C84" s="787" t="s">
        <v>109</v>
      </c>
      <c r="D84" s="787"/>
      <c r="E84" s="69"/>
      <c r="F84" s="69"/>
      <c r="G84" s="77"/>
      <c r="H84" s="77"/>
      <c r="I84" s="77"/>
      <c r="J84" s="366"/>
      <c r="K84" s="77"/>
      <c r="L84" s="77"/>
      <c r="M84" s="77"/>
      <c r="N84" s="77"/>
      <c r="O84" s="69"/>
      <c r="P84" s="69"/>
      <c r="Q84" s="69"/>
      <c r="R84" s="69"/>
      <c r="S84" s="77"/>
      <c r="T84" s="77"/>
      <c r="U84" s="69"/>
      <c r="V84" s="69"/>
      <c r="W84" s="69"/>
      <c r="X84" s="69"/>
      <c r="Y84" s="69"/>
      <c r="Z84" s="69"/>
      <c r="AA84" s="69"/>
      <c r="AB84" s="69"/>
      <c r="AC84" s="207"/>
      <c r="AD84" s="207"/>
      <c r="AE84" s="207"/>
      <c r="AF84" s="207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  <c r="BZ84" s="69"/>
      <c r="CA84" s="69"/>
      <c r="CB84" s="69"/>
      <c r="CC84" s="69"/>
      <c r="CD84" s="69"/>
      <c r="CE84" s="69"/>
      <c r="CF84" s="69"/>
      <c r="CG84" s="69"/>
      <c r="CH84" s="69"/>
      <c r="CI84" s="69"/>
      <c r="CJ84" s="69"/>
      <c r="CK84" s="69"/>
      <c r="CL84" s="69"/>
      <c r="CM84" s="69"/>
      <c r="CN84" s="69"/>
      <c r="CO84" s="69"/>
    </row>
    <row r="85" spans="1:93" ht="12.75" customHeight="1">
      <c r="A85" s="784"/>
      <c r="B85" s="788" t="s">
        <v>110</v>
      </c>
      <c r="C85" s="1073" t="s">
        <v>160</v>
      </c>
      <c r="D85" s="1069"/>
      <c r="E85" s="1069"/>
      <c r="F85" s="1069"/>
      <c r="G85" s="1069"/>
      <c r="H85" s="1069"/>
      <c r="I85" s="1069"/>
      <c r="J85" s="1069"/>
      <c r="K85" s="1070"/>
      <c r="L85" s="77"/>
      <c r="M85" s="77"/>
      <c r="N85" s="77"/>
      <c r="O85" s="69"/>
      <c r="P85" s="69"/>
      <c r="Q85" s="69"/>
      <c r="R85" s="69"/>
      <c r="S85" s="77"/>
      <c r="T85" s="77"/>
      <c r="U85" s="69"/>
      <c r="V85" s="69"/>
      <c r="W85" s="69"/>
      <c r="X85" s="69"/>
      <c r="Y85" s="69"/>
      <c r="Z85" s="69"/>
      <c r="AA85" s="69"/>
      <c r="AB85" s="69"/>
      <c r="AC85" s="207"/>
      <c r="AD85" s="207"/>
      <c r="AE85" s="207"/>
      <c r="AF85" s="207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  <c r="BC85" s="69"/>
      <c r="BD85" s="69"/>
      <c r="BE85" s="69"/>
      <c r="BF85" s="69"/>
      <c r="BG85" s="69"/>
      <c r="BH85" s="69"/>
      <c r="BI85" s="69"/>
      <c r="BJ85" s="69"/>
      <c r="BK85" s="69"/>
      <c r="BL85" s="69"/>
      <c r="BM85" s="69"/>
      <c r="BN85" s="69"/>
      <c r="BO85" s="69"/>
      <c r="BP85" s="69"/>
      <c r="BQ85" s="69"/>
      <c r="BR85" s="69"/>
      <c r="BS85" s="69"/>
      <c r="BT85" s="69"/>
      <c r="BU85" s="69"/>
      <c r="BV85" s="69"/>
      <c r="BW85" s="69"/>
      <c r="BX85" s="69"/>
      <c r="BY85" s="69"/>
      <c r="BZ85" s="69"/>
      <c r="CA85" s="69"/>
      <c r="CB85" s="69"/>
      <c r="CC85" s="69"/>
      <c r="CD85" s="69"/>
      <c r="CE85" s="69"/>
      <c r="CF85" s="69"/>
      <c r="CG85" s="69"/>
      <c r="CH85" s="69"/>
      <c r="CI85" s="69"/>
      <c r="CJ85" s="69"/>
      <c r="CK85" s="69"/>
      <c r="CL85" s="69"/>
      <c r="CM85" s="69"/>
      <c r="CN85" s="69"/>
      <c r="CO85" s="69"/>
    </row>
    <row r="86" spans="1:93" ht="12.75" customHeight="1">
      <c r="A86" s="784"/>
      <c r="B86" s="788" t="s">
        <v>111</v>
      </c>
      <c r="C86" s="1073" t="s">
        <v>161</v>
      </c>
      <c r="D86" s="1069"/>
      <c r="E86" s="1069"/>
      <c r="F86" s="1069"/>
      <c r="G86" s="1069"/>
      <c r="H86" s="1069"/>
      <c r="I86" s="1069"/>
      <c r="J86" s="1069"/>
      <c r="K86" s="1070"/>
      <c r="L86" s="77"/>
      <c r="M86" s="77"/>
      <c r="N86" s="77"/>
      <c r="O86" s="69"/>
      <c r="P86" s="69"/>
      <c r="Q86" s="69"/>
      <c r="R86" s="69"/>
      <c r="S86" s="77"/>
      <c r="T86" s="77"/>
      <c r="U86" s="69"/>
      <c r="V86" s="69"/>
      <c r="W86" s="69"/>
      <c r="X86" s="69"/>
      <c r="Y86" s="69"/>
      <c r="Z86" s="69"/>
      <c r="AA86" s="69"/>
      <c r="AB86" s="69"/>
      <c r="AC86" s="207"/>
      <c r="AD86" s="207"/>
      <c r="AE86" s="207"/>
      <c r="AF86" s="207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69"/>
      <c r="CG86" s="69"/>
      <c r="CH86" s="69"/>
      <c r="CI86" s="69"/>
      <c r="CJ86" s="69"/>
      <c r="CK86" s="69"/>
      <c r="CL86" s="69"/>
      <c r="CM86" s="69"/>
      <c r="CN86" s="69"/>
      <c r="CO86" s="69"/>
    </row>
    <row r="87" spans="1:93" ht="12.75" customHeight="1">
      <c r="A87" s="784"/>
      <c r="B87" s="788" t="s">
        <v>112</v>
      </c>
      <c r="C87" s="1073" t="s">
        <v>162</v>
      </c>
      <c r="D87" s="1069"/>
      <c r="E87" s="1069"/>
      <c r="F87" s="1069"/>
      <c r="G87" s="1069"/>
      <c r="H87" s="1069"/>
      <c r="I87" s="1069"/>
      <c r="J87" s="1069"/>
      <c r="K87" s="1070"/>
      <c r="L87" s="77"/>
      <c r="M87" s="77"/>
      <c r="N87" s="77"/>
      <c r="O87" s="69"/>
      <c r="P87" s="69"/>
      <c r="Q87" s="69"/>
      <c r="R87" s="69"/>
      <c r="S87" s="77"/>
      <c r="T87" s="77"/>
      <c r="U87" s="69"/>
      <c r="V87" s="69"/>
      <c r="W87" s="69"/>
      <c r="X87" s="69"/>
      <c r="Y87" s="69"/>
      <c r="Z87" s="69"/>
      <c r="AA87" s="69"/>
      <c r="AB87" s="69"/>
      <c r="AC87" s="207"/>
      <c r="AD87" s="207"/>
      <c r="AE87" s="207"/>
      <c r="AF87" s="207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69"/>
      <c r="CG87" s="69"/>
      <c r="CH87" s="69"/>
      <c r="CI87" s="69"/>
      <c r="CJ87" s="69"/>
      <c r="CK87" s="69"/>
      <c r="CL87" s="69"/>
      <c r="CM87" s="69"/>
      <c r="CN87" s="69"/>
      <c r="CO87" s="69"/>
    </row>
    <row r="88" spans="1:93" ht="12.75" customHeight="1">
      <c r="A88" s="784"/>
      <c r="B88" s="788" t="s">
        <v>113</v>
      </c>
      <c r="C88" s="1073" t="s">
        <v>163</v>
      </c>
      <c r="D88" s="1069"/>
      <c r="E88" s="1069"/>
      <c r="F88" s="1069"/>
      <c r="G88" s="1069"/>
      <c r="H88" s="1069"/>
      <c r="I88" s="1069"/>
      <c r="J88" s="1069"/>
      <c r="K88" s="1070"/>
      <c r="L88" s="77"/>
      <c r="M88" s="77"/>
      <c r="N88" s="77"/>
      <c r="O88" s="69"/>
      <c r="P88" s="69"/>
      <c r="Q88" s="69"/>
      <c r="R88" s="69"/>
      <c r="S88" s="77"/>
      <c r="T88" s="77"/>
      <c r="U88" s="69"/>
      <c r="V88" s="69"/>
      <c r="W88" s="69"/>
      <c r="X88" s="69"/>
      <c r="Y88" s="69"/>
      <c r="Z88" s="69"/>
      <c r="AA88" s="69"/>
      <c r="AB88" s="69"/>
      <c r="AC88" s="207"/>
      <c r="AD88" s="207"/>
      <c r="AE88" s="207"/>
      <c r="AF88" s="207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69"/>
      <c r="CG88" s="69"/>
      <c r="CH88" s="69"/>
      <c r="CI88" s="69"/>
      <c r="CJ88" s="69"/>
      <c r="CK88" s="69"/>
      <c r="CL88" s="69"/>
      <c r="CM88" s="69"/>
      <c r="CN88" s="69"/>
      <c r="CO88" s="69"/>
    </row>
    <row r="89" spans="1:93" ht="12.75" customHeight="1">
      <c r="A89" s="784"/>
      <c r="B89" s="788">
        <v>3.1</v>
      </c>
      <c r="C89" s="1073" t="s">
        <v>114</v>
      </c>
      <c r="D89" s="1069"/>
      <c r="E89" s="1069"/>
      <c r="F89" s="1069"/>
      <c r="G89" s="1069"/>
      <c r="H89" s="1069"/>
      <c r="I89" s="1069"/>
      <c r="J89" s="1069"/>
      <c r="K89" s="1070"/>
      <c r="L89" s="77"/>
      <c r="M89" s="77"/>
      <c r="N89" s="77"/>
      <c r="O89" s="69"/>
      <c r="P89" s="69"/>
      <c r="Q89" s="69"/>
      <c r="R89" s="69"/>
      <c r="S89" s="77"/>
      <c r="T89" s="77"/>
      <c r="U89" s="69"/>
      <c r="V89" s="69"/>
      <c r="W89" s="69"/>
      <c r="X89" s="69"/>
      <c r="Y89" s="69"/>
      <c r="Z89" s="69"/>
      <c r="AA89" s="69"/>
      <c r="AB89" s="69"/>
      <c r="AC89" s="207"/>
      <c r="AD89" s="207"/>
      <c r="AE89" s="207"/>
      <c r="AF89" s="207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69"/>
      <c r="CG89" s="69"/>
      <c r="CH89" s="69"/>
      <c r="CI89" s="69"/>
      <c r="CJ89" s="69"/>
      <c r="CK89" s="69"/>
      <c r="CL89" s="69"/>
      <c r="CM89" s="69"/>
      <c r="CN89" s="69"/>
      <c r="CO89" s="69"/>
    </row>
    <row r="90" spans="1:93" ht="12.75" customHeight="1">
      <c r="A90" s="784"/>
      <c r="B90" s="788" t="s">
        <v>115</v>
      </c>
      <c r="C90" s="1068" t="s">
        <v>164</v>
      </c>
      <c r="D90" s="1069"/>
      <c r="E90" s="1069"/>
      <c r="F90" s="1069"/>
      <c r="G90" s="1069"/>
      <c r="H90" s="1069"/>
      <c r="I90" s="1069"/>
      <c r="J90" s="1069"/>
      <c r="K90" s="1070"/>
      <c r="L90" s="77"/>
      <c r="M90" s="77"/>
      <c r="N90" s="77"/>
      <c r="O90" s="69"/>
      <c r="P90" s="69"/>
      <c r="Q90" s="69"/>
      <c r="R90" s="69"/>
      <c r="S90" s="77"/>
      <c r="T90" s="77"/>
      <c r="U90" s="69"/>
      <c r="V90" s="69"/>
      <c r="W90" s="69"/>
      <c r="X90" s="69"/>
      <c r="Y90" s="69"/>
      <c r="Z90" s="69"/>
      <c r="AA90" s="69"/>
      <c r="AB90" s="69"/>
      <c r="AC90" s="207"/>
      <c r="AD90" s="207"/>
      <c r="AE90" s="207"/>
      <c r="AF90" s="207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69"/>
      <c r="CG90" s="69"/>
      <c r="CH90" s="69"/>
      <c r="CI90" s="69"/>
      <c r="CJ90" s="69"/>
      <c r="CK90" s="69"/>
      <c r="CL90" s="69"/>
      <c r="CM90" s="69"/>
      <c r="CN90" s="69"/>
      <c r="CO90" s="69"/>
    </row>
    <row r="91" spans="1:93" ht="12.75" customHeight="1">
      <c r="A91" s="784"/>
      <c r="B91" s="788" t="s">
        <v>116</v>
      </c>
      <c r="C91" s="1068" t="s">
        <v>165</v>
      </c>
      <c r="D91" s="1069"/>
      <c r="E91" s="1069"/>
      <c r="F91" s="1069"/>
      <c r="G91" s="1069"/>
      <c r="H91" s="1069"/>
      <c r="I91" s="1069"/>
      <c r="J91" s="1069"/>
      <c r="K91" s="1070"/>
      <c r="L91" s="77"/>
      <c r="M91" s="77"/>
      <c r="N91" s="77"/>
      <c r="O91" s="69"/>
      <c r="P91" s="69"/>
      <c r="Q91" s="69"/>
      <c r="R91" s="69"/>
      <c r="S91" s="77"/>
      <c r="T91" s="77"/>
      <c r="U91" s="69"/>
      <c r="V91" s="69"/>
      <c r="W91" s="69"/>
      <c r="X91" s="69"/>
      <c r="Y91" s="69"/>
      <c r="Z91" s="69"/>
      <c r="AA91" s="69"/>
      <c r="AB91" s="69"/>
      <c r="AC91" s="207"/>
      <c r="AD91" s="207"/>
      <c r="AE91" s="207"/>
      <c r="AF91" s="207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69"/>
      <c r="CG91" s="69"/>
      <c r="CH91" s="69"/>
      <c r="CI91" s="69"/>
      <c r="CJ91" s="69"/>
      <c r="CK91" s="69"/>
      <c r="CL91" s="69"/>
      <c r="CM91" s="69"/>
      <c r="CN91" s="69"/>
      <c r="CO91" s="69"/>
    </row>
    <row r="92" spans="1:93" ht="12.75" customHeight="1">
      <c r="A92" s="784"/>
      <c r="B92" s="788" t="s">
        <v>117</v>
      </c>
      <c r="C92" s="1068" t="s">
        <v>166</v>
      </c>
      <c r="D92" s="1069"/>
      <c r="E92" s="1069"/>
      <c r="F92" s="1069"/>
      <c r="G92" s="1069"/>
      <c r="H92" s="1069"/>
      <c r="I92" s="1069"/>
      <c r="J92" s="1069"/>
      <c r="K92" s="1070"/>
      <c r="L92" s="77"/>
      <c r="M92" s="77"/>
      <c r="N92" s="77"/>
      <c r="O92" s="69"/>
      <c r="P92" s="69"/>
      <c r="Q92" s="69"/>
      <c r="R92" s="69"/>
      <c r="S92" s="77"/>
      <c r="T92" s="77"/>
      <c r="U92" s="69"/>
      <c r="V92" s="69"/>
      <c r="W92" s="69"/>
      <c r="X92" s="69"/>
      <c r="Y92" s="69"/>
      <c r="Z92" s="69"/>
      <c r="AA92" s="69"/>
      <c r="AB92" s="69"/>
      <c r="AC92" s="207"/>
      <c r="AD92" s="207"/>
      <c r="AE92" s="207"/>
      <c r="AF92" s="207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69"/>
      <c r="CG92" s="69"/>
      <c r="CH92" s="69"/>
      <c r="CI92" s="69"/>
      <c r="CJ92" s="69"/>
      <c r="CK92" s="69"/>
      <c r="CL92" s="69"/>
      <c r="CM92" s="69"/>
      <c r="CN92" s="69"/>
      <c r="CO92" s="69"/>
    </row>
    <row r="93" spans="1:93" ht="12.75" customHeight="1">
      <c r="A93" s="784"/>
      <c r="B93" s="788" t="s">
        <v>118</v>
      </c>
      <c r="C93" s="1068" t="s">
        <v>167</v>
      </c>
      <c r="D93" s="1069"/>
      <c r="E93" s="1069"/>
      <c r="F93" s="1069"/>
      <c r="G93" s="1069"/>
      <c r="H93" s="1069"/>
      <c r="I93" s="1069"/>
      <c r="J93" s="1069"/>
      <c r="K93" s="1070"/>
      <c r="L93" s="77"/>
      <c r="M93" s="77"/>
      <c r="N93" s="77"/>
      <c r="O93" s="69"/>
      <c r="P93" s="69"/>
      <c r="Q93" s="69"/>
      <c r="R93" s="69"/>
      <c r="S93" s="77"/>
      <c r="T93" s="77"/>
      <c r="U93" s="69"/>
      <c r="V93" s="69"/>
      <c r="W93" s="69"/>
      <c r="X93" s="69"/>
      <c r="Y93" s="69"/>
      <c r="Z93" s="69"/>
      <c r="AA93" s="69"/>
      <c r="AB93" s="69"/>
      <c r="AC93" s="207"/>
      <c r="AD93" s="207"/>
      <c r="AE93" s="207"/>
      <c r="AF93" s="207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69"/>
      <c r="CG93" s="69"/>
      <c r="CH93" s="69"/>
      <c r="CI93" s="69"/>
      <c r="CJ93" s="69"/>
      <c r="CK93" s="69"/>
      <c r="CL93" s="69"/>
      <c r="CM93" s="69"/>
      <c r="CN93" s="69"/>
      <c r="CO93" s="69"/>
    </row>
    <row r="94" spans="1:93" ht="12.75" customHeight="1">
      <c r="A94" s="784"/>
      <c r="B94" s="788" t="s">
        <v>119</v>
      </c>
      <c r="C94" s="1068" t="s">
        <v>168</v>
      </c>
      <c r="D94" s="1069"/>
      <c r="E94" s="1069"/>
      <c r="F94" s="1069"/>
      <c r="G94" s="1069"/>
      <c r="H94" s="1069"/>
      <c r="I94" s="1069"/>
      <c r="J94" s="1069"/>
      <c r="K94" s="1070"/>
      <c r="L94" s="77"/>
      <c r="M94" s="77"/>
      <c r="N94" s="77"/>
      <c r="O94" s="69"/>
      <c r="P94" s="69"/>
      <c r="Q94" s="69"/>
      <c r="R94" s="69"/>
      <c r="S94" s="77"/>
      <c r="T94" s="77"/>
      <c r="U94" s="69"/>
      <c r="V94" s="69"/>
      <c r="W94" s="69"/>
      <c r="X94" s="69"/>
      <c r="Y94" s="69"/>
      <c r="Z94" s="69"/>
      <c r="AA94" s="69"/>
      <c r="AB94" s="69"/>
      <c r="AC94" s="207"/>
      <c r="AD94" s="207"/>
      <c r="AE94" s="207"/>
      <c r="AF94" s="207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9"/>
      <c r="CG94" s="69"/>
      <c r="CH94" s="69"/>
      <c r="CI94" s="69"/>
      <c r="CJ94" s="69"/>
      <c r="CK94" s="69"/>
      <c r="CL94" s="69"/>
      <c r="CM94" s="69"/>
      <c r="CN94" s="69"/>
      <c r="CO94" s="69"/>
    </row>
    <row r="95" spans="1:93" ht="12.75" customHeight="1">
      <c r="A95" s="784"/>
      <c r="B95" s="788" t="s">
        <v>120</v>
      </c>
      <c r="C95" s="1068" t="s">
        <v>169</v>
      </c>
      <c r="D95" s="1069"/>
      <c r="E95" s="1069"/>
      <c r="F95" s="1069"/>
      <c r="G95" s="1069"/>
      <c r="H95" s="1069"/>
      <c r="I95" s="1069"/>
      <c r="J95" s="1069"/>
      <c r="K95" s="1070"/>
      <c r="L95" s="77"/>
      <c r="M95" s="77"/>
      <c r="N95" s="77"/>
      <c r="O95" s="69"/>
      <c r="P95" s="69"/>
      <c r="Q95" s="69"/>
      <c r="R95" s="69"/>
      <c r="S95" s="77"/>
      <c r="T95" s="77"/>
      <c r="U95" s="69"/>
      <c r="V95" s="69"/>
      <c r="W95" s="69"/>
      <c r="X95" s="69"/>
      <c r="Y95" s="69"/>
      <c r="Z95" s="69"/>
      <c r="AA95" s="69"/>
      <c r="AB95" s="69"/>
      <c r="AC95" s="207"/>
      <c r="AD95" s="207"/>
      <c r="AE95" s="207"/>
      <c r="AF95" s="207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9"/>
      <c r="CG95" s="69"/>
      <c r="CH95" s="69"/>
      <c r="CI95" s="69"/>
      <c r="CJ95" s="69"/>
      <c r="CK95" s="69"/>
      <c r="CL95" s="69"/>
      <c r="CM95" s="69"/>
      <c r="CN95" s="69"/>
      <c r="CO95" s="69"/>
    </row>
    <row r="96" spans="1:93" ht="12.75" customHeight="1">
      <c r="A96" s="784"/>
      <c r="B96" s="69"/>
      <c r="C96" s="69"/>
      <c r="D96" s="69"/>
      <c r="E96" s="69"/>
      <c r="F96" s="69"/>
      <c r="G96" s="77"/>
      <c r="H96" s="77"/>
      <c r="I96" s="77"/>
      <c r="J96" s="366"/>
      <c r="K96" s="77"/>
      <c r="L96" s="77"/>
      <c r="M96" s="77"/>
      <c r="N96" s="77"/>
      <c r="O96" s="69"/>
      <c r="P96" s="69"/>
      <c r="Q96" s="69"/>
      <c r="R96" s="69"/>
      <c r="S96" s="77"/>
      <c r="T96" s="77"/>
      <c r="U96" s="69"/>
      <c r="V96" s="69"/>
      <c r="W96" s="69"/>
      <c r="X96" s="69"/>
      <c r="Y96" s="69"/>
      <c r="Z96" s="69"/>
      <c r="AA96" s="69"/>
      <c r="AB96" s="69"/>
      <c r="AC96" s="207"/>
      <c r="AD96" s="207"/>
      <c r="AE96" s="207"/>
      <c r="AF96" s="207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69"/>
      <c r="BQ96" s="69"/>
      <c r="BR96" s="69"/>
      <c r="BS96" s="69"/>
      <c r="BT96" s="69"/>
      <c r="BU96" s="69"/>
      <c r="BV96" s="69"/>
      <c r="BW96" s="69"/>
      <c r="BX96" s="69"/>
      <c r="BY96" s="69"/>
      <c r="BZ96" s="69"/>
      <c r="CA96" s="69"/>
      <c r="CB96" s="69"/>
      <c r="CC96" s="69"/>
      <c r="CD96" s="69"/>
      <c r="CE96" s="69"/>
      <c r="CF96" s="69"/>
      <c r="CG96" s="69"/>
      <c r="CH96" s="69"/>
      <c r="CI96" s="69"/>
      <c r="CJ96" s="69"/>
      <c r="CK96" s="69"/>
      <c r="CL96" s="69"/>
      <c r="CM96" s="69"/>
      <c r="CN96" s="69"/>
      <c r="CO96" s="69"/>
    </row>
    <row r="97" spans="1:93" ht="12.75" customHeight="1">
      <c r="A97" s="784"/>
      <c r="B97" s="69"/>
      <c r="C97" s="69"/>
      <c r="D97" s="69"/>
      <c r="E97" s="69"/>
      <c r="F97" s="69"/>
      <c r="G97" s="77"/>
      <c r="H97" s="77"/>
      <c r="I97" s="77"/>
      <c r="J97" s="366"/>
      <c r="K97" s="77"/>
      <c r="L97" s="77"/>
      <c r="M97" s="77"/>
      <c r="N97" s="77"/>
      <c r="O97" s="69"/>
      <c r="P97" s="69"/>
      <c r="Q97" s="69"/>
      <c r="R97" s="69"/>
      <c r="S97" s="77"/>
      <c r="T97" s="77"/>
      <c r="U97" s="69"/>
      <c r="V97" s="69"/>
      <c r="W97" s="69"/>
      <c r="X97" s="69"/>
      <c r="Y97" s="69"/>
      <c r="Z97" s="69"/>
      <c r="AA97" s="69"/>
      <c r="AB97" s="69"/>
      <c r="AC97" s="207"/>
      <c r="AD97" s="207"/>
      <c r="AE97" s="207"/>
      <c r="AF97" s="207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69"/>
      <c r="CA97" s="69"/>
      <c r="CB97" s="69"/>
      <c r="CC97" s="69"/>
      <c r="CD97" s="69"/>
      <c r="CE97" s="69"/>
      <c r="CF97" s="69"/>
      <c r="CG97" s="69"/>
      <c r="CH97" s="69"/>
      <c r="CI97" s="69"/>
      <c r="CJ97" s="69"/>
      <c r="CK97" s="69"/>
      <c r="CL97" s="69"/>
      <c r="CM97" s="69"/>
      <c r="CN97" s="69"/>
      <c r="CO97" s="69"/>
    </row>
    <row r="98" spans="1:93" ht="12.75" customHeight="1">
      <c r="A98" s="784"/>
      <c r="B98" s="69"/>
      <c r="C98" s="69"/>
      <c r="D98" s="69"/>
      <c r="E98" s="69"/>
      <c r="F98" s="69"/>
      <c r="G98" s="77"/>
      <c r="H98" s="77"/>
      <c r="I98" s="77"/>
      <c r="J98" s="366"/>
      <c r="K98" s="77"/>
      <c r="L98" s="77"/>
      <c r="M98" s="77"/>
      <c r="N98" s="77"/>
      <c r="O98" s="69"/>
      <c r="P98" s="69"/>
      <c r="Q98" s="69"/>
      <c r="R98" s="69"/>
      <c r="S98" s="77"/>
      <c r="T98" s="77"/>
      <c r="U98" s="69"/>
      <c r="V98" s="69"/>
      <c r="W98" s="69"/>
      <c r="X98" s="69"/>
      <c r="Y98" s="69"/>
      <c r="Z98" s="69"/>
      <c r="AA98" s="69"/>
      <c r="AB98" s="69"/>
      <c r="AC98" s="207"/>
      <c r="AD98" s="207"/>
      <c r="AE98" s="207"/>
      <c r="AF98" s="207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</row>
    <row r="99" spans="1:93" ht="12.75" customHeight="1">
      <c r="A99" s="784"/>
      <c r="B99" s="69"/>
      <c r="C99" s="69"/>
      <c r="D99" s="69"/>
      <c r="E99" s="69"/>
      <c r="F99" s="69"/>
      <c r="G99" s="77"/>
      <c r="H99" s="77"/>
      <c r="I99" s="77"/>
      <c r="J99" s="366"/>
      <c r="K99" s="77"/>
      <c r="L99" s="77"/>
      <c r="M99" s="77"/>
      <c r="N99" s="77"/>
      <c r="O99" s="69"/>
      <c r="P99" s="69"/>
      <c r="Q99" s="69"/>
      <c r="R99" s="69"/>
      <c r="S99" s="77"/>
      <c r="T99" s="77"/>
      <c r="U99" s="69"/>
      <c r="V99" s="69"/>
      <c r="W99" s="69"/>
      <c r="X99" s="69"/>
      <c r="Y99" s="69"/>
      <c r="Z99" s="69"/>
      <c r="AA99" s="69"/>
      <c r="AB99" s="69"/>
      <c r="AC99" s="207"/>
      <c r="AD99" s="207"/>
      <c r="AE99" s="207"/>
      <c r="AF99" s="207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9"/>
      <c r="CO99" s="69"/>
    </row>
    <row r="100" spans="1:93" ht="12.75" customHeight="1">
      <c r="A100" s="784"/>
      <c r="B100" s="69"/>
      <c r="C100" s="69"/>
      <c r="D100" s="69"/>
      <c r="E100" s="69"/>
      <c r="F100" s="69"/>
      <c r="G100" s="77"/>
      <c r="H100" s="77"/>
      <c r="I100" s="77"/>
      <c r="J100" s="366"/>
      <c r="K100" s="77"/>
      <c r="L100" s="77"/>
      <c r="M100" s="77"/>
      <c r="N100" s="77"/>
      <c r="O100" s="69"/>
      <c r="P100" s="69"/>
      <c r="Q100" s="69"/>
      <c r="R100" s="69"/>
      <c r="S100" s="77"/>
      <c r="T100" s="77"/>
      <c r="U100" s="69"/>
      <c r="V100" s="69"/>
      <c r="W100" s="69"/>
      <c r="X100" s="69"/>
      <c r="Y100" s="69"/>
      <c r="Z100" s="69"/>
      <c r="AA100" s="69"/>
      <c r="AB100" s="69"/>
      <c r="AC100" s="207"/>
      <c r="AD100" s="207"/>
      <c r="AE100" s="207"/>
      <c r="AF100" s="207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</row>
    <row r="101" spans="1:93" ht="12.75" customHeight="1">
      <c r="A101" s="784"/>
      <c r="B101" s="69"/>
      <c r="C101" s="69"/>
      <c r="D101" s="69"/>
      <c r="E101" s="69"/>
      <c r="F101" s="69"/>
      <c r="G101" s="77"/>
      <c r="H101" s="77"/>
      <c r="I101" s="77"/>
      <c r="J101" s="366"/>
      <c r="K101" s="77"/>
      <c r="L101" s="77"/>
      <c r="M101" s="77"/>
      <c r="N101" s="77"/>
      <c r="O101" s="69"/>
      <c r="P101" s="69"/>
      <c r="Q101" s="69"/>
      <c r="R101" s="69"/>
      <c r="S101" s="77"/>
      <c r="T101" s="77"/>
      <c r="U101" s="69"/>
      <c r="V101" s="69"/>
      <c r="W101" s="69"/>
      <c r="X101" s="69"/>
      <c r="Y101" s="69"/>
      <c r="Z101" s="69"/>
      <c r="AA101" s="69"/>
      <c r="AB101" s="69"/>
      <c r="AC101" s="207"/>
      <c r="AD101" s="207"/>
      <c r="AE101" s="207"/>
      <c r="AF101" s="207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  <c r="CI101" s="69"/>
      <c r="CJ101" s="69"/>
      <c r="CK101" s="69"/>
      <c r="CL101" s="69"/>
      <c r="CM101" s="69"/>
      <c r="CN101" s="69"/>
      <c r="CO101" s="69"/>
    </row>
    <row r="102" spans="1:93" ht="12.75" customHeight="1">
      <c r="A102" s="784"/>
      <c r="B102" s="69"/>
      <c r="C102" s="69"/>
      <c r="D102" s="69"/>
      <c r="E102" s="69"/>
      <c r="F102" s="69"/>
      <c r="G102" s="77"/>
      <c r="H102" s="77"/>
      <c r="I102" s="77"/>
      <c r="J102" s="366"/>
      <c r="K102" s="77"/>
      <c r="L102" s="77"/>
      <c r="M102" s="77"/>
      <c r="N102" s="77"/>
      <c r="O102" s="69"/>
      <c r="P102" s="69"/>
      <c r="Q102" s="69"/>
      <c r="R102" s="69"/>
      <c r="S102" s="77"/>
      <c r="T102" s="77"/>
      <c r="U102" s="69"/>
      <c r="V102" s="69"/>
      <c r="W102" s="69"/>
      <c r="X102" s="69"/>
      <c r="Y102" s="69"/>
      <c r="Z102" s="69"/>
      <c r="AA102" s="69"/>
      <c r="AB102" s="69"/>
      <c r="AC102" s="207"/>
      <c r="AD102" s="207"/>
      <c r="AE102" s="207"/>
      <c r="AF102" s="207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9"/>
      <c r="CO102" s="69"/>
    </row>
    <row r="103" spans="1:93" ht="12.75" customHeight="1">
      <c r="A103" s="784"/>
      <c r="B103" s="69"/>
      <c r="C103" s="69"/>
      <c r="D103" s="69"/>
      <c r="E103" s="69"/>
      <c r="F103" s="69"/>
      <c r="G103" s="77"/>
      <c r="H103" s="77"/>
      <c r="I103" s="77"/>
      <c r="J103" s="366"/>
      <c r="K103" s="77"/>
      <c r="L103" s="77"/>
      <c r="M103" s="77"/>
      <c r="N103" s="77"/>
      <c r="O103" s="69"/>
      <c r="P103" s="69"/>
      <c r="Q103" s="69"/>
      <c r="R103" s="69"/>
      <c r="S103" s="77"/>
      <c r="T103" s="77"/>
      <c r="U103" s="69"/>
      <c r="V103" s="69"/>
      <c r="W103" s="69"/>
      <c r="X103" s="69"/>
      <c r="Y103" s="69"/>
      <c r="Z103" s="69"/>
      <c r="AA103" s="69"/>
      <c r="AB103" s="69"/>
      <c r="AC103" s="207"/>
      <c r="AD103" s="207"/>
      <c r="AE103" s="207"/>
      <c r="AF103" s="207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/>
      <c r="CK103" s="69"/>
      <c r="CL103" s="69"/>
      <c r="CM103" s="69"/>
      <c r="CN103" s="69"/>
      <c r="CO103" s="69"/>
    </row>
    <row r="104" spans="1:93" ht="12.75" customHeight="1">
      <c r="A104" s="784"/>
      <c r="B104" s="69"/>
      <c r="C104" s="69"/>
      <c r="D104" s="69"/>
      <c r="E104" s="69"/>
      <c r="F104" s="69"/>
      <c r="G104" s="77"/>
      <c r="H104" s="77"/>
      <c r="I104" s="77"/>
      <c r="J104" s="366"/>
      <c r="K104" s="77"/>
      <c r="L104" s="77"/>
      <c r="M104" s="77"/>
      <c r="N104" s="77"/>
      <c r="O104" s="69"/>
      <c r="P104" s="69"/>
      <c r="Q104" s="69"/>
      <c r="R104" s="69"/>
      <c r="S104" s="77"/>
      <c r="T104" s="77"/>
      <c r="U104" s="69"/>
      <c r="V104" s="69"/>
      <c r="W104" s="69"/>
      <c r="X104" s="69"/>
      <c r="Y104" s="69"/>
      <c r="Z104" s="69"/>
      <c r="AA104" s="69"/>
      <c r="AB104" s="69"/>
      <c r="AC104" s="207"/>
      <c r="AD104" s="207"/>
      <c r="AE104" s="207"/>
      <c r="AF104" s="207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</row>
    <row r="105" spans="1:93" ht="12.75" customHeight="1">
      <c r="A105" s="784"/>
      <c r="B105" s="69"/>
      <c r="C105" s="69"/>
      <c r="D105" s="69"/>
      <c r="E105" s="69"/>
      <c r="F105" s="69"/>
      <c r="G105" s="77"/>
      <c r="H105" s="77"/>
      <c r="I105" s="77"/>
      <c r="J105" s="366"/>
      <c r="K105" s="77"/>
      <c r="L105" s="77"/>
      <c r="M105" s="77"/>
      <c r="N105" s="77"/>
      <c r="O105" s="69"/>
      <c r="P105" s="69"/>
      <c r="Q105" s="69"/>
      <c r="R105" s="69"/>
      <c r="S105" s="77"/>
      <c r="T105" s="77"/>
      <c r="U105" s="69"/>
      <c r="V105" s="69"/>
      <c r="W105" s="69"/>
      <c r="X105" s="69"/>
      <c r="Y105" s="69"/>
      <c r="Z105" s="69"/>
      <c r="AA105" s="69"/>
      <c r="AB105" s="69"/>
      <c r="AC105" s="207"/>
      <c r="AD105" s="207"/>
      <c r="AE105" s="207"/>
      <c r="AF105" s="207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9"/>
      <c r="CO105" s="69"/>
    </row>
    <row r="106" spans="1:93" ht="12.75" customHeight="1">
      <c r="A106" s="784"/>
      <c r="B106" s="69"/>
      <c r="C106" s="69"/>
      <c r="D106" s="69"/>
      <c r="E106" s="69"/>
      <c r="F106" s="69"/>
      <c r="G106" s="77"/>
      <c r="H106" s="77"/>
      <c r="I106" s="77"/>
      <c r="J106" s="366"/>
      <c r="K106" s="77"/>
      <c r="L106" s="77"/>
      <c r="M106" s="77"/>
      <c r="N106" s="77"/>
      <c r="O106" s="69"/>
      <c r="P106" s="69"/>
      <c r="Q106" s="69"/>
      <c r="R106" s="69"/>
      <c r="S106" s="77"/>
      <c r="T106" s="77"/>
      <c r="U106" s="69"/>
      <c r="V106" s="69"/>
      <c r="W106" s="69"/>
      <c r="X106" s="69"/>
      <c r="Y106" s="69"/>
      <c r="Z106" s="69"/>
      <c r="AA106" s="69"/>
      <c r="AB106" s="69"/>
      <c r="AC106" s="207"/>
      <c r="AD106" s="207"/>
      <c r="AE106" s="207"/>
      <c r="AF106" s="207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69"/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/>
      <c r="CM106" s="69"/>
      <c r="CN106" s="69"/>
      <c r="CO106" s="69"/>
    </row>
    <row r="107" spans="1:93" ht="12.75" customHeight="1">
      <c r="A107" s="784"/>
      <c r="B107" s="69"/>
      <c r="C107" s="69"/>
      <c r="D107" s="69"/>
      <c r="E107" s="69"/>
      <c r="F107" s="69"/>
      <c r="G107" s="77"/>
      <c r="H107" s="77"/>
      <c r="I107" s="77"/>
      <c r="J107" s="366"/>
      <c r="K107" s="77"/>
      <c r="L107" s="77"/>
      <c r="M107" s="77"/>
      <c r="N107" s="77"/>
      <c r="O107" s="69"/>
      <c r="P107" s="69"/>
      <c r="Q107" s="69"/>
      <c r="R107" s="69"/>
      <c r="S107" s="77"/>
      <c r="T107" s="77"/>
      <c r="U107" s="69"/>
      <c r="V107" s="69"/>
      <c r="W107" s="69"/>
      <c r="X107" s="69"/>
      <c r="Y107" s="69"/>
      <c r="Z107" s="69"/>
      <c r="AA107" s="69"/>
      <c r="AB107" s="69"/>
      <c r="AC107" s="207"/>
      <c r="AD107" s="207"/>
      <c r="AE107" s="207"/>
      <c r="AF107" s="207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9"/>
      <c r="CO107" s="69"/>
    </row>
    <row r="108" spans="1:93" ht="12.75" customHeight="1">
      <c r="A108" s="784"/>
      <c r="B108" s="69"/>
      <c r="C108" s="69"/>
      <c r="D108" s="69"/>
      <c r="E108" s="69"/>
      <c r="F108" s="69"/>
      <c r="G108" s="77"/>
      <c r="H108" s="77"/>
      <c r="I108" s="77"/>
      <c r="J108" s="366"/>
      <c r="K108" s="77"/>
      <c r="L108" s="77"/>
      <c r="M108" s="77"/>
      <c r="N108" s="77"/>
      <c r="O108" s="69"/>
      <c r="P108" s="69"/>
      <c r="Q108" s="69"/>
      <c r="R108" s="69"/>
      <c r="S108" s="77"/>
      <c r="T108" s="77"/>
      <c r="U108" s="69"/>
      <c r="V108" s="69"/>
      <c r="W108" s="69"/>
      <c r="X108" s="69"/>
      <c r="Y108" s="69"/>
      <c r="Z108" s="69"/>
      <c r="AA108" s="69"/>
      <c r="AB108" s="69"/>
      <c r="AC108" s="207"/>
      <c r="AD108" s="207"/>
      <c r="AE108" s="207"/>
      <c r="AF108" s="207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69"/>
      <c r="CM108" s="69"/>
      <c r="CN108" s="69"/>
      <c r="CO108" s="69"/>
    </row>
    <row r="109" spans="1:93" ht="12.75" customHeight="1">
      <c r="A109" s="784"/>
      <c r="B109" s="69"/>
      <c r="C109" s="69"/>
      <c r="D109" s="69"/>
      <c r="E109" s="69"/>
      <c r="F109" s="69"/>
      <c r="G109" s="77"/>
      <c r="H109" s="77"/>
      <c r="I109" s="77"/>
      <c r="J109" s="366"/>
      <c r="K109" s="77"/>
      <c r="L109" s="77"/>
      <c r="M109" s="77"/>
      <c r="N109" s="77"/>
      <c r="O109" s="69"/>
      <c r="P109" s="69"/>
      <c r="Q109" s="69"/>
      <c r="R109" s="69"/>
      <c r="S109" s="77"/>
      <c r="T109" s="77"/>
      <c r="U109" s="69"/>
      <c r="V109" s="69"/>
      <c r="W109" s="69"/>
      <c r="X109" s="69"/>
      <c r="Y109" s="69"/>
      <c r="Z109" s="69"/>
      <c r="AA109" s="69"/>
      <c r="AB109" s="69"/>
      <c r="AC109" s="207"/>
      <c r="AD109" s="207"/>
      <c r="AE109" s="207"/>
      <c r="AF109" s="207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69"/>
      <c r="BQ109" s="69"/>
      <c r="BR109" s="69"/>
      <c r="BS109" s="69"/>
      <c r="BT109" s="69"/>
      <c r="BU109" s="69"/>
      <c r="BV109" s="69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  <c r="CG109" s="69"/>
      <c r="CH109" s="69"/>
      <c r="CI109" s="69"/>
      <c r="CJ109" s="69"/>
      <c r="CK109" s="69"/>
      <c r="CL109" s="69"/>
      <c r="CM109" s="69"/>
      <c r="CN109" s="69"/>
      <c r="CO109" s="69"/>
    </row>
    <row r="110" spans="1:93" ht="12.75" customHeight="1">
      <c r="A110" s="784"/>
      <c r="B110" s="69"/>
      <c r="C110" s="69"/>
      <c r="D110" s="69"/>
      <c r="E110" s="69"/>
      <c r="F110" s="69"/>
      <c r="G110" s="77"/>
      <c r="H110" s="77"/>
      <c r="I110" s="77"/>
      <c r="J110" s="366"/>
      <c r="K110" s="77"/>
      <c r="L110" s="77"/>
      <c r="M110" s="77"/>
      <c r="N110" s="77"/>
      <c r="O110" s="69"/>
      <c r="P110" s="69"/>
      <c r="Q110" s="69"/>
      <c r="R110" s="69"/>
      <c r="S110" s="77"/>
      <c r="T110" s="77"/>
      <c r="U110" s="69"/>
      <c r="V110" s="69"/>
      <c r="W110" s="69"/>
      <c r="X110" s="69"/>
      <c r="Y110" s="69"/>
      <c r="Z110" s="69"/>
      <c r="AA110" s="69"/>
      <c r="AB110" s="69"/>
      <c r="AC110" s="207"/>
      <c r="AD110" s="207"/>
      <c r="AE110" s="207"/>
      <c r="AF110" s="207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9"/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9"/>
      <c r="CO110" s="69"/>
    </row>
    <row r="111" spans="1:93" ht="12.75" customHeight="1">
      <c r="A111" s="784"/>
      <c r="B111" s="69"/>
      <c r="C111" s="69"/>
      <c r="D111" s="69"/>
      <c r="E111" s="69"/>
      <c r="F111" s="69"/>
      <c r="G111" s="77"/>
      <c r="H111" s="77"/>
      <c r="I111" s="77"/>
      <c r="J111" s="366"/>
      <c r="K111" s="77"/>
      <c r="L111" s="77"/>
      <c r="M111" s="77"/>
      <c r="N111" s="77"/>
      <c r="O111" s="69"/>
      <c r="P111" s="69"/>
      <c r="Q111" s="69"/>
      <c r="R111" s="69"/>
      <c r="S111" s="77"/>
      <c r="T111" s="77"/>
      <c r="U111" s="69"/>
      <c r="V111" s="69"/>
      <c r="W111" s="69"/>
      <c r="X111" s="69"/>
      <c r="Y111" s="69"/>
      <c r="Z111" s="69"/>
      <c r="AA111" s="69"/>
      <c r="AB111" s="69"/>
      <c r="AC111" s="207"/>
      <c r="AD111" s="207"/>
      <c r="AE111" s="207"/>
      <c r="AF111" s="207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9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69"/>
      <c r="BQ111" s="69"/>
      <c r="BR111" s="69"/>
      <c r="BS111" s="69"/>
      <c r="BT111" s="69"/>
      <c r="BU111" s="69"/>
      <c r="BV111" s="69"/>
      <c r="BW111" s="69"/>
      <c r="BX111" s="69"/>
      <c r="BY111" s="69"/>
      <c r="BZ111" s="69"/>
      <c r="CA111" s="69"/>
      <c r="CB111" s="69"/>
      <c r="CC111" s="69"/>
      <c r="CD111" s="69"/>
      <c r="CE111" s="69"/>
      <c r="CF111" s="69"/>
      <c r="CG111" s="69"/>
      <c r="CH111" s="69"/>
      <c r="CI111" s="69"/>
      <c r="CJ111" s="69"/>
      <c r="CK111" s="69"/>
      <c r="CL111" s="69"/>
      <c r="CM111" s="69"/>
      <c r="CN111" s="69"/>
      <c r="CO111" s="69"/>
    </row>
    <row r="112" spans="1:93" ht="12.75" customHeight="1">
      <c r="A112" s="784"/>
      <c r="B112" s="69"/>
      <c r="C112" s="69"/>
      <c r="D112" s="69"/>
      <c r="E112" s="69"/>
      <c r="F112" s="69"/>
      <c r="G112" s="77"/>
      <c r="H112" s="77"/>
      <c r="I112" s="77"/>
      <c r="J112" s="366"/>
      <c r="K112" s="77"/>
      <c r="L112" s="77"/>
      <c r="M112" s="77"/>
      <c r="N112" s="77"/>
      <c r="O112" s="69"/>
      <c r="P112" s="69"/>
      <c r="Q112" s="69"/>
      <c r="R112" s="69"/>
      <c r="S112" s="77"/>
      <c r="T112" s="77"/>
      <c r="U112" s="69"/>
      <c r="V112" s="69"/>
      <c r="W112" s="69"/>
      <c r="X112" s="69"/>
      <c r="Y112" s="69"/>
      <c r="Z112" s="69"/>
      <c r="AA112" s="69"/>
      <c r="AB112" s="69"/>
      <c r="AC112" s="207"/>
      <c r="AD112" s="207"/>
      <c r="AE112" s="207"/>
      <c r="AF112" s="207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9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69"/>
      <c r="BQ112" s="69"/>
      <c r="BR112" s="69"/>
      <c r="BS112" s="69"/>
      <c r="BT112" s="69"/>
      <c r="BU112" s="69"/>
      <c r="BV112" s="69"/>
      <c r="BW112" s="69"/>
      <c r="BX112" s="69"/>
      <c r="BY112" s="69"/>
      <c r="BZ112" s="69"/>
      <c r="CA112" s="69"/>
      <c r="CB112" s="69"/>
      <c r="CC112" s="69"/>
      <c r="CD112" s="69"/>
      <c r="CE112" s="69"/>
      <c r="CF112" s="69"/>
      <c r="CG112" s="69"/>
      <c r="CH112" s="69"/>
      <c r="CI112" s="69"/>
      <c r="CJ112" s="69"/>
      <c r="CK112" s="69"/>
      <c r="CL112" s="69"/>
      <c r="CM112" s="69"/>
      <c r="CN112" s="69"/>
      <c r="CO112" s="69"/>
    </row>
    <row r="113" spans="1:93" ht="12.75" customHeight="1">
      <c r="A113" s="784"/>
      <c r="B113" s="69"/>
      <c r="C113" s="69"/>
      <c r="D113" s="69"/>
      <c r="E113" s="69"/>
      <c r="F113" s="69"/>
      <c r="G113" s="77"/>
      <c r="H113" s="77"/>
      <c r="I113" s="77"/>
      <c r="J113" s="366"/>
      <c r="K113" s="77"/>
      <c r="L113" s="77"/>
      <c r="M113" s="77"/>
      <c r="N113" s="77"/>
      <c r="O113" s="69"/>
      <c r="P113" s="69"/>
      <c r="Q113" s="69"/>
      <c r="R113" s="69"/>
      <c r="S113" s="77"/>
      <c r="T113" s="77"/>
      <c r="U113" s="69"/>
      <c r="V113" s="69"/>
      <c r="W113" s="69"/>
      <c r="X113" s="69"/>
      <c r="Y113" s="69"/>
      <c r="Z113" s="69"/>
      <c r="AA113" s="69"/>
      <c r="AB113" s="69"/>
      <c r="AC113" s="207"/>
      <c r="AD113" s="207"/>
      <c r="AE113" s="207"/>
      <c r="AF113" s="207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69"/>
      <c r="BQ113" s="69"/>
      <c r="BR113" s="69"/>
      <c r="BS113" s="69"/>
      <c r="BT113" s="69"/>
      <c r="BU113" s="69"/>
      <c r="BV113" s="69"/>
      <c r="BW113" s="69"/>
      <c r="BX113" s="69"/>
      <c r="BY113" s="69"/>
      <c r="BZ113" s="69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  <c r="CL113" s="69"/>
      <c r="CM113" s="69"/>
      <c r="CN113" s="69"/>
      <c r="CO113" s="69"/>
    </row>
    <row r="114" spans="1:93" ht="12.75" customHeight="1">
      <c r="A114" s="784"/>
      <c r="B114" s="69"/>
      <c r="C114" s="69"/>
      <c r="D114" s="69"/>
      <c r="E114" s="69"/>
      <c r="F114" s="69"/>
      <c r="G114" s="77"/>
      <c r="H114" s="77"/>
      <c r="I114" s="77"/>
      <c r="J114" s="366"/>
      <c r="K114" s="77"/>
      <c r="L114" s="77"/>
      <c r="M114" s="77"/>
      <c r="N114" s="77"/>
      <c r="O114" s="69"/>
      <c r="P114" s="69"/>
      <c r="Q114" s="69"/>
      <c r="R114" s="69"/>
      <c r="S114" s="77"/>
      <c r="T114" s="77"/>
      <c r="U114" s="69"/>
      <c r="V114" s="69"/>
      <c r="W114" s="69"/>
      <c r="X114" s="69"/>
      <c r="Y114" s="69"/>
      <c r="Z114" s="69"/>
      <c r="AA114" s="69"/>
      <c r="AB114" s="69"/>
      <c r="AC114" s="207"/>
      <c r="AD114" s="207"/>
      <c r="AE114" s="207"/>
      <c r="AF114" s="207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69"/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  <c r="CG114" s="69"/>
      <c r="CH114" s="69"/>
      <c r="CI114" s="69"/>
      <c r="CJ114" s="69"/>
      <c r="CK114" s="69"/>
      <c r="CL114" s="69"/>
      <c r="CM114" s="69"/>
      <c r="CN114" s="69"/>
      <c r="CO114" s="69"/>
    </row>
    <row r="115" spans="1:93" ht="12.75" customHeight="1">
      <c r="A115" s="784"/>
      <c r="B115" s="69"/>
      <c r="C115" s="69"/>
      <c r="D115" s="69"/>
      <c r="E115" s="69"/>
      <c r="F115" s="69"/>
      <c r="G115" s="77"/>
      <c r="H115" s="77"/>
      <c r="I115" s="77"/>
      <c r="J115" s="366"/>
      <c r="K115" s="77"/>
      <c r="L115" s="77"/>
      <c r="M115" s="77"/>
      <c r="N115" s="77"/>
      <c r="O115" s="69"/>
      <c r="P115" s="69"/>
      <c r="Q115" s="69"/>
      <c r="R115" s="69"/>
      <c r="S115" s="77"/>
      <c r="T115" s="77"/>
      <c r="U115" s="69"/>
      <c r="V115" s="69"/>
      <c r="W115" s="69"/>
      <c r="X115" s="69"/>
      <c r="Y115" s="69"/>
      <c r="Z115" s="69"/>
      <c r="AA115" s="69"/>
      <c r="AB115" s="69"/>
      <c r="AC115" s="207"/>
      <c r="AD115" s="207"/>
      <c r="AE115" s="207"/>
      <c r="AF115" s="207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69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  <c r="BP115" s="69"/>
      <c r="BQ115" s="69"/>
      <c r="BR115" s="69"/>
      <c r="BS115" s="69"/>
      <c r="BT115" s="69"/>
      <c r="BU115" s="69"/>
      <c r="BV115" s="69"/>
      <c r="BW115" s="69"/>
      <c r="BX115" s="69"/>
      <c r="BY115" s="69"/>
      <c r="BZ115" s="69"/>
      <c r="CA115" s="69"/>
      <c r="CB115" s="69"/>
      <c r="CC115" s="69"/>
      <c r="CD115" s="69"/>
      <c r="CE115" s="69"/>
      <c r="CF115" s="69"/>
      <c r="CG115" s="69"/>
      <c r="CH115" s="69"/>
      <c r="CI115" s="69"/>
      <c r="CJ115" s="69"/>
      <c r="CK115" s="69"/>
      <c r="CL115" s="69"/>
      <c r="CM115" s="69"/>
      <c r="CN115" s="69"/>
      <c r="CO115" s="69"/>
    </row>
    <row r="116" spans="1:93" ht="12.75" customHeight="1">
      <c r="A116" s="784"/>
      <c r="B116" s="69"/>
      <c r="C116" s="69"/>
      <c r="D116" s="69"/>
      <c r="E116" s="69"/>
      <c r="F116" s="69"/>
      <c r="G116" s="77"/>
      <c r="H116" s="77"/>
      <c r="I116" s="77"/>
      <c r="J116" s="366"/>
      <c r="K116" s="77"/>
      <c r="L116" s="77"/>
      <c r="M116" s="77"/>
      <c r="N116" s="77"/>
      <c r="O116" s="69"/>
      <c r="P116" s="69"/>
      <c r="Q116" s="69"/>
      <c r="R116" s="69"/>
      <c r="S116" s="77"/>
      <c r="T116" s="77"/>
      <c r="U116" s="69"/>
      <c r="V116" s="69"/>
      <c r="W116" s="69"/>
      <c r="X116" s="69"/>
      <c r="Y116" s="69"/>
      <c r="Z116" s="69"/>
      <c r="AA116" s="69"/>
      <c r="AB116" s="69"/>
      <c r="AC116" s="207"/>
      <c r="AD116" s="207"/>
      <c r="AE116" s="207"/>
      <c r="AF116" s="207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69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  <c r="CD116" s="69"/>
      <c r="CE116" s="69"/>
      <c r="CF116" s="69"/>
      <c r="CG116" s="69"/>
      <c r="CH116" s="69"/>
      <c r="CI116" s="69"/>
      <c r="CJ116" s="69"/>
      <c r="CK116" s="69"/>
      <c r="CL116" s="69"/>
      <c r="CM116" s="69"/>
      <c r="CN116" s="69"/>
      <c r="CO116" s="69"/>
    </row>
    <row r="117" spans="1:93" ht="12.75" customHeight="1">
      <c r="A117" s="784"/>
      <c r="B117" s="69"/>
      <c r="C117" s="69"/>
      <c r="D117" s="69"/>
      <c r="E117" s="69"/>
      <c r="F117" s="69"/>
      <c r="G117" s="77"/>
      <c r="H117" s="77"/>
      <c r="I117" s="77"/>
      <c r="J117" s="366"/>
      <c r="K117" s="77"/>
      <c r="L117" s="77"/>
      <c r="M117" s="77"/>
      <c r="N117" s="77"/>
      <c r="O117" s="69"/>
      <c r="P117" s="69"/>
      <c r="Q117" s="69"/>
      <c r="R117" s="69"/>
      <c r="S117" s="77"/>
      <c r="T117" s="77"/>
      <c r="U117" s="69"/>
      <c r="V117" s="69"/>
      <c r="W117" s="69"/>
      <c r="X117" s="69"/>
      <c r="Y117" s="69"/>
      <c r="Z117" s="69"/>
      <c r="AA117" s="69"/>
      <c r="AB117" s="69"/>
      <c r="AC117" s="207"/>
      <c r="AD117" s="207"/>
      <c r="AE117" s="207"/>
      <c r="AF117" s="207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69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69"/>
      <c r="BQ117" s="69"/>
      <c r="BR117" s="69"/>
      <c r="BS117" s="69"/>
      <c r="BT117" s="69"/>
      <c r="BU117" s="69"/>
      <c r="BV117" s="69"/>
      <c r="BW117" s="69"/>
      <c r="BX117" s="69"/>
      <c r="BY117" s="69"/>
      <c r="BZ117" s="69"/>
      <c r="CA117" s="69"/>
      <c r="CB117" s="69"/>
      <c r="CC117" s="69"/>
      <c r="CD117" s="69"/>
      <c r="CE117" s="69"/>
      <c r="CF117" s="69"/>
      <c r="CG117" s="69"/>
      <c r="CH117" s="69"/>
      <c r="CI117" s="69"/>
      <c r="CJ117" s="69"/>
      <c r="CK117" s="69"/>
      <c r="CL117" s="69"/>
      <c r="CM117" s="69"/>
      <c r="CN117" s="69"/>
      <c r="CO117" s="69"/>
    </row>
    <row r="118" spans="1:93" ht="12.75" customHeight="1">
      <c r="A118" s="784"/>
      <c r="B118" s="69"/>
      <c r="C118" s="69"/>
      <c r="D118" s="69"/>
      <c r="E118" s="69"/>
      <c r="F118" s="69"/>
      <c r="G118" s="77"/>
      <c r="H118" s="77"/>
      <c r="I118" s="77"/>
      <c r="J118" s="366"/>
      <c r="K118" s="77"/>
      <c r="L118" s="77"/>
      <c r="M118" s="77"/>
      <c r="N118" s="77"/>
      <c r="O118" s="69"/>
      <c r="P118" s="69"/>
      <c r="Q118" s="69"/>
      <c r="R118" s="69"/>
      <c r="S118" s="77"/>
      <c r="T118" s="77"/>
      <c r="U118" s="69"/>
      <c r="V118" s="69"/>
      <c r="W118" s="69"/>
      <c r="X118" s="69"/>
      <c r="Y118" s="69"/>
      <c r="Z118" s="69"/>
      <c r="AA118" s="69"/>
      <c r="AB118" s="69"/>
      <c r="AC118" s="207"/>
      <c r="AD118" s="207"/>
      <c r="AE118" s="207"/>
      <c r="AF118" s="207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69"/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69"/>
      <c r="BT118" s="69"/>
      <c r="BU118" s="69"/>
      <c r="BV118" s="69"/>
      <c r="BW118" s="69"/>
      <c r="BX118" s="69"/>
      <c r="BY118" s="69"/>
      <c r="BZ118" s="69"/>
      <c r="CA118" s="69"/>
      <c r="CB118" s="69"/>
      <c r="CC118" s="69"/>
      <c r="CD118" s="69"/>
      <c r="CE118" s="69"/>
      <c r="CF118" s="69"/>
      <c r="CG118" s="69"/>
      <c r="CH118" s="69"/>
      <c r="CI118" s="69"/>
      <c r="CJ118" s="69"/>
      <c r="CK118" s="69"/>
      <c r="CL118" s="69"/>
      <c r="CM118" s="69"/>
      <c r="CN118" s="69"/>
      <c r="CO118" s="69"/>
    </row>
    <row r="119" spans="1:93" ht="12.75" customHeight="1">
      <c r="A119" s="784"/>
      <c r="B119" s="69"/>
      <c r="C119" s="69"/>
      <c r="D119" s="69"/>
      <c r="E119" s="69"/>
      <c r="F119" s="69"/>
      <c r="G119" s="77"/>
      <c r="H119" s="77"/>
      <c r="I119" s="77"/>
      <c r="J119" s="366"/>
      <c r="K119" s="77"/>
      <c r="L119" s="77"/>
      <c r="M119" s="77"/>
      <c r="N119" s="77"/>
      <c r="O119" s="69"/>
      <c r="P119" s="69"/>
      <c r="Q119" s="69"/>
      <c r="R119" s="69"/>
      <c r="S119" s="77"/>
      <c r="T119" s="77"/>
      <c r="U119" s="69"/>
      <c r="V119" s="69"/>
      <c r="W119" s="69"/>
      <c r="X119" s="69"/>
      <c r="Y119" s="69"/>
      <c r="Z119" s="69"/>
      <c r="AA119" s="69"/>
      <c r="AB119" s="69"/>
      <c r="AC119" s="207"/>
      <c r="AD119" s="207"/>
      <c r="AE119" s="207"/>
      <c r="AF119" s="207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69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69"/>
      <c r="BQ119" s="69"/>
      <c r="BR119" s="69"/>
      <c r="BS119" s="69"/>
      <c r="BT119" s="69"/>
      <c r="BU119" s="69"/>
      <c r="BV119" s="69"/>
      <c r="BW119" s="69"/>
      <c r="BX119" s="69"/>
      <c r="BY119" s="69"/>
      <c r="BZ119" s="69"/>
      <c r="CA119" s="69"/>
      <c r="CB119" s="69"/>
      <c r="CC119" s="69"/>
      <c r="CD119" s="69"/>
      <c r="CE119" s="69"/>
      <c r="CF119" s="69"/>
      <c r="CG119" s="69"/>
      <c r="CH119" s="69"/>
      <c r="CI119" s="69"/>
      <c r="CJ119" s="69"/>
      <c r="CK119" s="69"/>
      <c r="CL119" s="69"/>
      <c r="CM119" s="69"/>
      <c r="CN119" s="69"/>
      <c r="CO119" s="69"/>
    </row>
    <row r="120" spans="1:93" ht="12.75" customHeight="1">
      <c r="A120" s="784"/>
      <c r="B120" s="69"/>
      <c r="C120" s="69"/>
      <c r="D120" s="69"/>
      <c r="E120" s="69"/>
      <c r="F120" s="69"/>
      <c r="G120" s="77"/>
      <c r="H120" s="77"/>
      <c r="I120" s="77"/>
      <c r="J120" s="366"/>
      <c r="K120" s="77"/>
      <c r="L120" s="77"/>
      <c r="M120" s="77"/>
      <c r="N120" s="77"/>
      <c r="O120" s="69"/>
      <c r="P120" s="69"/>
      <c r="Q120" s="69"/>
      <c r="R120" s="69"/>
      <c r="S120" s="77"/>
      <c r="T120" s="77"/>
      <c r="U120" s="69"/>
      <c r="V120" s="69"/>
      <c r="W120" s="69"/>
      <c r="X120" s="69"/>
      <c r="Y120" s="69"/>
      <c r="Z120" s="69"/>
      <c r="AA120" s="69"/>
      <c r="AB120" s="69"/>
      <c r="AC120" s="207"/>
      <c r="AD120" s="207"/>
      <c r="AE120" s="207"/>
      <c r="AF120" s="207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69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69"/>
      <c r="BQ120" s="69"/>
      <c r="BR120" s="69"/>
      <c r="BS120" s="69"/>
      <c r="BT120" s="69"/>
      <c r="BU120" s="69"/>
      <c r="BV120" s="69"/>
      <c r="BW120" s="69"/>
      <c r="BX120" s="69"/>
      <c r="BY120" s="69"/>
      <c r="BZ120" s="69"/>
      <c r="CA120" s="69"/>
      <c r="CB120" s="69"/>
      <c r="CC120" s="69"/>
      <c r="CD120" s="69"/>
      <c r="CE120" s="69"/>
      <c r="CF120" s="69"/>
      <c r="CG120" s="69"/>
      <c r="CH120" s="69"/>
      <c r="CI120" s="69"/>
      <c r="CJ120" s="69"/>
      <c r="CK120" s="69"/>
      <c r="CL120" s="69"/>
      <c r="CM120" s="69"/>
      <c r="CN120" s="69"/>
      <c r="CO120" s="69"/>
    </row>
    <row r="121" spans="1:93" ht="12.75" customHeight="1">
      <c r="A121" s="784"/>
      <c r="B121" s="69"/>
      <c r="C121" s="69"/>
      <c r="D121" s="69"/>
      <c r="E121" s="69"/>
      <c r="F121" s="69"/>
      <c r="G121" s="77"/>
      <c r="H121" s="77"/>
      <c r="I121" s="77"/>
      <c r="J121" s="366"/>
      <c r="K121" s="77"/>
      <c r="L121" s="77"/>
      <c r="M121" s="77"/>
      <c r="N121" s="77"/>
      <c r="O121" s="69"/>
      <c r="P121" s="69"/>
      <c r="Q121" s="69"/>
      <c r="R121" s="69"/>
      <c r="S121" s="77"/>
      <c r="T121" s="77"/>
      <c r="U121" s="69"/>
      <c r="V121" s="69"/>
      <c r="W121" s="69"/>
      <c r="X121" s="69"/>
      <c r="Y121" s="69"/>
      <c r="Z121" s="69"/>
      <c r="AA121" s="69"/>
      <c r="AB121" s="69"/>
      <c r="AC121" s="207"/>
      <c r="AD121" s="207"/>
      <c r="AE121" s="207"/>
      <c r="AF121" s="207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69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69"/>
      <c r="BQ121" s="69"/>
      <c r="BR121" s="69"/>
      <c r="BS121" s="69"/>
      <c r="BT121" s="69"/>
      <c r="BU121" s="69"/>
      <c r="BV121" s="69"/>
      <c r="BW121" s="69"/>
      <c r="BX121" s="69"/>
      <c r="BY121" s="69"/>
      <c r="BZ121" s="69"/>
      <c r="CA121" s="69"/>
      <c r="CB121" s="69"/>
      <c r="CC121" s="69"/>
      <c r="CD121" s="69"/>
      <c r="CE121" s="69"/>
      <c r="CF121" s="69"/>
      <c r="CG121" s="69"/>
      <c r="CH121" s="69"/>
      <c r="CI121" s="69"/>
      <c r="CJ121" s="69"/>
      <c r="CK121" s="69"/>
      <c r="CL121" s="69"/>
      <c r="CM121" s="69"/>
      <c r="CN121" s="69"/>
      <c r="CO121" s="69"/>
    </row>
    <row r="122" spans="1:93" ht="12.75" customHeight="1">
      <c r="A122" s="784"/>
      <c r="B122" s="69"/>
      <c r="C122" s="69"/>
      <c r="D122" s="69"/>
      <c r="E122" s="69"/>
      <c r="F122" s="69"/>
      <c r="G122" s="77"/>
      <c r="H122" s="77"/>
      <c r="I122" s="77"/>
      <c r="J122" s="366"/>
      <c r="K122" s="77"/>
      <c r="L122" s="77"/>
      <c r="M122" s="77"/>
      <c r="N122" s="77"/>
      <c r="O122" s="69"/>
      <c r="P122" s="69"/>
      <c r="Q122" s="69"/>
      <c r="R122" s="69"/>
      <c r="S122" s="77"/>
      <c r="T122" s="77"/>
      <c r="U122" s="69"/>
      <c r="V122" s="69"/>
      <c r="W122" s="69"/>
      <c r="X122" s="69"/>
      <c r="Y122" s="69"/>
      <c r="Z122" s="69"/>
      <c r="AA122" s="69"/>
      <c r="AB122" s="69"/>
      <c r="AC122" s="207"/>
      <c r="AD122" s="207"/>
      <c r="AE122" s="207"/>
      <c r="AF122" s="207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9"/>
      <c r="BO122" s="69"/>
      <c r="BP122" s="69"/>
      <c r="BQ122" s="69"/>
      <c r="BR122" s="69"/>
      <c r="BS122" s="69"/>
      <c r="BT122" s="69"/>
      <c r="BU122" s="69"/>
      <c r="BV122" s="69"/>
      <c r="BW122" s="69"/>
      <c r="BX122" s="69"/>
      <c r="BY122" s="69"/>
      <c r="BZ122" s="69"/>
      <c r="CA122" s="69"/>
      <c r="CB122" s="69"/>
      <c r="CC122" s="69"/>
      <c r="CD122" s="69"/>
      <c r="CE122" s="69"/>
      <c r="CF122" s="69"/>
      <c r="CG122" s="69"/>
      <c r="CH122" s="69"/>
      <c r="CI122" s="69"/>
      <c r="CJ122" s="69"/>
      <c r="CK122" s="69"/>
      <c r="CL122" s="69"/>
      <c r="CM122" s="69"/>
      <c r="CN122" s="69"/>
      <c r="CO122" s="69"/>
    </row>
    <row r="123" spans="1:93" ht="12.75" customHeight="1">
      <c r="A123" s="784"/>
      <c r="B123" s="69"/>
      <c r="C123" s="69"/>
      <c r="D123" s="69"/>
      <c r="E123" s="69"/>
      <c r="F123" s="69"/>
      <c r="G123" s="77"/>
      <c r="H123" s="77"/>
      <c r="I123" s="77"/>
      <c r="J123" s="366"/>
      <c r="K123" s="77"/>
      <c r="L123" s="77"/>
      <c r="M123" s="77"/>
      <c r="N123" s="77"/>
      <c r="O123" s="69"/>
      <c r="P123" s="69"/>
      <c r="Q123" s="69"/>
      <c r="R123" s="69"/>
      <c r="S123" s="77"/>
      <c r="T123" s="77"/>
      <c r="U123" s="69"/>
      <c r="V123" s="69"/>
      <c r="W123" s="69"/>
      <c r="X123" s="69"/>
      <c r="Y123" s="69"/>
      <c r="Z123" s="69"/>
      <c r="AA123" s="69"/>
      <c r="AB123" s="69"/>
      <c r="AC123" s="207"/>
      <c r="AD123" s="207"/>
      <c r="AE123" s="207"/>
      <c r="AF123" s="207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9"/>
      <c r="BO123" s="69"/>
      <c r="BP123" s="69"/>
      <c r="BQ123" s="69"/>
      <c r="BR123" s="69"/>
      <c r="BS123" s="69"/>
      <c r="BT123" s="69"/>
      <c r="BU123" s="69"/>
      <c r="BV123" s="69"/>
      <c r="BW123" s="69"/>
      <c r="BX123" s="69"/>
      <c r="BY123" s="69"/>
      <c r="BZ123" s="69"/>
      <c r="CA123" s="69"/>
      <c r="CB123" s="69"/>
      <c r="CC123" s="69"/>
      <c r="CD123" s="69"/>
      <c r="CE123" s="69"/>
      <c r="CF123" s="69"/>
      <c r="CG123" s="69"/>
      <c r="CH123" s="69"/>
      <c r="CI123" s="69"/>
      <c r="CJ123" s="69"/>
      <c r="CK123" s="69"/>
      <c r="CL123" s="69"/>
      <c r="CM123" s="69"/>
      <c r="CN123" s="69"/>
      <c r="CO123" s="69"/>
    </row>
    <row r="124" spans="1:93" ht="12.75" customHeight="1">
      <c r="A124" s="784"/>
      <c r="B124" s="69"/>
      <c r="C124" s="69"/>
      <c r="D124" s="69"/>
      <c r="E124" s="69"/>
      <c r="F124" s="69"/>
      <c r="G124" s="77"/>
      <c r="H124" s="77"/>
      <c r="I124" s="77"/>
      <c r="J124" s="366"/>
      <c r="K124" s="77"/>
      <c r="L124" s="77"/>
      <c r="M124" s="77"/>
      <c r="N124" s="77"/>
      <c r="O124" s="69"/>
      <c r="P124" s="69"/>
      <c r="Q124" s="69"/>
      <c r="R124" s="69"/>
      <c r="S124" s="77"/>
      <c r="T124" s="77"/>
      <c r="U124" s="69"/>
      <c r="V124" s="69"/>
      <c r="W124" s="69"/>
      <c r="X124" s="69"/>
      <c r="Y124" s="69"/>
      <c r="Z124" s="69"/>
      <c r="AA124" s="69"/>
      <c r="AB124" s="69"/>
      <c r="AC124" s="207"/>
      <c r="AD124" s="207"/>
      <c r="AE124" s="207"/>
      <c r="AF124" s="207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9"/>
      <c r="BO124" s="69"/>
      <c r="BP124" s="69"/>
      <c r="BQ124" s="69"/>
      <c r="BR124" s="69"/>
      <c r="BS124" s="69"/>
      <c r="BT124" s="69"/>
      <c r="BU124" s="69"/>
      <c r="BV124" s="69"/>
      <c r="BW124" s="69"/>
      <c r="BX124" s="69"/>
      <c r="BY124" s="69"/>
      <c r="BZ124" s="69"/>
      <c r="CA124" s="69"/>
      <c r="CB124" s="69"/>
      <c r="CC124" s="69"/>
      <c r="CD124" s="69"/>
      <c r="CE124" s="69"/>
      <c r="CF124" s="69"/>
      <c r="CG124" s="69"/>
      <c r="CH124" s="69"/>
      <c r="CI124" s="69"/>
      <c r="CJ124" s="69"/>
      <c r="CK124" s="69"/>
      <c r="CL124" s="69"/>
      <c r="CM124" s="69"/>
      <c r="CN124" s="69"/>
      <c r="CO124" s="69"/>
    </row>
    <row r="125" spans="1:93" ht="12.75" customHeight="1">
      <c r="A125" s="784"/>
      <c r="B125" s="69"/>
      <c r="C125" s="69"/>
      <c r="D125" s="69"/>
      <c r="E125" s="69"/>
      <c r="F125" s="69"/>
      <c r="G125" s="77"/>
      <c r="H125" s="77"/>
      <c r="I125" s="77"/>
      <c r="J125" s="366"/>
      <c r="K125" s="77"/>
      <c r="L125" s="77"/>
      <c r="M125" s="77"/>
      <c r="N125" s="77"/>
      <c r="O125" s="69"/>
      <c r="P125" s="69"/>
      <c r="Q125" s="69"/>
      <c r="R125" s="69"/>
      <c r="S125" s="77"/>
      <c r="T125" s="77"/>
      <c r="U125" s="69"/>
      <c r="V125" s="69"/>
      <c r="W125" s="69"/>
      <c r="X125" s="69"/>
      <c r="Y125" s="69"/>
      <c r="Z125" s="69"/>
      <c r="AA125" s="69"/>
      <c r="AB125" s="69"/>
      <c r="AC125" s="207"/>
      <c r="AD125" s="207"/>
      <c r="AE125" s="207"/>
      <c r="AF125" s="207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9"/>
      <c r="BO125" s="69"/>
      <c r="BP125" s="69"/>
      <c r="BQ125" s="69"/>
      <c r="BR125" s="69"/>
      <c r="BS125" s="69"/>
      <c r="BT125" s="69"/>
      <c r="BU125" s="69"/>
      <c r="BV125" s="69"/>
      <c r="BW125" s="69"/>
      <c r="BX125" s="69"/>
      <c r="BY125" s="69"/>
      <c r="BZ125" s="69"/>
      <c r="CA125" s="69"/>
      <c r="CB125" s="69"/>
      <c r="CC125" s="69"/>
      <c r="CD125" s="69"/>
      <c r="CE125" s="69"/>
      <c r="CF125" s="69"/>
      <c r="CG125" s="69"/>
      <c r="CH125" s="69"/>
      <c r="CI125" s="69"/>
      <c r="CJ125" s="69"/>
      <c r="CK125" s="69"/>
      <c r="CL125" s="69"/>
      <c r="CM125" s="69"/>
      <c r="CN125" s="69"/>
      <c r="CO125" s="69"/>
    </row>
    <row r="126" spans="1:93" ht="12.75" customHeight="1">
      <c r="A126" s="784"/>
      <c r="B126" s="69"/>
      <c r="C126" s="69"/>
      <c r="D126" s="69"/>
      <c r="E126" s="69"/>
      <c r="F126" s="69"/>
      <c r="G126" s="77"/>
      <c r="H126" s="77"/>
      <c r="I126" s="77"/>
      <c r="J126" s="366"/>
      <c r="K126" s="77"/>
      <c r="L126" s="77"/>
      <c r="M126" s="77"/>
      <c r="N126" s="77"/>
      <c r="O126" s="69"/>
      <c r="P126" s="69"/>
      <c r="Q126" s="69"/>
      <c r="R126" s="69"/>
      <c r="S126" s="77"/>
      <c r="T126" s="77"/>
      <c r="U126" s="69"/>
      <c r="V126" s="69"/>
      <c r="W126" s="69"/>
      <c r="X126" s="69"/>
      <c r="Y126" s="69"/>
      <c r="Z126" s="69"/>
      <c r="AA126" s="69"/>
      <c r="AB126" s="69"/>
      <c r="AC126" s="207"/>
      <c r="AD126" s="207"/>
      <c r="AE126" s="207"/>
      <c r="AF126" s="207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69"/>
      <c r="BO126" s="69"/>
      <c r="BP126" s="69"/>
      <c r="BQ126" s="69"/>
      <c r="BR126" s="69"/>
      <c r="BS126" s="69"/>
      <c r="BT126" s="69"/>
      <c r="BU126" s="69"/>
      <c r="BV126" s="69"/>
      <c r="BW126" s="69"/>
      <c r="BX126" s="69"/>
      <c r="BY126" s="69"/>
      <c r="BZ126" s="69"/>
      <c r="CA126" s="69"/>
      <c r="CB126" s="69"/>
      <c r="CC126" s="69"/>
      <c r="CD126" s="69"/>
      <c r="CE126" s="69"/>
      <c r="CF126" s="69"/>
      <c r="CG126" s="69"/>
      <c r="CH126" s="69"/>
      <c r="CI126" s="69"/>
      <c r="CJ126" s="69"/>
      <c r="CK126" s="69"/>
      <c r="CL126" s="69"/>
      <c r="CM126" s="69"/>
      <c r="CN126" s="69"/>
      <c r="CO126" s="69"/>
    </row>
    <row r="127" spans="1:93" ht="12.75" customHeight="1">
      <c r="A127" s="784"/>
      <c r="B127" s="69"/>
      <c r="C127" s="69"/>
      <c r="D127" s="69"/>
      <c r="E127" s="69"/>
      <c r="F127" s="69"/>
      <c r="G127" s="77"/>
      <c r="H127" s="77"/>
      <c r="I127" s="77"/>
      <c r="J127" s="366"/>
      <c r="K127" s="77"/>
      <c r="L127" s="77"/>
      <c r="M127" s="77"/>
      <c r="N127" s="77"/>
      <c r="O127" s="69"/>
      <c r="P127" s="69"/>
      <c r="Q127" s="69"/>
      <c r="R127" s="69"/>
      <c r="S127" s="77"/>
      <c r="T127" s="77"/>
      <c r="U127" s="69"/>
      <c r="V127" s="69"/>
      <c r="W127" s="69"/>
      <c r="X127" s="69"/>
      <c r="Y127" s="69"/>
      <c r="Z127" s="69"/>
      <c r="AA127" s="69"/>
      <c r="AB127" s="69"/>
      <c r="AC127" s="207"/>
      <c r="AD127" s="207"/>
      <c r="AE127" s="207"/>
      <c r="AF127" s="207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69"/>
      <c r="BO127" s="69"/>
      <c r="BP127" s="69"/>
      <c r="BQ127" s="69"/>
      <c r="BR127" s="69"/>
      <c r="BS127" s="69"/>
      <c r="BT127" s="69"/>
      <c r="BU127" s="69"/>
      <c r="BV127" s="69"/>
      <c r="BW127" s="69"/>
      <c r="BX127" s="69"/>
      <c r="BY127" s="69"/>
      <c r="BZ127" s="69"/>
      <c r="CA127" s="69"/>
      <c r="CB127" s="69"/>
      <c r="CC127" s="69"/>
      <c r="CD127" s="69"/>
      <c r="CE127" s="69"/>
      <c r="CF127" s="69"/>
      <c r="CG127" s="69"/>
      <c r="CH127" s="69"/>
      <c r="CI127" s="69"/>
      <c r="CJ127" s="69"/>
      <c r="CK127" s="69"/>
      <c r="CL127" s="69"/>
      <c r="CM127" s="69"/>
      <c r="CN127" s="69"/>
      <c r="CO127" s="69"/>
    </row>
    <row r="128" spans="1:93" ht="12.75" customHeight="1">
      <c r="A128" s="784"/>
      <c r="B128" s="69"/>
      <c r="C128" s="69"/>
      <c r="D128" s="69"/>
      <c r="E128" s="69"/>
      <c r="F128" s="69"/>
      <c r="G128" s="77"/>
      <c r="H128" s="77"/>
      <c r="I128" s="77"/>
      <c r="J128" s="366"/>
      <c r="K128" s="77"/>
      <c r="L128" s="77"/>
      <c r="M128" s="77"/>
      <c r="N128" s="77"/>
      <c r="O128" s="69"/>
      <c r="P128" s="69"/>
      <c r="Q128" s="69"/>
      <c r="R128" s="69"/>
      <c r="S128" s="77"/>
      <c r="T128" s="77"/>
      <c r="U128" s="69"/>
      <c r="V128" s="69"/>
      <c r="W128" s="69"/>
      <c r="X128" s="69"/>
      <c r="Y128" s="69"/>
      <c r="Z128" s="69"/>
      <c r="AA128" s="69"/>
      <c r="AB128" s="69"/>
      <c r="AC128" s="207"/>
      <c r="AD128" s="207"/>
      <c r="AE128" s="207"/>
      <c r="AF128" s="207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  <c r="BP128" s="69"/>
      <c r="BQ128" s="69"/>
      <c r="BR128" s="69"/>
      <c r="BS128" s="69"/>
      <c r="BT128" s="69"/>
      <c r="BU128" s="69"/>
      <c r="BV128" s="69"/>
      <c r="BW128" s="69"/>
      <c r="BX128" s="69"/>
      <c r="BY128" s="69"/>
      <c r="BZ128" s="69"/>
      <c r="CA128" s="69"/>
      <c r="CB128" s="69"/>
      <c r="CC128" s="69"/>
      <c r="CD128" s="69"/>
      <c r="CE128" s="69"/>
      <c r="CF128" s="69"/>
      <c r="CG128" s="69"/>
      <c r="CH128" s="69"/>
      <c r="CI128" s="69"/>
      <c r="CJ128" s="69"/>
      <c r="CK128" s="69"/>
      <c r="CL128" s="69"/>
      <c r="CM128" s="69"/>
      <c r="CN128" s="69"/>
      <c r="CO128" s="69"/>
    </row>
    <row r="129" spans="1:93" ht="12.75" customHeight="1">
      <c r="A129" s="784"/>
      <c r="B129" s="69"/>
      <c r="C129" s="69"/>
      <c r="D129" s="69"/>
      <c r="E129" s="69"/>
      <c r="F129" s="69"/>
      <c r="G129" s="77"/>
      <c r="H129" s="77"/>
      <c r="I129" s="77"/>
      <c r="J129" s="366"/>
      <c r="K129" s="77"/>
      <c r="L129" s="77"/>
      <c r="M129" s="77"/>
      <c r="N129" s="77"/>
      <c r="O129" s="69"/>
      <c r="P129" s="69"/>
      <c r="Q129" s="69"/>
      <c r="R129" s="69"/>
      <c r="S129" s="77"/>
      <c r="T129" s="77"/>
      <c r="U129" s="69"/>
      <c r="V129" s="69"/>
      <c r="W129" s="69"/>
      <c r="X129" s="69"/>
      <c r="Y129" s="69"/>
      <c r="Z129" s="69"/>
      <c r="AA129" s="69"/>
      <c r="AB129" s="69"/>
      <c r="AC129" s="207"/>
      <c r="AD129" s="207"/>
      <c r="AE129" s="207"/>
      <c r="AF129" s="207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69"/>
      <c r="BO129" s="69"/>
      <c r="BP129" s="69"/>
      <c r="BQ129" s="69"/>
      <c r="BR129" s="69"/>
      <c r="BS129" s="69"/>
      <c r="BT129" s="69"/>
      <c r="BU129" s="69"/>
      <c r="BV129" s="69"/>
      <c r="BW129" s="69"/>
      <c r="BX129" s="69"/>
      <c r="BY129" s="69"/>
      <c r="BZ129" s="69"/>
      <c r="CA129" s="69"/>
      <c r="CB129" s="69"/>
      <c r="CC129" s="69"/>
      <c r="CD129" s="69"/>
      <c r="CE129" s="69"/>
      <c r="CF129" s="69"/>
      <c r="CG129" s="69"/>
      <c r="CH129" s="69"/>
      <c r="CI129" s="69"/>
      <c r="CJ129" s="69"/>
      <c r="CK129" s="69"/>
      <c r="CL129" s="69"/>
      <c r="CM129" s="69"/>
      <c r="CN129" s="69"/>
      <c r="CO129" s="69"/>
    </row>
    <row r="130" spans="1:93" ht="12.75" customHeight="1">
      <c r="A130" s="784"/>
      <c r="B130" s="69"/>
      <c r="C130" s="69"/>
      <c r="D130" s="69"/>
      <c r="E130" s="69"/>
      <c r="F130" s="69"/>
      <c r="G130" s="77"/>
      <c r="H130" s="77"/>
      <c r="I130" s="77"/>
      <c r="J130" s="366"/>
      <c r="K130" s="77"/>
      <c r="L130" s="77"/>
      <c r="M130" s="77"/>
      <c r="N130" s="77"/>
      <c r="O130" s="69"/>
      <c r="P130" s="69"/>
      <c r="Q130" s="69"/>
      <c r="R130" s="69"/>
      <c r="S130" s="77"/>
      <c r="T130" s="77"/>
      <c r="U130" s="69"/>
      <c r="V130" s="69"/>
      <c r="W130" s="69"/>
      <c r="X130" s="69"/>
      <c r="Y130" s="69"/>
      <c r="Z130" s="69"/>
      <c r="AA130" s="69"/>
      <c r="AB130" s="69"/>
      <c r="AC130" s="207"/>
      <c r="AD130" s="207"/>
      <c r="AE130" s="207"/>
      <c r="AF130" s="207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69"/>
      <c r="BO130" s="69"/>
      <c r="BP130" s="69"/>
      <c r="BQ130" s="69"/>
      <c r="BR130" s="69"/>
      <c r="BS130" s="69"/>
      <c r="BT130" s="69"/>
      <c r="BU130" s="69"/>
      <c r="BV130" s="69"/>
      <c r="BW130" s="69"/>
      <c r="BX130" s="69"/>
      <c r="BY130" s="69"/>
      <c r="BZ130" s="69"/>
      <c r="CA130" s="69"/>
      <c r="CB130" s="69"/>
      <c r="CC130" s="69"/>
      <c r="CD130" s="69"/>
      <c r="CE130" s="69"/>
      <c r="CF130" s="69"/>
      <c r="CG130" s="69"/>
      <c r="CH130" s="69"/>
      <c r="CI130" s="69"/>
      <c r="CJ130" s="69"/>
      <c r="CK130" s="69"/>
      <c r="CL130" s="69"/>
      <c r="CM130" s="69"/>
      <c r="CN130" s="69"/>
      <c r="CO130" s="69"/>
    </row>
    <row r="131" spans="1:93" ht="12.75" customHeight="1">
      <c r="A131" s="784"/>
      <c r="B131" s="69"/>
      <c r="C131" s="69"/>
      <c r="D131" s="69"/>
      <c r="E131" s="69"/>
      <c r="F131" s="69"/>
      <c r="G131" s="77"/>
      <c r="H131" s="77"/>
      <c r="I131" s="77"/>
      <c r="J131" s="366"/>
      <c r="K131" s="77"/>
      <c r="L131" s="77"/>
      <c r="M131" s="77"/>
      <c r="N131" s="77"/>
      <c r="O131" s="69"/>
      <c r="P131" s="69"/>
      <c r="Q131" s="69"/>
      <c r="R131" s="69"/>
      <c r="S131" s="77"/>
      <c r="T131" s="77"/>
      <c r="U131" s="69"/>
      <c r="V131" s="69"/>
      <c r="W131" s="69"/>
      <c r="X131" s="69"/>
      <c r="Y131" s="69"/>
      <c r="Z131" s="69"/>
      <c r="AA131" s="69"/>
      <c r="AB131" s="69"/>
      <c r="AC131" s="207"/>
      <c r="AD131" s="207"/>
      <c r="AE131" s="207"/>
      <c r="AF131" s="207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69"/>
      <c r="BO131" s="69"/>
      <c r="BP131" s="69"/>
      <c r="BQ131" s="69"/>
      <c r="BR131" s="69"/>
      <c r="BS131" s="69"/>
      <c r="BT131" s="69"/>
      <c r="BU131" s="69"/>
      <c r="BV131" s="69"/>
      <c r="BW131" s="69"/>
      <c r="BX131" s="69"/>
      <c r="BY131" s="69"/>
      <c r="BZ131" s="69"/>
      <c r="CA131" s="69"/>
      <c r="CB131" s="69"/>
      <c r="CC131" s="69"/>
      <c r="CD131" s="69"/>
      <c r="CE131" s="69"/>
      <c r="CF131" s="69"/>
      <c r="CG131" s="69"/>
      <c r="CH131" s="69"/>
      <c r="CI131" s="69"/>
      <c r="CJ131" s="69"/>
      <c r="CK131" s="69"/>
      <c r="CL131" s="69"/>
      <c r="CM131" s="69"/>
      <c r="CN131" s="69"/>
      <c r="CO131" s="69"/>
    </row>
    <row r="132" spans="1:93" ht="12.75" customHeight="1">
      <c r="A132" s="784"/>
      <c r="B132" s="69"/>
      <c r="C132" s="69"/>
      <c r="D132" s="69"/>
      <c r="E132" s="69"/>
      <c r="F132" s="69"/>
      <c r="G132" s="77"/>
      <c r="H132" s="77"/>
      <c r="I132" s="77"/>
      <c r="J132" s="366"/>
      <c r="K132" s="77"/>
      <c r="L132" s="77"/>
      <c r="M132" s="77"/>
      <c r="N132" s="77"/>
      <c r="O132" s="69"/>
      <c r="P132" s="69"/>
      <c r="Q132" s="69"/>
      <c r="R132" s="69"/>
      <c r="S132" s="77"/>
      <c r="T132" s="77"/>
      <c r="U132" s="69"/>
      <c r="V132" s="69"/>
      <c r="W132" s="69"/>
      <c r="X132" s="69"/>
      <c r="Y132" s="69"/>
      <c r="Z132" s="69"/>
      <c r="AA132" s="69"/>
      <c r="AB132" s="69"/>
      <c r="AC132" s="207"/>
      <c r="AD132" s="207"/>
      <c r="AE132" s="207"/>
      <c r="AF132" s="207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69"/>
      <c r="BO132" s="69"/>
      <c r="BP132" s="69"/>
      <c r="BQ132" s="69"/>
      <c r="BR132" s="69"/>
      <c r="BS132" s="69"/>
      <c r="BT132" s="69"/>
      <c r="BU132" s="69"/>
      <c r="BV132" s="69"/>
      <c r="BW132" s="69"/>
      <c r="BX132" s="69"/>
      <c r="BY132" s="69"/>
      <c r="BZ132" s="69"/>
      <c r="CA132" s="69"/>
      <c r="CB132" s="69"/>
      <c r="CC132" s="69"/>
      <c r="CD132" s="69"/>
      <c r="CE132" s="69"/>
      <c r="CF132" s="69"/>
      <c r="CG132" s="69"/>
      <c r="CH132" s="69"/>
      <c r="CI132" s="69"/>
      <c r="CJ132" s="69"/>
      <c r="CK132" s="69"/>
      <c r="CL132" s="69"/>
      <c r="CM132" s="69"/>
      <c r="CN132" s="69"/>
      <c r="CO132" s="69"/>
    </row>
    <row r="133" spans="1:93" ht="12.75" customHeight="1">
      <c r="A133" s="784"/>
      <c r="B133" s="69"/>
      <c r="C133" s="69"/>
      <c r="D133" s="69"/>
      <c r="E133" s="69"/>
      <c r="F133" s="69"/>
      <c r="G133" s="77"/>
      <c r="H133" s="77"/>
      <c r="I133" s="77"/>
      <c r="J133" s="366"/>
      <c r="K133" s="77"/>
      <c r="L133" s="77"/>
      <c r="M133" s="77"/>
      <c r="N133" s="77"/>
      <c r="O133" s="69"/>
      <c r="P133" s="69"/>
      <c r="Q133" s="69"/>
      <c r="R133" s="69"/>
      <c r="S133" s="77"/>
      <c r="T133" s="77"/>
      <c r="U133" s="69"/>
      <c r="V133" s="69"/>
      <c r="W133" s="69"/>
      <c r="X133" s="69"/>
      <c r="Y133" s="69"/>
      <c r="Z133" s="69"/>
      <c r="AA133" s="69"/>
      <c r="AB133" s="69"/>
      <c r="AC133" s="207"/>
      <c r="AD133" s="207"/>
      <c r="AE133" s="207"/>
      <c r="AF133" s="207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69"/>
      <c r="BO133" s="69"/>
      <c r="BP133" s="69"/>
      <c r="BQ133" s="69"/>
      <c r="BR133" s="69"/>
      <c r="BS133" s="69"/>
      <c r="BT133" s="69"/>
      <c r="BU133" s="69"/>
      <c r="BV133" s="69"/>
      <c r="BW133" s="69"/>
      <c r="BX133" s="69"/>
      <c r="BY133" s="69"/>
      <c r="BZ133" s="69"/>
      <c r="CA133" s="69"/>
      <c r="CB133" s="69"/>
      <c r="CC133" s="69"/>
      <c r="CD133" s="69"/>
      <c r="CE133" s="69"/>
      <c r="CF133" s="69"/>
      <c r="CG133" s="69"/>
      <c r="CH133" s="69"/>
      <c r="CI133" s="69"/>
      <c r="CJ133" s="69"/>
      <c r="CK133" s="69"/>
      <c r="CL133" s="69"/>
      <c r="CM133" s="69"/>
      <c r="CN133" s="69"/>
      <c r="CO133" s="69"/>
    </row>
    <row r="134" spans="1:93" ht="12.75" customHeight="1">
      <c r="A134" s="784"/>
      <c r="B134" s="69"/>
      <c r="C134" s="69"/>
      <c r="D134" s="69"/>
      <c r="E134" s="69"/>
      <c r="F134" s="69"/>
      <c r="G134" s="77"/>
      <c r="H134" s="77"/>
      <c r="I134" s="77"/>
      <c r="J134" s="366"/>
      <c r="K134" s="77"/>
      <c r="L134" s="77"/>
      <c r="M134" s="77"/>
      <c r="N134" s="77"/>
      <c r="O134" s="69"/>
      <c r="P134" s="69"/>
      <c r="Q134" s="69"/>
      <c r="R134" s="69"/>
      <c r="S134" s="77"/>
      <c r="T134" s="77"/>
      <c r="U134" s="69"/>
      <c r="V134" s="69"/>
      <c r="W134" s="69"/>
      <c r="X134" s="69"/>
      <c r="Y134" s="69"/>
      <c r="Z134" s="69"/>
      <c r="AA134" s="69"/>
      <c r="AB134" s="69"/>
      <c r="AC134" s="207"/>
      <c r="AD134" s="207"/>
      <c r="AE134" s="207"/>
      <c r="AF134" s="207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  <c r="BP134" s="69"/>
      <c r="BQ134" s="69"/>
      <c r="BR134" s="69"/>
      <c r="BS134" s="69"/>
      <c r="BT134" s="69"/>
      <c r="BU134" s="69"/>
      <c r="BV134" s="69"/>
      <c r="BW134" s="69"/>
      <c r="BX134" s="69"/>
      <c r="BY134" s="69"/>
      <c r="BZ134" s="69"/>
      <c r="CA134" s="69"/>
      <c r="CB134" s="69"/>
      <c r="CC134" s="69"/>
      <c r="CD134" s="69"/>
      <c r="CE134" s="69"/>
      <c r="CF134" s="69"/>
      <c r="CG134" s="69"/>
      <c r="CH134" s="69"/>
      <c r="CI134" s="69"/>
      <c r="CJ134" s="69"/>
      <c r="CK134" s="69"/>
      <c r="CL134" s="69"/>
      <c r="CM134" s="69"/>
      <c r="CN134" s="69"/>
      <c r="CO134" s="69"/>
    </row>
    <row r="135" spans="1:93" ht="12.75" customHeight="1">
      <c r="A135" s="784"/>
      <c r="B135" s="69"/>
      <c r="C135" s="69"/>
      <c r="D135" s="69"/>
      <c r="E135" s="69"/>
      <c r="F135" s="69"/>
      <c r="G135" s="77"/>
      <c r="H135" s="77"/>
      <c r="I135" s="77"/>
      <c r="J135" s="366"/>
      <c r="K135" s="77"/>
      <c r="L135" s="77"/>
      <c r="M135" s="77"/>
      <c r="N135" s="77"/>
      <c r="O135" s="69"/>
      <c r="P135" s="69"/>
      <c r="Q135" s="69"/>
      <c r="R135" s="69"/>
      <c r="S135" s="77"/>
      <c r="T135" s="77"/>
      <c r="U135" s="69"/>
      <c r="V135" s="69"/>
      <c r="W135" s="69"/>
      <c r="X135" s="69"/>
      <c r="Y135" s="69"/>
      <c r="Z135" s="69"/>
      <c r="AA135" s="69"/>
      <c r="AB135" s="69"/>
      <c r="AC135" s="207"/>
      <c r="AD135" s="207"/>
      <c r="AE135" s="207"/>
      <c r="AF135" s="207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  <c r="BP135" s="69"/>
      <c r="BQ135" s="69"/>
      <c r="BR135" s="69"/>
      <c r="BS135" s="69"/>
      <c r="BT135" s="69"/>
      <c r="BU135" s="69"/>
      <c r="BV135" s="69"/>
      <c r="BW135" s="69"/>
      <c r="BX135" s="69"/>
      <c r="BY135" s="69"/>
      <c r="BZ135" s="69"/>
      <c r="CA135" s="69"/>
      <c r="CB135" s="69"/>
      <c r="CC135" s="69"/>
      <c r="CD135" s="69"/>
      <c r="CE135" s="69"/>
      <c r="CF135" s="69"/>
      <c r="CG135" s="69"/>
      <c r="CH135" s="69"/>
      <c r="CI135" s="69"/>
      <c r="CJ135" s="69"/>
      <c r="CK135" s="69"/>
      <c r="CL135" s="69"/>
      <c r="CM135" s="69"/>
      <c r="CN135" s="69"/>
      <c r="CO135" s="69"/>
    </row>
    <row r="136" spans="1:93" ht="12.75" customHeight="1">
      <c r="A136" s="784"/>
      <c r="B136" s="69"/>
      <c r="C136" s="69"/>
      <c r="D136" s="69"/>
      <c r="E136" s="69"/>
      <c r="F136" s="69"/>
      <c r="G136" s="77"/>
      <c r="H136" s="77"/>
      <c r="I136" s="77"/>
      <c r="J136" s="366"/>
      <c r="K136" s="77"/>
      <c r="L136" s="77"/>
      <c r="M136" s="77"/>
      <c r="N136" s="77"/>
      <c r="O136" s="69"/>
      <c r="P136" s="69"/>
      <c r="Q136" s="69"/>
      <c r="R136" s="69"/>
      <c r="S136" s="77"/>
      <c r="T136" s="77"/>
      <c r="U136" s="69"/>
      <c r="V136" s="69"/>
      <c r="W136" s="69"/>
      <c r="X136" s="69"/>
      <c r="Y136" s="69"/>
      <c r="Z136" s="69"/>
      <c r="AA136" s="69"/>
      <c r="AB136" s="69"/>
      <c r="AC136" s="207"/>
      <c r="AD136" s="207"/>
      <c r="AE136" s="207"/>
      <c r="AF136" s="207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  <c r="BP136" s="69"/>
      <c r="BQ136" s="69"/>
      <c r="BR136" s="69"/>
      <c r="BS136" s="69"/>
      <c r="BT136" s="69"/>
      <c r="BU136" s="69"/>
      <c r="BV136" s="69"/>
      <c r="BW136" s="69"/>
      <c r="BX136" s="69"/>
      <c r="BY136" s="69"/>
      <c r="BZ136" s="69"/>
      <c r="CA136" s="69"/>
      <c r="CB136" s="69"/>
      <c r="CC136" s="69"/>
      <c r="CD136" s="69"/>
      <c r="CE136" s="69"/>
      <c r="CF136" s="69"/>
      <c r="CG136" s="69"/>
      <c r="CH136" s="69"/>
      <c r="CI136" s="69"/>
      <c r="CJ136" s="69"/>
      <c r="CK136" s="69"/>
      <c r="CL136" s="69"/>
      <c r="CM136" s="69"/>
      <c r="CN136" s="69"/>
      <c r="CO136" s="69"/>
    </row>
    <row r="137" spans="1:93" ht="12.75" customHeight="1">
      <c r="A137" s="784"/>
      <c r="B137" s="69"/>
      <c r="C137" s="69"/>
      <c r="D137" s="69"/>
      <c r="E137" s="69"/>
      <c r="F137" s="69"/>
      <c r="G137" s="77"/>
      <c r="H137" s="77"/>
      <c r="I137" s="77"/>
      <c r="J137" s="366"/>
      <c r="K137" s="77"/>
      <c r="L137" s="77"/>
      <c r="M137" s="77"/>
      <c r="N137" s="77"/>
      <c r="O137" s="69"/>
      <c r="P137" s="69"/>
      <c r="Q137" s="69"/>
      <c r="R137" s="69"/>
      <c r="S137" s="77"/>
      <c r="T137" s="77"/>
      <c r="U137" s="69"/>
      <c r="V137" s="69"/>
      <c r="W137" s="69"/>
      <c r="X137" s="69"/>
      <c r="Y137" s="69"/>
      <c r="Z137" s="69"/>
      <c r="AA137" s="69"/>
      <c r="AB137" s="69"/>
      <c r="AC137" s="207"/>
      <c r="AD137" s="207"/>
      <c r="AE137" s="207"/>
      <c r="AF137" s="207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69"/>
      <c r="BQ137" s="69"/>
      <c r="BR137" s="69"/>
      <c r="BS137" s="69"/>
      <c r="BT137" s="69"/>
      <c r="BU137" s="69"/>
      <c r="BV137" s="69"/>
      <c r="BW137" s="69"/>
      <c r="BX137" s="69"/>
      <c r="BY137" s="69"/>
      <c r="BZ137" s="69"/>
      <c r="CA137" s="69"/>
      <c r="CB137" s="69"/>
      <c r="CC137" s="69"/>
      <c r="CD137" s="69"/>
      <c r="CE137" s="69"/>
      <c r="CF137" s="69"/>
      <c r="CG137" s="69"/>
      <c r="CH137" s="69"/>
      <c r="CI137" s="69"/>
      <c r="CJ137" s="69"/>
      <c r="CK137" s="69"/>
      <c r="CL137" s="69"/>
      <c r="CM137" s="69"/>
      <c r="CN137" s="69"/>
      <c r="CO137" s="69"/>
    </row>
    <row r="138" spans="1:93" ht="12.75" customHeight="1">
      <c r="A138" s="784"/>
      <c r="B138" s="69"/>
      <c r="C138" s="69"/>
      <c r="D138" s="69"/>
      <c r="E138" s="69"/>
      <c r="F138" s="69"/>
      <c r="G138" s="77"/>
      <c r="H138" s="77"/>
      <c r="I138" s="77"/>
      <c r="J138" s="366"/>
      <c r="K138" s="77"/>
      <c r="L138" s="77"/>
      <c r="M138" s="77"/>
      <c r="N138" s="77"/>
      <c r="O138" s="69"/>
      <c r="P138" s="69"/>
      <c r="Q138" s="69"/>
      <c r="R138" s="69"/>
      <c r="S138" s="77"/>
      <c r="T138" s="77"/>
      <c r="U138" s="69"/>
      <c r="V138" s="69"/>
      <c r="W138" s="69"/>
      <c r="X138" s="69"/>
      <c r="Y138" s="69"/>
      <c r="Z138" s="69"/>
      <c r="AA138" s="69"/>
      <c r="AB138" s="69"/>
      <c r="AC138" s="207"/>
      <c r="AD138" s="207"/>
      <c r="AE138" s="207"/>
      <c r="AF138" s="207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  <c r="BP138" s="69"/>
      <c r="BQ138" s="69"/>
      <c r="BR138" s="69"/>
      <c r="BS138" s="69"/>
      <c r="BT138" s="69"/>
      <c r="BU138" s="69"/>
      <c r="BV138" s="69"/>
      <c r="BW138" s="69"/>
      <c r="BX138" s="69"/>
      <c r="BY138" s="69"/>
      <c r="BZ138" s="69"/>
      <c r="CA138" s="69"/>
      <c r="CB138" s="69"/>
      <c r="CC138" s="69"/>
      <c r="CD138" s="69"/>
      <c r="CE138" s="69"/>
      <c r="CF138" s="69"/>
      <c r="CG138" s="69"/>
      <c r="CH138" s="69"/>
      <c r="CI138" s="69"/>
      <c r="CJ138" s="69"/>
      <c r="CK138" s="69"/>
      <c r="CL138" s="69"/>
      <c r="CM138" s="69"/>
      <c r="CN138" s="69"/>
      <c r="CO138" s="69"/>
    </row>
    <row r="139" spans="1:93" ht="12.75" customHeight="1">
      <c r="A139" s="784"/>
      <c r="B139" s="69"/>
      <c r="C139" s="69"/>
      <c r="D139" s="69"/>
      <c r="E139" s="69"/>
      <c r="F139" s="69"/>
      <c r="G139" s="77"/>
      <c r="H139" s="77"/>
      <c r="I139" s="77"/>
      <c r="J139" s="366"/>
      <c r="K139" s="77"/>
      <c r="L139" s="77"/>
      <c r="M139" s="77"/>
      <c r="N139" s="77"/>
      <c r="O139" s="69"/>
      <c r="P139" s="69"/>
      <c r="Q139" s="69"/>
      <c r="R139" s="69"/>
      <c r="S139" s="77"/>
      <c r="T139" s="77"/>
      <c r="U139" s="69"/>
      <c r="V139" s="69"/>
      <c r="W139" s="69"/>
      <c r="X139" s="69"/>
      <c r="Y139" s="69"/>
      <c r="Z139" s="69"/>
      <c r="AA139" s="69"/>
      <c r="AB139" s="69"/>
      <c r="AC139" s="207"/>
      <c r="AD139" s="207"/>
      <c r="AE139" s="207"/>
      <c r="AF139" s="207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  <c r="BP139" s="69"/>
      <c r="BQ139" s="69"/>
      <c r="BR139" s="69"/>
      <c r="BS139" s="69"/>
      <c r="BT139" s="69"/>
      <c r="BU139" s="69"/>
      <c r="BV139" s="69"/>
      <c r="BW139" s="69"/>
      <c r="BX139" s="69"/>
      <c r="BY139" s="69"/>
      <c r="BZ139" s="69"/>
      <c r="CA139" s="69"/>
      <c r="CB139" s="69"/>
      <c r="CC139" s="69"/>
      <c r="CD139" s="69"/>
      <c r="CE139" s="69"/>
      <c r="CF139" s="69"/>
      <c r="CG139" s="69"/>
      <c r="CH139" s="69"/>
      <c r="CI139" s="69"/>
      <c r="CJ139" s="69"/>
      <c r="CK139" s="69"/>
      <c r="CL139" s="69"/>
      <c r="CM139" s="69"/>
      <c r="CN139" s="69"/>
      <c r="CO139" s="69"/>
    </row>
    <row r="140" spans="1:93" ht="12.75" customHeight="1">
      <c r="A140" s="784"/>
      <c r="B140" s="69"/>
      <c r="C140" s="69"/>
      <c r="D140" s="69"/>
      <c r="E140" s="69"/>
      <c r="F140" s="69"/>
      <c r="G140" s="77"/>
      <c r="H140" s="77"/>
      <c r="I140" s="77"/>
      <c r="J140" s="366"/>
      <c r="K140" s="77"/>
      <c r="L140" s="77"/>
      <c r="M140" s="77"/>
      <c r="N140" s="77"/>
      <c r="O140" s="69"/>
      <c r="P140" s="69"/>
      <c r="Q140" s="69"/>
      <c r="R140" s="69"/>
      <c r="S140" s="77"/>
      <c r="T140" s="77"/>
      <c r="U140" s="69"/>
      <c r="V140" s="69"/>
      <c r="W140" s="69"/>
      <c r="X140" s="69"/>
      <c r="Y140" s="69"/>
      <c r="Z140" s="69"/>
      <c r="AA140" s="69"/>
      <c r="AB140" s="69"/>
      <c r="AC140" s="207"/>
      <c r="AD140" s="207"/>
      <c r="AE140" s="207"/>
      <c r="AF140" s="207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  <c r="BP140" s="69"/>
      <c r="BQ140" s="69"/>
      <c r="BR140" s="69"/>
      <c r="BS140" s="69"/>
      <c r="BT140" s="69"/>
      <c r="BU140" s="69"/>
      <c r="BV140" s="69"/>
      <c r="BW140" s="69"/>
      <c r="BX140" s="69"/>
      <c r="BY140" s="69"/>
      <c r="BZ140" s="69"/>
      <c r="CA140" s="69"/>
      <c r="CB140" s="69"/>
      <c r="CC140" s="69"/>
      <c r="CD140" s="69"/>
      <c r="CE140" s="69"/>
      <c r="CF140" s="69"/>
      <c r="CG140" s="69"/>
      <c r="CH140" s="69"/>
      <c r="CI140" s="69"/>
      <c r="CJ140" s="69"/>
      <c r="CK140" s="69"/>
      <c r="CL140" s="69"/>
      <c r="CM140" s="69"/>
      <c r="CN140" s="69"/>
      <c r="CO140" s="69"/>
    </row>
    <row r="141" spans="1:93" ht="12.75" customHeight="1">
      <c r="A141" s="784"/>
      <c r="B141" s="69"/>
      <c r="C141" s="69"/>
      <c r="D141" s="69"/>
      <c r="E141" s="69"/>
      <c r="F141" s="69"/>
      <c r="G141" s="77"/>
      <c r="H141" s="77"/>
      <c r="I141" s="77"/>
      <c r="J141" s="366"/>
      <c r="K141" s="77"/>
      <c r="L141" s="77"/>
      <c r="M141" s="77"/>
      <c r="N141" s="77"/>
      <c r="O141" s="69"/>
      <c r="P141" s="69"/>
      <c r="Q141" s="69"/>
      <c r="R141" s="69"/>
      <c r="S141" s="77"/>
      <c r="T141" s="77"/>
      <c r="U141" s="69"/>
      <c r="V141" s="69"/>
      <c r="W141" s="69"/>
      <c r="X141" s="69"/>
      <c r="Y141" s="69"/>
      <c r="Z141" s="69"/>
      <c r="AA141" s="69"/>
      <c r="AB141" s="69"/>
      <c r="AC141" s="207"/>
      <c r="AD141" s="207"/>
      <c r="AE141" s="207"/>
      <c r="AF141" s="207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  <c r="BP141" s="69"/>
      <c r="BQ141" s="69"/>
      <c r="BR141" s="69"/>
      <c r="BS141" s="69"/>
      <c r="BT141" s="69"/>
      <c r="BU141" s="69"/>
      <c r="BV141" s="69"/>
      <c r="BW141" s="69"/>
      <c r="BX141" s="69"/>
      <c r="BY141" s="69"/>
      <c r="BZ141" s="69"/>
      <c r="CA141" s="69"/>
      <c r="CB141" s="69"/>
      <c r="CC141" s="69"/>
      <c r="CD141" s="69"/>
      <c r="CE141" s="69"/>
      <c r="CF141" s="69"/>
      <c r="CG141" s="69"/>
      <c r="CH141" s="69"/>
      <c r="CI141" s="69"/>
      <c r="CJ141" s="69"/>
      <c r="CK141" s="69"/>
      <c r="CL141" s="69"/>
      <c r="CM141" s="69"/>
      <c r="CN141" s="69"/>
      <c r="CO141" s="69"/>
    </row>
    <row r="142" spans="1:93" ht="12.75" customHeight="1">
      <c r="A142" s="784"/>
      <c r="B142" s="69"/>
      <c r="C142" s="69"/>
      <c r="D142" s="69"/>
      <c r="E142" s="69"/>
      <c r="F142" s="69"/>
      <c r="G142" s="77"/>
      <c r="H142" s="77"/>
      <c r="I142" s="77"/>
      <c r="J142" s="366"/>
      <c r="K142" s="77"/>
      <c r="L142" s="77"/>
      <c r="M142" s="77"/>
      <c r="N142" s="77"/>
      <c r="O142" s="69"/>
      <c r="P142" s="69"/>
      <c r="Q142" s="69"/>
      <c r="R142" s="69"/>
      <c r="S142" s="77"/>
      <c r="T142" s="77"/>
      <c r="U142" s="69"/>
      <c r="V142" s="69"/>
      <c r="W142" s="69"/>
      <c r="X142" s="69"/>
      <c r="Y142" s="69"/>
      <c r="Z142" s="69"/>
      <c r="AA142" s="69"/>
      <c r="AB142" s="69"/>
      <c r="AC142" s="207"/>
      <c r="AD142" s="207"/>
      <c r="AE142" s="207"/>
      <c r="AF142" s="207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  <c r="BP142" s="69"/>
      <c r="BQ142" s="69"/>
      <c r="BR142" s="69"/>
      <c r="BS142" s="69"/>
      <c r="BT142" s="69"/>
      <c r="BU142" s="69"/>
      <c r="BV142" s="69"/>
      <c r="BW142" s="69"/>
      <c r="BX142" s="69"/>
      <c r="BY142" s="69"/>
      <c r="BZ142" s="69"/>
      <c r="CA142" s="69"/>
      <c r="CB142" s="69"/>
      <c r="CC142" s="69"/>
      <c r="CD142" s="69"/>
      <c r="CE142" s="69"/>
      <c r="CF142" s="69"/>
      <c r="CG142" s="69"/>
      <c r="CH142" s="69"/>
      <c r="CI142" s="69"/>
      <c r="CJ142" s="69"/>
      <c r="CK142" s="69"/>
      <c r="CL142" s="69"/>
      <c r="CM142" s="69"/>
      <c r="CN142" s="69"/>
      <c r="CO142" s="69"/>
    </row>
    <row r="143" spans="1:93" ht="12.75" customHeight="1">
      <c r="A143" s="784"/>
      <c r="B143" s="69"/>
      <c r="C143" s="69"/>
      <c r="D143" s="69"/>
      <c r="E143" s="69"/>
      <c r="F143" s="69"/>
      <c r="G143" s="77"/>
      <c r="H143" s="77"/>
      <c r="I143" s="77"/>
      <c r="J143" s="366"/>
      <c r="K143" s="77"/>
      <c r="L143" s="77"/>
      <c r="M143" s="77"/>
      <c r="N143" s="77"/>
      <c r="O143" s="69"/>
      <c r="P143" s="69"/>
      <c r="Q143" s="69"/>
      <c r="R143" s="69"/>
      <c r="S143" s="77"/>
      <c r="T143" s="77"/>
      <c r="U143" s="69"/>
      <c r="V143" s="69"/>
      <c r="W143" s="69"/>
      <c r="X143" s="69"/>
      <c r="Y143" s="69"/>
      <c r="Z143" s="69"/>
      <c r="AA143" s="69"/>
      <c r="AB143" s="69"/>
      <c r="AC143" s="207"/>
      <c r="AD143" s="207"/>
      <c r="AE143" s="207"/>
      <c r="AF143" s="207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  <c r="BP143" s="69"/>
      <c r="BQ143" s="69"/>
      <c r="BR143" s="69"/>
      <c r="BS143" s="69"/>
      <c r="BT143" s="69"/>
      <c r="BU143" s="69"/>
      <c r="BV143" s="69"/>
      <c r="BW143" s="69"/>
      <c r="BX143" s="69"/>
      <c r="BY143" s="69"/>
      <c r="BZ143" s="69"/>
      <c r="CA143" s="69"/>
      <c r="CB143" s="69"/>
      <c r="CC143" s="69"/>
      <c r="CD143" s="69"/>
      <c r="CE143" s="69"/>
      <c r="CF143" s="69"/>
      <c r="CG143" s="69"/>
      <c r="CH143" s="69"/>
      <c r="CI143" s="69"/>
      <c r="CJ143" s="69"/>
      <c r="CK143" s="69"/>
      <c r="CL143" s="69"/>
      <c r="CM143" s="69"/>
      <c r="CN143" s="69"/>
      <c r="CO143" s="69"/>
    </row>
    <row r="144" spans="1:93" ht="12.75" customHeight="1">
      <c r="A144" s="784"/>
      <c r="B144" s="69"/>
      <c r="C144" s="69"/>
      <c r="D144" s="69"/>
      <c r="E144" s="69"/>
      <c r="F144" s="69"/>
      <c r="G144" s="77"/>
      <c r="H144" s="77"/>
      <c r="I144" s="77"/>
      <c r="J144" s="366"/>
      <c r="K144" s="77"/>
      <c r="L144" s="77"/>
      <c r="M144" s="77"/>
      <c r="N144" s="77"/>
      <c r="O144" s="69"/>
      <c r="P144" s="69"/>
      <c r="Q144" s="69"/>
      <c r="R144" s="69"/>
      <c r="S144" s="77"/>
      <c r="T144" s="77"/>
      <c r="U144" s="69"/>
      <c r="V144" s="69"/>
      <c r="W144" s="69"/>
      <c r="X144" s="69"/>
      <c r="Y144" s="69"/>
      <c r="Z144" s="69"/>
      <c r="AA144" s="69"/>
      <c r="AB144" s="69"/>
      <c r="AC144" s="207"/>
      <c r="AD144" s="207"/>
      <c r="AE144" s="207"/>
      <c r="AF144" s="207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  <c r="BP144" s="69"/>
      <c r="BQ144" s="69"/>
      <c r="BR144" s="69"/>
      <c r="BS144" s="69"/>
      <c r="BT144" s="69"/>
      <c r="BU144" s="69"/>
      <c r="BV144" s="69"/>
      <c r="BW144" s="69"/>
      <c r="BX144" s="69"/>
      <c r="BY144" s="69"/>
      <c r="BZ144" s="69"/>
      <c r="CA144" s="69"/>
      <c r="CB144" s="69"/>
      <c r="CC144" s="69"/>
      <c r="CD144" s="69"/>
      <c r="CE144" s="69"/>
      <c r="CF144" s="69"/>
      <c r="CG144" s="69"/>
      <c r="CH144" s="69"/>
      <c r="CI144" s="69"/>
      <c r="CJ144" s="69"/>
      <c r="CK144" s="69"/>
      <c r="CL144" s="69"/>
      <c r="CM144" s="69"/>
      <c r="CN144" s="69"/>
      <c r="CO144" s="69"/>
    </row>
    <row r="145" spans="1:93" ht="12.75" customHeight="1">
      <c r="A145" s="784"/>
      <c r="B145" s="69"/>
      <c r="C145" s="69"/>
      <c r="D145" s="69"/>
      <c r="E145" s="69"/>
      <c r="F145" s="69"/>
      <c r="G145" s="77"/>
      <c r="H145" s="77"/>
      <c r="I145" s="77"/>
      <c r="J145" s="366"/>
      <c r="K145" s="77"/>
      <c r="L145" s="77"/>
      <c r="M145" s="77"/>
      <c r="N145" s="77"/>
      <c r="O145" s="69"/>
      <c r="P145" s="69"/>
      <c r="Q145" s="69"/>
      <c r="R145" s="69"/>
      <c r="S145" s="77"/>
      <c r="T145" s="77"/>
      <c r="U145" s="69"/>
      <c r="V145" s="69"/>
      <c r="W145" s="69"/>
      <c r="X145" s="69"/>
      <c r="Y145" s="69"/>
      <c r="Z145" s="69"/>
      <c r="AA145" s="69"/>
      <c r="AB145" s="69"/>
      <c r="AC145" s="207"/>
      <c r="AD145" s="207"/>
      <c r="AE145" s="207"/>
      <c r="AF145" s="207"/>
      <c r="AG145" s="69"/>
      <c r="AH145" s="69"/>
      <c r="AI145" s="69"/>
      <c r="AJ145" s="69"/>
      <c r="AK145" s="69"/>
      <c r="AL145" s="69"/>
      <c r="AM145" s="69"/>
      <c r="AN145" s="69"/>
      <c r="AO145" s="69"/>
      <c r="AP145" s="69"/>
      <c r="AQ145" s="69"/>
      <c r="AR145" s="69"/>
      <c r="AS145" s="69"/>
      <c r="AT145" s="69"/>
      <c r="AU145" s="69"/>
      <c r="AV145" s="69"/>
      <c r="AW145" s="69"/>
      <c r="AX145" s="69"/>
      <c r="AY145" s="69"/>
      <c r="AZ145" s="69"/>
      <c r="BA145" s="69"/>
      <c r="BB145" s="69"/>
      <c r="BC145" s="69"/>
      <c r="BD145" s="69"/>
      <c r="BE145" s="69"/>
      <c r="BF145" s="69"/>
      <c r="BG145" s="69"/>
      <c r="BH145" s="69"/>
      <c r="BI145" s="69"/>
      <c r="BJ145" s="69"/>
      <c r="BK145" s="69"/>
      <c r="BL145" s="69"/>
      <c r="BM145" s="69"/>
      <c r="BN145" s="69"/>
      <c r="BO145" s="69"/>
      <c r="BP145" s="69"/>
      <c r="BQ145" s="69"/>
      <c r="BR145" s="69"/>
      <c r="BS145" s="69"/>
      <c r="BT145" s="69"/>
      <c r="BU145" s="69"/>
      <c r="BV145" s="69"/>
      <c r="BW145" s="69"/>
      <c r="BX145" s="69"/>
      <c r="BY145" s="69"/>
      <c r="BZ145" s="69"/>
      <c r="CA145" s="69"/>
      <c r="CB145" s="69"/>
      <c r="CC145" s="69"/>
      <c r="CD145" s="69"/>
      <c r="CE145" s="69"/>
      <c r="CF145" s="69"/>
      <c r="CG145" s="69"/>
      <c r="CH145" s="69"/>
      <c r="CI145" s="69"/>
      <c r="CJ145" s="69"/>
      <c r="CK145" s="69"/>
      <c r="CL145" s="69"/>
      <c r="CM145" s="69"/>
      <c r="CN145" s="69"/>
      <c r="CO145" s="69"/>
    </row>
    <row r="146" spans="1:93" ht="12.75" customHeight="1">
      <c r="A146" s="784"/>
      <c r="B146" s="69"/>
      <c r="C146" s="69"/>
      <c r="D146" s="69"/>
      <c r="E146" s="69"/>
      <c r="F146" s="69"/>
      <c r="G146" s="77"/>
      <c r="H146" s="77"/>
      <c r="I146" s="77"/>
      <c r="J146" s="366"/>
      <c r="K146" s="77"/>
      <c r="L146" s="77"/>
      <c r="M146" s="77"/>
      <c r="N146" s="77"/>
      <c r="O146" s="69"/>
      <c r="P146" s="69"/>
      <c r="Q146" s="69"/>
      <c r="R146" s="69"/>
      <c r="S146" s="77"/>
      <c r="T146" s="77"/>
      <c r="U146" s="69"/>
      <c r="V146" s="69"/>
      <c r="W146" s="69"/>
      <c r="X146" s="69"/>
      <c r="Y146" s="69"/>
      <c r="Z146" s="69"/>
      <c r="AA146" s="69"/>
      <c r="AB146" s="69"/>
      <c r="AC146" s="207"/>
      <c r="AD146" s="207"/>
      <c r="AE146" s="207"/>
      <c r="AF146" s="207"/>
      <c r="AG146" s="69"/>
      <c r="AH146" s="69"/>
      <c r="AI146" s="69"/>
      <c r="AJ146" s="69"/>
      <c r="AK146" s="69"/>
      <c r="AL146" s="69"/>
      <c r="AM146" s="69"/>
      <c r="AN146" s="69"/>
      <c r="AO146" s="69"/>
      <c r="AP146" s="69"/>
      <c r="AQ146" s="69"/>
      <c r="AR146" s="69"/>
      <c r="AS146" s="69"/>
      <c r="AT146" s="69"/>
      <c r="AU146" s="69"/>
      <c r="AV146" s="69"/>
      <c r="AW146" s="69"/>
      <c r="AX146" s="69"/>
      <c r="AY146" s="69"/>
      <c r="AZ146" s="69"/>
      <c r="BA146" s="69"/>
      <c r="BB146" s="69"/>
      <c r="BC146" s="69"/>
      <c r="BD146" s="69"/>
      <c r="BE146" s="69"/>
      <c r="BF146" s="69"/>
      <c r="BG146" s="69"/>
      <c r="BH146" s="69"/>
      <c r="BI146" s="69"/>
      <c r="BJ146" s="69"/>
      <c r="BK146" s="69"/>
      <c r="BL146" s="69"/>
      <c r="BM146" s="69"/>
      <c r="BN146" s="69"/>
      <c r="BO146" s="69"/>
      <c r="BP146" s="69"/>
      <c r="BQ146" s="69"/>
      <c r="BR146" s="69"/>
      <c r="BS146" s="69"/>
      <c r="BT146" s="69"/>
      <c r="BU146" s="69"/>
      <c r="BV146" s="69"/>
      <c r="BW146" s="69"/>
      <c r="BX146" s="69"/>
      <c r="BY146" s="69"/>
      <c r="BZ146" s="69"/>
      <c r="CA146" s="69"/>
      <c r="CB146" s="69"/>
      <c r="CC146" s="69"/>
      <c r="CD146" s="69"/>
      <c r="CE146" s="69"/>
      <c r="CF146" s="69"/>
      <c r="CG146" s="69"/>
      <c r="CH146" s="69"/>
      <c r="CI146" s="69"/>
      <c r="CJ146" s="69"/>
      <c r="CK146" s="69"/>
      <c r="CL146" s="69"/>
      <c r="CM146" s="69"/>
      <c r="CN146" s="69"/>
      <c r="CO146" s="69"/>
    </row>
    <row r="147" spans="1:93" ht="12.75" customHeight="1">
      <c r="A147" s="784"/>
      <c r="B147" s="69"/>
      <c r="C147" s="69"/>
      <c r="D147" s="69"/>
      <c r="E147" s="69"/>
      <c r="F147" s="69"/>
      <c r="G147" s="77"/>
      <c r="H147" s="77"/>
      <c r="I147" s="77"/>
      <c r="J147" s="366"/>
      <c r="K147" s="77"/>
      <c r="L147" s="77"/>
      <c r="M147" s="77"/>
      <c r="N147" s="77"/>
      <c r="O147" s="69"/>
      <c r="P147" s="69"/>
      <c r="Q147" s="69"/>
      <c r="R147" s="69"/>
      <c r="S147" s="77"/>
      <c r="T147" s="77"/>
      <c r="U147" s="69"/>
      <c r="V147" s="69"/>
      <c r="W147" s="69"/>
      <c r="X147" s="69"/>
      <c r="Y147" s="69"/>
      <c r="Z147" s="69"/>
      <c r="AA147" s="69"/>
      <c r="AB147" s="69"/>
      <c r="AC147" s="207"/>
      <c r="AD147" s="207"/>
      <c r="AE147" s="207"/>
      <c r="AF147" s="207"/>
      <c r="AG147" s="69"/>
      <c r="AH147" s="69"/>
      <c r="AI147" s="69"/>
      <c r="AJ147" s="69"/>
      <c r="AK147" s="69"/>
      <c r="AL147" s="69"/>
      <c r="AM147" s="69"/>
      <c r="AN147" s="69"/>
      <c r="AO147" s="69"/>
      <c r="AP147" s="69"/>
      <c r="AQ147" s="69"/>
      <c r="AR147" s="69"/>
      <c r="AS147" s="69"/>
      <c r="AT147" s="69"/>
      <c r="AU147" s="69"/>
      <c r="AV147" s="69"/>
      <c r="AW147" s="69"/>
      <c r="AX147" s="69"/>
      <c r="AY147" s="69"/>
      <c r="AZ147" s="69"/>
      <c r="BA147" s="69"/>
      <c r="BB147" s="69"/>
      <c r="BC147" s="69"/>
      <c r="BD147" s="69"/>
      <c r="BE147" s="69"/>
      <c r="BF147" s="69"/>
      <c r="BG147" s="69"/>
      <c r="BH147" s="69"/>
      <c r="BI147" s="69"/>
      <c r="BJ147" s="69"/>
      <c r="BK147" s="69"/>
      <c r="BL147" s="69"/>
      <c r="BM147" s="69"/>
      <c r="BN147" s="69"/>
      <c r="BO147" s="69"/>
      <c r="BP147" s="69"/>
      <c r="BQ147" s="69"/>
      <c r="BR147" s="69"/>
      <c r="BS147" s="69"/>
      <c r="BT147" s="69"/>
      <c r="BU147" s="69"/>
      <c r="BV147" s="69"/>
      <c r="BW147" s="69"/>
      <c r="BX147" s="69"/>
      <c r="BY147" s="69"/>
      <c r="BZ147" s="69"/>
      <c r="CA147" s="69"/>
      <c r="CB147" s="69"/>
      <c r="CC147" s="69"/>
      <c r="CD147" s="69"/>
      <c r="CE147" s="69"/>
      <c r="CF147" s="69"/>
      <c r="CG147" s="69"/>
      <c r="CH147" s="69"/>
      <c r="CI147" s="69"/>
      <c r="CJ147" s="69"/>
      <c r="CK147" s="69"/>
      <c r="CL147" s="69"/>
      <c r="CM147" s="69"/>
      <c r="CN147" s="69"/>
      <c r="CO147" s="69"/>
    </row>
    <row r="148" spans="1:93" ht="12.75" customHeight="1">
      <c r="A148" s="784"/>
      <c r="B148" s="69"/>
      <c r="C148" s="69"/>
      <c r="D148" s="69"/>
      <c r="E148" s="69"/>
      <c r="F148" s="69"/>
      <c r="G148" s="77"/>
      <c r="H148" s="77"/>
      <c r="I148" s="77"/>
      <c r="J148" s="366"/>
      <c r="K148" s="77"/>
      <c r="L148" s="77"/>
      <c r="M148" s="77"/>
      <c r="N148" s="77"/>
      <c r="O148" s="69"/>
      <c r="P148" s="69"/>
      <c r="Q148" s="69"/>
      <c r="R148" s="69"/>
      <c r="S148" s="77"/>
      <c r="T148" s="77"/>
      <c r="U148" s="69"/>
      <c r="V148" s="69"/>
      <c r="W148" s="69"/>
      <c r="X148" s="69"/>
      <c r="Y148" s="69"/>
      <c r="Z148" s="69"/>
      <c r="AA148" s="69"/>
      <c r="AB148" s="69"/>
      <c r="AC148" s="207"/>
      <c r="AD148" s="207"/>
      <c r="AE148" s="207"/>
      <c r="AF148" s="207"/>
      <c r="AG148" s="69"/>
      <c r="AH148" s="69"/>
      <c r="AI148" s="69"/>
      <c r="AJ148" s="69"/>
      <c r="AK148" s="69"/>
      <c r="AL148" s="69"/>
      <c r="AM148" s="69"/>
      <c r="AN148" s="69"/>
      <c r="AO148" s="69"/>
      <c r="AP148" s="69"/>
      <c r="AQ148" s="69"/>
      <c r="AR148" s="69"/>
      <c r="AS148" s="69"/>
      <c r="AT148" s="69"/>
      <c r="AU148" s="69"/>
      <c r="AV148" s="69"/>
      <c r="AW148" s="69"/>
      <c r="AX148" s="69"/>
      <c r="AY148" s="69"/>
      <c r="AZ148" s="69"/>
      <c r="BA148" s="69"/>
      <c r="BB148" s="69"/>
      <c r="BC148" s="69"/>
      <c r="BD148" s="69"/>
      <c r="BE148" s="69"/>
      <c r="BF148" s="69"/>
      <c r="BG148" s="69"/>
      <c r="BH148" s="69"/>
      <c r="BI148" s="69"/>
      <c r="BJ148" s="69"/>
      <c r="BK148" s="69"/>
      <c r="BL148" s="69"/>
      <c r="BM148" s="69"/>
      <c r="BN148" s="69"/>
      <c r="BO148" s="69"/>
      <c r="BP148" s="69"/>
      <c r="BQ148" s="69"/>
      <c r="BR148" s="69"/>
      <c r="BS148" s="69"/>
      <c r="BT148" s="69"/>
      <c r="BU148" s="69"/>
      <c r="BV148" s="69"/>
      <c r="BW148" s="69"/>
      <c r="BX148" s="69"/>
      <c r="BY148" s="69"/>
      <c r="BZ148" s="69"/>
      <c r="CA148" s="69"/>
      <c r="CB148" s="69"/>
      <c r="CC148" s="69"/>
      <c r="CD148" s="69"/>
      <c r="CE148" s="69"/>
      <c r="CF148" s="69"/>
      <c r="CG148" s="69"/>
      <c r="CH148" s="69"/>
      <c r="CI148" s="69"/>
      <c r="CJ148" s="69"/>
      <c r="CK148" s="69"/>
      <c r="CL148" s="69"/>
      <c r="CM148" s="69"/>
      <c r="CN148" s="69"/>
      <c r="CO148" s="69"/>
    </row>
    <row r="149" spans="1:93" ht="12.75" customHeight="1">
      <c r="A149" s="784"/>
      <c r="B149" s="69"/>
      <c r="C149" s="69"/>
      <c r="D149" s="69"/>
      <c r="E149" s="69"/>
      <c r="F149" s="69"/>
      <c r="G149" s="77"/>
      <c r="H149" s="77"/>
      <c r="I149" s="77"/>
      <c r="J149" s="366"/>
      <c r="K149" s="77"/>
      <c r="L149" s="77"/>
      <c r="M149" s="77"/>
      <c r="N149" s="77"/>
      <c r="O149" s="69"/>
      <c r="P149" s="69"/>
      <c r="Q149" s="69"/>
      <c r="R149" s="69"/>
      <c r="S149" s="77"/>
      <c r="T149" s="77"/>
      <c r="U149" s="69"/>
      <c r="V149" s="69"/>
      <c r="W149" s="69"/>
      <c r="X149" s="69"/>
      <c r="Y149" s="69"/>
      <c r="Z149" s="69"/>
      <c r="AA149" s="69"/>
      <c r="AB149" s="69"/>
      <c r="AC149" s="207"/>
      <c r="AD149" s="207"/>
      <c r="AE149" s="207"/>
      <c r="AF149" s="207"/>
      <c r="AG149" s="69"/>
      <c r="AH149" s="69"/>
      <c r="AI149" s="69"/>
      <c r="AJ149" s="69"/>
      <c r="AK149" s="69"/>
      <c r="AL149" s="69"/>
      <c r="AM149" s="69"/>
      <c r="AN149" s="69"/>
      <c r="AO149" s="69"/>
      <c r="AP149" s="69"/>
      <c r="AQ149" s="69"/>
      <c r="AR149" s="69"/>
      <c r="AS149" s="69"/>
      <c r="AT149" s="69"/>
      <c r="AU149" s="69"/>
      <c r="AV149" s="69"/>
      <c r="AW149" s="69"/>
      <c r="AX149" s="69"/>
      <c r="AY149" s="69"/>
      <c r="AZ149" s="69"/>
      <c r="BA149" s="69"/>
      <c r="BB149" s="69"/>
      <c r="BC149" s="69"/>
      <c r="BD149" s="69"/>
      <c r="BE149" s="69"/>
      <c r="BF149" s="69"/>
      <c r="BG149" s="69"/>
      <c r="BH149" s="69"/>
      <c r="BI149" s="69"/>
      <c r="BJ149" s="69"/>
      <c r="BK149" s="69"/>
      <c r="BL149" s="69"/>
      <c r="BM149" s="69"/>
      <c r="BN149" s="69"/>
      <c r="BO149" s="69"/>
      <c r="BP149" s="69"/>
      <c r="BQ149" s="69"/>
      <c r="BR149" s="69"/>
      <c r="BS149" s="69"/>
      <c r="BT149" s="69"/>
      <c r="BU149" s="69"/>
      <c r="BV149" s="69"/>
      <c r="BW149" s="69"/>
      <c r="BX149" s="69"/>
      <c r="BY149" s="69"/>
      <c r="BZ149" s="69"/>
      <c r="CA149" s="69"/>
      <c r="CB149" s="69"/>
      <c r="CC149" s="69"/>
      <c r="CD149" s="69"/>
      <c r="CE149" s="69"/>
      <c r="CF149" s="69"/>
      <c r="CG149" s="69"/>
      <c r="CH149" s="69"/>
      <c r="CI149" s="69"/>
      <c r="CJ149" s="69"/>
      <c r="CK149" s="69"/>
      <c r="CL149" s="69"/>
      <c r="CM149" s="69"/>
      <c r="CN149" s="69"/>
      <c r="CO149" s="69"/>
    </row>
    <row r="150" spans="1:93" ht="12.75" customHeight="1">
      <c r="A150" s="784"/>
      <c r="B150" s="69"/>
      <c r="C150" s="69"/>
      <c r="D150" s="69"/>
      <c r="E150" s="69"/>
      <c r="F150" s="69"/>
      <c r="G150" s="77"/>
      <c r="H150" s="77"/>
      <c r="I150" s="77"/>
      <c r="J150" s="366"/>
      <c r="K150" s="77"/>
      <c r="L150" s="77"/>
      <c r="M150" s="77"/>
      <c r="N150" s="77"/>
      <c r="O150" s="69"/>
      <c r="P150" s="69"/>
      <c r="Q150" s="69"/>
      <c r="R150" s="69"/>
      <c r="S150" s="77"/>
      <c r="T150" s="77"/>
      <c r="U150" s="69"/>
      <c r="V150" s="69"/>
      <c r="W150" s="69"/>
      <c r="X150" s="69"/>
      <c r="Y150" s="69"/>
      <c r="Z150" s="69"/>
      <c r="AA150" s="69"/>
      <c r="AB150" s="69"/>
      <c r="AC150" s="207"/>
      <c r="AD150" s="207"/>
      <c r="AE150" s="207"/>
      <c r="AF150" s="207"/>
      <c r="AG150" s="69"/>
      <c r="AH150" s="69"/>
      <c r="AI150" s="69"/>
      <c r="AJ150" s="69"/>
      <c r="AK150" s="69"/>
      <c r="AL150" s="69"/>
      <c r="AM150" s="69"/>
      <c r="AN150" s="69"/>
      <c r="AO150" s="69"/>
      <c r="AP150" s="69"/>
      <c r="AQ150" s="69"/>
      <c r="AR150" s="69"/>
      <c r="AS150" s="69"/>
      <c r="AT150" s="69"/>
      <c r="AU150" s="69"/>
      <c r="AV150" s="69"/>
      <c r="AW150" s="69"/>
      <c r="AX150" s="69"/>
      <c r="AY150" s="69"/>
      <c r="AZ150" s="69"/>
      <c r="BA150" s="69"/>
      <c r="BB150" s="69"/>
      <c r="BC150" s="69"/>
      <c r="BD150" s="69"/>
      <c r="BE150" s="69"/>
      <c r="BF150" s="69"/>
      <c r="BG150" s="69"/>
      <c r="BH150" s="69"/>
      <c r="BI150" s="69"/>
      <c r="BJ150" s="69"/>
      <c r="BK150" s="69"/>
      <c r="BL150" s="69"/>
      <c r="BM150" s="69"/>
      <c r="BN150" s="69"/>
      <c r="BO150" s="69"/>
      <c r="BP150" s="69"/>
      <c r="BQ150" s="69"/>
      <c r="BR150" s="69"/>
      <c r="BS150" s="69"/>
      <c r="BT150" s="69"/>
      <c r="BU150" s="69"/>
      <c r="BV150" s="69"/>
      <c r="BW150" s="69"/>
      <c r="BX150" s="69"/>
      <c r="BY150" s="69"/>
      <c r="BZ150" s="69"/>
      <c r="CA150" s="69"/>
      <c r="CB150" s="69"/>
      <c r="CC150" s="69"/>
      <c r="CD150" s="69"/>
      <c r="CE150" s="69"/>
      <c r="CF150" s="69"/>
      <c r="CG150" s="69"/>
      <c r="CH150" s="69"/>
      <c r="CI150" s="69"/>
      <c r="CJ150" s="69"/>
      <c r="CK150" s="69"/>
      <c r="CL150" s="69"/>
      <c r="CM150" s="69"/>
      <c r="CN150" s="69"/>
      <c r="CO150" s="69"/>
    </row>
    <row r="151" spans="1:93" ht="12.75" customHeight="1">
      <c r="A151" s="784"/>
      <c r="B151" s="69"/>
      <c r="C151" s="69"/>
      <c r="D151" s="69"/>
      <c r="E151" s="69"/>
      <c r="F151" s="69"/>
      <c r="G151" s="77"/>
      <c r="H151" s="77"/>
      <c r="I151" s="77"/>
      <c r="J151" s="366"/>
      <c r="K151" s="77"/>
      <c r="L151" s="77"/>
      <c r="M151" s="77"/>
      <c r="N151" s="77"/>
      <c r="O151" s="69"/>
      <c r="P151" s="69"/>
      <c r="Q151" s="69"/>
      <c r="R151" s="69"/>
      <c r="S151" s="77"/>
      <c r="T151" s="77"/>
      <c r="U151" s="69"/>
      <c r="V151" s="69"/>
      <c r="W151" s="69"/>
      <c r="X151" s="69"/>
      <c r="Y151" s="69"/>
      <c r="Z151" s="69"/>
      <c r="AA151" s="69"/>
      <c r="AB151" s="69"/>
      <c r="AC151" s="207"/>
      <c r="AD151" s="207"/>
      <c r="AE151" s="207"/>
      <c r="AF151" s="207"/>
      <c r="AG151" s="69"/>
      <c r="AH151" s="69"/>
      <c r="AI151" s="69"/>
      <c r="AJ151" s="69"/>
      <c r="AK151" s="69"/>
      <c r="AL151" s="69"/>
      <c r="AM151" s="69"/>
      <c r="AN151" s="69"/>
      <c r="AO151" s="69"/>
      <c r="AP151" s="69"/>
      <c r="AQ151" s="69"/>
      <c r="AR151" s="69"/>
      <c r="AS151" s="69"/>
      <c r="AT151" s="69"/>
      <c r="AU151" s="69"/>
      <c r="AV151" s="69"/>
      <c r="AW151" s="69"/>
      <c r="AX151" s="69"/>
      <c r="AY151" s="69"/>
      <c r="AZ151" s="69"/>
      <c r="BA151" s="69"/>
      <c r="BB151" s="69"/>
      <c r="BC151" s="69"/>
      <c r="BD151" s="69"/>
      <c r="BE151" s="69"/>
      <c r="BF151" s="69"/>
      <c r="BG151" s="69"/>
      <c r="BH151" s="69"/>
      <c r="BI151" s="69"/>
      <c r="BJ151" s="69"/>
      <c r="BK151" s="69"/>
      <c r="BL151" s="69"/>
      <c r="BM151" s="69"/>
      <c r="BN151" s="69"/>
      <c r="BO151" s="69"/>
      <c r="BP151" s="69"/>
      <c r="BQ151" s="69"/>
      <c r="BR151" s="69"/>
      <c r="BS151" s="69"/>
      <c r="BT151" s="69"/>
      <c r="BU151" s="69"/>
      <c r="BV151" s="69"/>
      <c r="BW151" s="69"/>
      <c r="BX151" s="69"/>
      <c r="BY151" s="69"/>
      <c r="BZ151" s="69"/>
      <c r="CA151" s="69"/>
      <c r="CB151" s="69"/>
      <c r="CC151" s="69"/>
      <c r="CD151" s="69"/>
      <c r="CE151" s="69"/>
      <c r="CF151" s="69"/>
      <c r="CG151" s="69"/>
      <c r="CH151" s="69"/>
      <c r="CI151" s="69"/>
      <c r="CJ151" s="69"/>
      <c r="CK151" s="69"/>
      <c r="CL151" s="69"/>
      <c r="CM151" s="69"/>
      <c r="CN151" s="69"/>
      <c r="CO151" s="69"/>
    </row>
    <row r="152" spans="1:93" ht="12.75" customHeight="1">
      <c r="A152" s="784"/>
      <c r="B152" s="69"/>
      <c r="C152" s="69"/>
      <c r="D152" s="69"/>
      <c r="E152" s="69"/>
      <c r="F152" s="69"/>
      <c r="G152" s="77"/>
      <c r="H152" s="77"/>
      <c r="I152" s="77"/>
      <c r="J152" s="366"/>
      <c r="K152" s="77"/>
      <c r="L152" s="77"/>
      <c r="M152" s="77"/>
      <c r="N152" s="77"/>
      <c r="O152" s="69"/>
      <c r="P152" s="69"/>
      <c r="Q152" s="69"/>
      <c r="R152" s="69"/>
      <c r="S152" s="77"/>
      <c r="T152" s="77"/>
      <c r="U152" s="69"/>
      <c r="V152" s="69"/>
      <c r="W152" s="69"/>
      <c r="X152" s="69"/>
      <c r="Y152" s="69"/>
      <c r="Z152" s="69"/>
      <c r="AA152" s="69"/>
      <c r="AB152" s="69"/>
      <c r="AC152" s="207"/>
      <c r="AD152" s="207"/>
      <c r="AE152" s="207"/>
      <c r="AF152" s="207"/>
      <c r="AG152" s="69"/>
      <c r="AH152" s="69"/>
      <c r="AI152" s="69"/>
      <c r="AJ152" s="69"/>
      <c r="AK152" s="69"/>
      <c r="AL152" s="69"/>
      <c r="AM152" s="69"/>
      <c r="AN152" s="69"/>
      <c r="AO152" s="69"/>
      <c r="AP152" s="69"/>
      <c r="AQ152" s="69"/>
      <c r="AR152" s="69"/>
      <c r="AS152" s="69"/>
      <c r="AT152" s="69"/>
      <c r="AU152" s="69"/>
      <c r="AV152" s="69"/>
      <c r="AW152" s="69"/>
      <c r="AX152" s="69"/>
      <c r="AY152" s="69"/>
      <c r="AZ152" s="69"/>
      <c r="BA152" s="69"/>
      <c r="BB152" s="69"/>
      <c r="BC152" s="69"/>
      <c r="BD152" s="69"/>
      <c r="BE152" s="69"/>
      <c r="BF152" s="69"/>
      <c r="BG152" s="69"/>
      <c r="BH152" s="69"/>
      <c r="BI152" s="69"/>
      <c r="BJ152" s="69"/>
      <c r="BK152" s="69"/>
      <c r="BL152" s="69"/>
      <c r="BM152" s="69"/>
      <c r="BN152" s="69"/>
      <c r="BO152" s="69"/>
      <c r="BP152" s="69"/>
      <c r="BQ152" s="69"/>
      <c r="BR152" s="69"/>
      <c r="BS152" s="69"/>
      <c r="BT152" s="69"/>
      <c r="BU152" s="69"/>
      <c r="BV152" s="69"/>
      <c r="BW152" s="69"/>
      <c r="BX152" s="69"/>
      <c r="BY152" s="69"/>
      <c r="BZ152" s="69"/>
      <c r="CA152" s="69"/>
      <c r="CB152" s="69"/>
      <c r="CC152" s="69"/>
      <c r="CD152" s="69"/>
      <c r="CE152" s="69"/>
      <c r="CF152" s="69"/>
      <c r="CG152" s="69"/>
      <c r="CH152" s="69"/>
      <c r="CI152" s="69"/>
      <c r="CJ152" s="69"/>
      <c r="CK152" s="69"/>
      <c r="CL152" s="69"/>
      <c r="CM152" s="69"/>
      <c r="CN152" s="69"/>
      <c r="CO152" s="69"/>
    </row>
    <row r="153" spans="1:93" ht="12.75" customHeight="1">
      <c r="A153" s="784"/>
      <c r="B153" s="69"/>
      <c r="C153" s="69"/>
      <c r="D153" s="69"/>
      <c r="E153" s="69"/>
      <c r="F153" s="69"/>
      <c r="G153" s="77"/>
      <c r="H153" s="77"/>
      <c r="I153" s="77"/>
      <c r="J153" s="366"/>
      <c r="K153" s="77"/>
      <c r="L153" s="77"/>
      <c r="M153" s="77"/>
      <c r="N153" s="77"/>
      <c r="O153" s="69"/>
      <c r="P153" s="69"/>
      <c r="Q153" s="69"/>
      <c r="R153" s="69"/>
      <c r="S153" s="77"/>
      <c r="T153" s="77"/>
      <c r="U153" s="69"/>
      <c r="V153" s="69"/>
      <c r="W153" s="69"/>
      <c r="X153" s="69"/>
      <c r="Y153" s="69"/>
      <c r="Z153" s="69"/>
      <c r="AA153" s="69"/>
      <c r="AB153" s="69"/>
      <c r="AC153" s="207"/>
      <c r="AD153" s="207"/>
      <c r="AE153" s="207"/>
      <c r="AF153" s="207"/>
      <c r="AG153" s="69"/>
      <c r="AH153" s="69"/>
      <c r="AI153" s="69"/>
      <c r="AJ153" s="69"/>
      <c r="AK153" s="69"/>
      <c r="AL153" s="69"/>
      <c r="AM153" s="69"/>
      <c r="AN153" s="69"/>
      <c r="AO153" s="69"/>
      <c r="AP153" s="69"/>
      <c r="AQ153" s="69"/>
      <c r="AR153" s="69"/>
      <c r="AS153" s="69"/>
      <c r="AT153" s="69"/>
      <c r="AU153" s="69"/>
      <c r="AV153" s="69"/>
      <c r="AW153" s="69"/>
      <c r="AX153" s="69"/>
      <c r="AY153" s="69"/>
      <c r="AZ153" s="69"/>
      <c r="BA153" s="69"/>
      <c r="BB153" s="69"/>
      <c r="BC153" s="69"/>
      <c r="BD153" s="69"/>
      <c r="BE153" s="69"/>
      <c r="BF153" s="69"/>
      <c r="BG153" s="69"/>
      <c r="BH153" s="69"/>
      <c r="BI153" s="69"/>
      <c r="BJ153" s="69"/>
      <c r="BK153" s="69"/>
      <c r="BL153" s="69"/>
      <c r="BM153" s="69"/>
      <c r="BN153" s="69"/>
      <c r="BO153" s="69"/>
      <c r="BP153" s="69"/>
      <c r="BQ153" s="69"/>
      <c r="BR153" s="69"/>
      <c r="BS153" s="69"/>
      <c r="BT153" s="69"/>
      <c r="BU153" s="69"/>
      <c r="BV153" s="69"/>
      <c r="BW153" s="69"/>
      <c r="BX153" s="69"/>
      <c r="BY153" s="69"/>
      <c r="BZ153" s="69"/>
      <c r="CA153" s="69"/>
      <c r="CB153" s="69"/>
      <c r="CC153" s="69"/>
      <c r="CD153" s="69"/>
      <c r="CE153" s="69"/>
      <c r="CF153" s="69"/>
      <c r="CG153" s="69"/>
      <c r="CH153" s="69"/>
      <c r="CI153" s="69"/>
      <c r="CJ153" s="69"/>
      <c r="CK153" s="69"/>
      <c r="CL153" s="69"/>
      <c r="CM153" s="69"/>
      <c r="CN153" s="69"/>
      <c r="CO153" s="69"/>
    </row>
    <row r="154" spans="1:93" ht="12.75" customHeight="1">
      <c r="A154" s="784"/>
      <c r="B154" s="69"/>
      <c r="C154" s="69"/>
      <c r="D154" s="69"/>
      <c r="E154" s="69"/>
      <c r="F154" s="69"/>
      <c r="G154" s="77"/>
      <c r="H154" s="77"/>
      <c r="I154" s="77"/>
      <c r="J154" s="366"/>
      <c r="K154" s="77"/>
      <c r="L154" s="77"/>
      <c r="M154" s="77"/>
      <c r="N154" s="77"/>
      <c r="O154" s="69"/>
      <c r="P154" s="69"/>
      <c r="Q154" s="69"/>
      <c r="R154" s="69"/>
      <c r="S154" s="77"/>
      <c r="T154" s="77"/>
      <c r="U154" s="69"/>
      <c r="V154" s="69"/>
      <c r="W154" s="69"/>
      <c r="X154" s="69"/>
      <c r="Y154" s="69"/>
      <c r="Z154" s="69"/>
      <c r="AA154" s="69"/>
      <c r="AB154" s="69"/>
      <c r="AC154" s="207"/>
      <c r="AD154" s="207"/>
      <c r="AE154" s="207"/>
      <c r="AF154" s="207"/>
      <c r="AG154" s="69"/>
      <c r="AH154" s="69"/>
      <c r="AI154" s="69"/>
      <c r="AJ154" s="69"/>
      <c r="AK154" s="69"/>
      <c r="AL154" s="69"/>
      <c r="AM154" s="69"/>
      <c r="AN154" s="69"/>
      <c r="AO154" s="69"/>
      <c r="AP154" s="69"/>
      <c r="AQ154" s="69"/>
      <c r="AR154" s="69"/>
      <c r="AS154" s="69"/>
      <c r="AT154" s="69"/>
      <c r="AU154" s="69"/>
      <c r="AV154" s="69"/>
      <c r="AW154" s="69"/>
      <c r="AX154" s="69"/>
      <c r="AY154" s="69"/>
      <c r="AZ154" s="69"/>
      <c r="BA154" s="69"/>
      <c r="BB154" s="69"/>
      <c r="BC154" s="69"/>
      <c r="BD154" s="69"/>
      <c r="BE154" s="69"/>
      <c r="BF154" s="69"/>
      <c r="BG154" s="69"/>
      <c r="BH154" s="69"/>
      <c r="BI154" s="69"/>
      <c r="BJ154" s="69"/>
      <c r="BK154" s="69"/>
      <c r="BL154" s="69"/>
      <c r="BM154" s="69"/>
      <c r="BN154" s="69"/>
      <c r="BO154" s="69"/>
      <c r="BP154" s="69"/>
      <c r="BQ154" s="69"/>
      <c r="BR154" s="69"/>
      <c r="BS154" s="69"/>
      <c r="BT154" s="69"/>
      <c r="BU154" s="69"/>
      <c r="BV154" s="69"/>
      <c r="BW154" s="69"/>
      <c r="BX154" s="69"/>
      <c r="BY154" s="69"/>
      <c r="BZ154" s="69"/>
      <c r="CA154" s="69"/>
      <c r="CB154" s="69"/>
      <c r="CC154" s="69"/>
      <c r="CD154" s="69"/>
      <c r="CE154" s="69"/>
      <c r="CF154" s="69"/>
      <c r="CG154" s="69"/>
      <c r="CH154" s="69"/>
      <c r="CI154" s="69"/>
      <c r="CJ154" s="69"/>
      <c r="CK154" s="69"/>
      <c r="CL154" s="69"/>
      <c r="CM154" s="69"/>
      <c r="CN154" s="69"/>
      <c r="CO154" s="69"/>
    </row>
    <row r="155" spans="1:93" ht="12.75" customHeight="1">
      <c r="A155" s="784"/>
      <c r="B155" s="69"/>
      <c r="C155" s="69"/>
      <c r="D155" s="69"/>
      <c r="E155" s="69"/>
      <c r="F155" s="69"/>
      <c r="G155" s="77"/>
      <c r="H155" s="77"/>
      <c r="I155" s="77"/>
      <c r="J155" s="366"/>
      <c r="K155" s="77"/>
      <c r="L155" s="77"/>
      <c r="M155" s="77"/>
      <c r="N155" s="77"/>
      <c r="O155" s="69"/>
      <c r="P155" s="69"/>
      <c r="Q155" s="69"/>
      <c r="R155" s="69"/>
      <c r="S155" s="77"/>
      <c r="T155" s="77"/>
      <c r="U155" s="69"/>
      <c r="V155" s="69"/>
      <c r="W155" s="69"/>
      <c r="X155" s="69"/>
      <c r="Y155" s="69"/>
      <c r="Z155" s="69"/>
      <c r="AA155" s="69"/>
      <c r="AB155" s="69"/>
      <c r="AC155" s="207"/>
      <c r="AD155" s="207"/>
      <c r="AE155" s="207"/>
      <c r="AF155" s="207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  <c r="BP155" s="69"/>
      <c r="BQ155" s="69"/>
      <c r="BR155" s="69"/>
      <c r="BS155" s="69"/>
      <c r="BT155" s="69"/>
      <c r="BU155" s="69"/>
      <c r="BV155" s="69"/>
      <c r="BW155" s="69"/>
      <c r="BX155" s="69"/>
      <c r="BY155" s="69"/>
      <c r="BZ155" s="69"/>
      <c r="CA155" s="69"/>
      <c r="CB155" s="69"/>
      <c r="CC155" s="69"/>
      <c r="CD155" s="69"/>
      <c r="CE155" s="69"/>
      <c r="CF155" s="69"/>
      <c r="CG155" s="69"/>
      <c r="CH155" s="69"/>
      <c r="CI155" s="69"/>
      <c r="CJ155" s="69"/>
      <c r="CK155" s="69"/>
      <c r="CL155" s="69"/>
      <c r="CM155" s="69"/>
      <c r="CN155" s="69"/>
      <c r="CO155" s="69"/>
    </row>
    <row r="156" spans="1:93" ht="12.75" customHeight="1">
      <c r="A156" s="784"/>
      <c r="B156" s="69"/>
      <c r="C156" s="69"/>
      <c r="D156" s="69"/>
      <c r="E156" s="69"/>
      <c r="F156" s="69"/>
      <c r="G156" s="77"/>
      <c r="H156" s="77"/>
      <c r="I156" s="77"/>
      <c r="J156" s="366"/>
      <c r="K156" s="77"/>
      <c r="L156" s="77"/>
      <c r="M156" s="77"/>
      <c r="N156" s="77"/>
      <c r="O156" s="69"/>
      <c r="P156" s="69"/>
      <c r="Q156" s="69"/>
      <c r="R156" s="69"/>
      <c r="S156" s="77"/>
      <c r="T156" s="77"/>
      <c r="U156" s="69"/>
      <c r="V156" s="69"/>
      <c r="W156" s="69"/>
      <c r="X156" s="69"/>
      <c r="Y156" s="69"/>
      <c r="Z156" s="69"/>
      <c r="AA156" s="69"/>
      <c r="AB156" s="69"/>
      <c r="AC156" s="207"/>
      <c r="AD156" s="207"/>
      <c r="AE156" s="207"/>
      <c r="AF156" s="207"/>
      <c r="AG156" s="69"/>
      <c r="AH156" s="69"/>
      <c r="AI156" s="69"/>
      <c r="AJ156" s="69"/>
      <c r="AK156" s="69"/>
      <c r="AL156" s="69"/>
      <c r="AM156" s="69"/>
      <c r="AN156" s="69"/>
      <c r="AO156" s="69"/>
      <c r="AP156" s="69"/>
      <c r="AQ156" s="69"/>
      <c r="AR156" s="69"/>
      <c r="AS156" s="69"/>
      <c r="AT156" s="69"/>
      <c r="AU156" s="69"/>
      <c r="AV156" s="69"/>
      <c r="AW156" s="69"/>
      <c r="AX156" s="69"/>
      <c r="AY156" s="69"/>
      <c r="AZ156" s="69"/>
      <c r="BA156" s="69"/>
      <c r="BB156" s="69"/>
      <c r="BC156" s="69"/>
      <c r="BD156" s="69"/>
      <c r="BE156" s="69"/>
      <c r="BF156" s="69"/>
      <c r="BG156" s="69"/>
      <c r="BH156" s="69"/>
      <c r="BI156" s="69"/>
      <c r="BJ156" s="69"/>
      <c r="BK156" s="69"/>
      <c r="BL156" s="69"/>
      <c r="BM156" s="69"/>
      <c r="BN156" s="69"/>
      <c r="BO156" s="69"/>
      <c r="BP156" s="69"/>
      <c r="BQ156" s="69"/>
      <c r="BR156" s="69"/>
      <c r="BS156" s="69"/>
      <c r="BT156" s="69"/>
      <c r="BU156" s="69"/>
      <c r="BV156" s="69"/>
      <c r="BW156" s="69"/>
      <c r="BX156" s="69"/>
      <c r="BY156" s="69"/>
      <c r="BZ156" s="69"/>
      <c r="CA156" s="69"/>
      <c r="CB156" s="69"/>
      <c r="CC156" s="69"/>
      <c r="CD156" s="69"/>
      <c r="CE156" s="69"/>
      <c r="CF156" s="69"/>
      <c r="CG156" s="69"/>
      <c r="CH156" s="69"/>
      <c r="CI156" s="69"/>
      <c r="CJ156" s="69"/>
      <c r="CK156" s="69"/>
      <c r="CL156" s="69"/>
      <c r="CM156" s="69"/>
      <c r="CN156" s="69"/>
      <c r="CO156" s="69"/>
    </row>
    <row r="157" spans="1:93" ht="12.75" customHeight="1">
      <c r="A157" s="784"/>
      <c r="B157" s="69"/>
      <c r="C157" s="69"/>
      <c r="D157" s="69"/>
      <c r="E157" s="69"/>
      <c r="F157" s="69"/>
      <c r="G157" s="77"/>
      <c r="H157" s="77"/>
      <c r="I157" s="77"/>
      <c r="J157" s="366"/>
      <c r="K157" s="77"/>
      <c r="L157" s="77"/>
      <c r="M157" s="77"/>
      <c r="N157" s="77"/>
      <c r="O157" s="69"/>
      <c r="P157" s="69"/>
      <c r="Q157" s="69"/>
      <c r="R157" s="69"/>
      <c r="S157" s="77"/>
      <c r="T157" s="77"/>
      <c r="U157" s="69"/>
      <c r="V157" s="69"/>
      <c r="W157" s="69"/>
      <c r="X157" s="69"/>
      <c r="Y157" s="69"/>
      <c r="Z157" s="69"/>
      <c r="AA157" s="69"/>
      <c r="AB157" s="69"/>
      <c r="AC157" s="207"/>
      <c r="AD157" s="207"/>
      <c r="AE157" s="207"/>
      <c r="AF157" s="207"/>
      <c r="AG157" s="69"/>
      <c r="AH157" s="69"/>
      <c r="AI157" s="69"/>
      <c r="AJ157" s="69"/>
      <c r="AK157" s="69"/>
      <c r="AL157" s="69"/>
      <c r="AM157" s="69"/>
      <c r="AN157" s="69"/>
      <c r="AO157" s="69"/>
      <c r="AP157" s="69"/>
      <c r="AQ157" s="69"/>
      <c r="AR157" s="69"/>
      <c r="AS157" s="69"/>
      <c r="AT157" s="69"/>
      <c r="AU157" s="69"/>
      <c r="AV157" s="69"/>
      <c r="AW157" s="69"/>
      <c r="AX157" s="69"/>
      <c r="AY157" s="69"/>
      <c r="AZ157" s="69"/>
      <c r="BA157" s="69"/>
      <c r="BB157" s="69"/>
      <c r="BC157" s="69"/>
      <c r="BD157" s="69"/>
      <c r="BE157" s="69"/>
      <c r="BF157" s="69"/>
      <c r="BG157" s="69"/>
      <c r="BH157" s="69"/>
      <c r="BI157" s="69"/>
      <c r="BJ157" s="69"/>
      <c r="BK157" s="69"/>
      <c r="BL157" s="69"/>
      <c r="BM157" s="69"/>
      <c r="BN157" s="69"/>
      <c r="BO157" s="69"/>
      <c r="BP157" s="69"/>
      <c r="BQ157" s="69"/>
      <c r="BR157" s="69"/>
      <c r="BS157" s="69"/>
      <c r="BT157" s="69"/>
      <c r="BU157" s="69"/>
      <c r="BV157" s="69"/>
      <c r="BW157" s="69"/>
      <c r="BX157" s="69"/>
      <c r="BY157" s="69"/>
      <c r="BZ157" s="69"/>
      <c r="CA157" s="69"/>
      <c r="CB157" s="69"/>
      <c r="CC157" s="69"/>
      <c r="CD157" s="69"/>
      <c r="CE157" s="69"/>
      <c r="CF157" s="69"/>
      <c r="CG157" s="69"/>
      <c r="CH157" s="69"/>
      <c r="CI157" s="69"/>
      <c r="CJ157" s="69"/>
      <c r="CK157" s="69"/>
      <c r="CL157" s="69"/>
      <c r="CM157" s="69"/>
      <c r="CN157" s="69"/>
      <c r="CO157" s="69"/>
    </row>
    <row r="158" spans="1:93" ht="12.75" customHeight="1">
      <c r="A158" s="784"/>
      <c r="B158" s="69"/>
      <c r="C158" s="69"/>
      <c r="D158" s="69"/>
      <c r="E158" s="69"/>
      <c r="F158" s="69"/>
      <c r="G158" s="77"/>
      <c r="H158" s="77"/>
      <c r="I158" s="77"/>
      <c r="J158" s="366"/>
      <c r="K158" s="77"/>
      <c r="L158" s="77"/>
      <c r="M158" s="77"/>
      <c r="N158" s="77"/>
      <c r="O158" s="69"/>
      <c r="P158" s="69"/>
      <c r="Q158" s="69"/>
      <c r="R158" s="69"/>
      <c r="S158" s="77"/>
      <c r="T158" s="77"/>
      <c r="U158" s="69"/>
      <c r="V158" s="69"/>
      <c r="W158" s="69"/>
      <c r="X158" s="69"/>
      <c r="Y158" s="69"/>
      <c r="Z158" s="69"/>
      <c r="AA158" s="69"/>
      <c r="AB158" s="69"/>
      <c r="AC158" s="207"/>
      <c r="AD158" s="207"/>
      <c r="AE158" s="207"/>
      <c r="AF158" s="207"/>
      <c r="AG158" s="69"/>
      <c r="AH158" s="69"/>
      <c r="AI158" s="69"/>
      <c r="AJ158" s="69"/>
      <c r="AK158" s="69"/>
      <c r="AL158" s="69"/>
      <c r="AM158" s="69"/>
      <c r="AN158" s="69"/>
      <c r="AO158" s="69"/>
      <c r="AP158" s="69"/>
      <c r="AQ158" s="69"/>
      <c r="AR158" s="69"/>
      <c r="AS158" s="69"/>
      <c r="AT158" s="69"/>
      <c r="AU158" s="69"/>
      <c r="AV158" s="69"/>
      <c r="AW158" s="69"/>
      <c r="AX158" s="69"/>
      <c r="AY158" s="69"/>
      <c r="AZ158" s="69"/>
      <c r="BA158" s="69"/>
      <c r="BB158" s="69"/>
      <c r="BC158" s="69"/>
      <c r="BD158" s="69"/>
      <c r="BE158" s="69"/>
      <c r="BF158" s="69"/>
      <c r="BG158" s="69"/>
      <c r="BH158" s="69"/>
      <c r="BI158" s="69"/>
      <c r="BJ158" s="69"/>
      <c r="BK158" s="69"/>
      <c r="BL158" s="69"/>
      <c r="BM158" s="69"/>
      <c r="BN158" s="69"/>
      <c r="BO158" s="69"/>
      <c r="BP158" s="69"/>
      <c r="BQ158" s="69"/>
      <c r="BR158" s="69"/>
      <c r="BS158" s="69"/>
      <c r="BT158" s="69"/>
      <c r="BU158" s="69"/>
      <c r="BV158" s="69"/>
      <c r="BW158" s="69"/>
      <c r="BX158" s="69"/>
      <c r="BY158" s="69"/>
      <c r="BZ158" s="69"/>
      <c r="CA158" s="69"/>
      <c r="CB158" s="69"/>
      <c r="CC158" s="69"/>
      <c r="CD158" s="69"/>
      <c r="CE158" s="69"/>
      <c r="CF158" s="69"/>
      <c r="CG158" s="69"/>
      <c r="CH158" s="69"/>
      <c r="CI158" s="69"/>
      <c r="CJ158" s="69"/>
      <c r="CK158" s="69"/>
      <c r="CL158" s="69"/>
      <c r="CM158" s="69"/>
      <c r="CN158" s="69"/>
      <c r="CO158" s="69"/>
    </row>
    <row r="159" spans="1:93" ht="12.75" customHeight="1">
      <c r="A159" s="784"/>
      <c r="B159" s="69"/>
      <c r="C159" s="69"/>
      <c r="D159" s="69"/>
      <c r="E159" s="69"/>
      <c r="F159" s="69"/>
      <c r="G159" s="77"/>
      <c r="H159" s="77"/>
      <c r="I159" s="77"/>
      <c r="J159" s="366"/>
      <c r="K159" s="77"/>
      <c r="L159" s="77"/>
      <c r="M159" s="77"/>
      <c r="N159" s="77"/>
      <c r="O159" s="69"/>
      <c r="P159" s="69"/>
      <c r="Q159" s="69"/>
      <c r="R159" s="69"/>
      <c r="S159" s="77"/>
      <c r="T159" s="77"/>
      <c r="U159" s="69"/>
      <c r="V159" s="69"/>
      <c r="W159" s="69"/>
      <c r="X159" s="69"/>
      <c r="Y159" s="69"/>
      <c r="Z159" s="69"/>
      <c r="AA159" s="69"/>
      <c r="AB159" s="69"/>
      <c r="AC159" s="207"/>
      <c r="AD159" s="207"/>
      <c r="AE159" s="207"/>
      <c r="AF159" s="207"/>
      <c r="AG159" s="69"/>
      <c r="AH159" s="69"/>
      <c r="AI159" s="69"/>
      <c r="AJ159" s="69"/>
      <c r="AK159" s="69"/>
      <c r="AL159" s="69"/>
      <c r="AM159" s="69"/>
      <c r="AN159" s="69"/>
      <c r="AO159" s="69"/>
      <c r="AP159" s="69"/>
      <c r="AQ159" s="69"/>
      <c r="AR159" s="69"/>
      <c r="AS159" s="69"/>
      <c r="AT159" s="69"/>
      <c r="AU159" s="69"/>
      <c r="AV159" s="69"/>
      <c r="AW159" s="69"/>
      <c r="AX159" s="69"/>
      <c r="AY159" s="69"/>
      <c r="AZ159" s="69"/>
      <c r="BA159" s="69"/>
      <c r="BB159" s="69"/>
      <c r="BC159" s="69"/>
      <c r="BD159" s="69"/>
      <c r="BE159" s="69"/>
      <c r="BF159" s="69"/>
      <c r="BG159" s="69"/>
      <c r="BH159" s="69"/>
      <c r="BI159" s="69"/>
      <c r="BJ159" s="69"/>
      <c r="BK159" s="69"/>
      <c r="BL159" s="69"/>
      <c r="BM159" s="69"/>
      <c r="BN159" s="69"/>
      <c r="BO159" s="69"/>
      <c r="BP159" s="69"/>
      <c r="BQ159" s="69"/>
      <c r="BR159" s="69"/>
      <c r="BS159" s="69"/>
      <c r="BT159" s="69"/>
      <c r="BU159" s="69"/>
      <c r="BV159" s="69"/>
      <c r="BW159" s="69"/>
      <c r="BX159" s="69"/>
      <c r="BY159" s="69"/>
      <c r="BZ159" s="69"/>
      <c r="CA159" s="69"/>
      <c r="CB159" s="69"/>
      <c r="CC159" s="69"/>
      <c r="CD159" s="69"/>
      <c r="CE159" s="69"/>
      <c r="CF159" s="69"/>
      <c r="CG159" s="69"/>
      <c r="CH159" s="69"/>
      <c r="CI159" s="69"/>
      <c r="CJ159" s="69"/>
      <c r="CK159" s="69"/>
      <c r="CL159" s="69"/>
      <c r="CM159" s="69"/>
      <c r="CN159" s="69"/>
      <c r="CO159" s="69"/>
    </row>
    <row r="160" spans="1:93" ht="12.75" customHeight="1">
      <c r="A160" s="784"/>
      <c r="B160" s="69"/>
      <c r="C160" s="69"/>
      <c r="D160" s="69"/>
      <c r="E160" s="69"/>
      <c r="F160" s="69"/>
      <c r="G160" s="77"/>
      <c r="H160" s="77"/>
      <c r="I160" s="77"/>
      <c r="J160" s="366"/>
      <c r="K160" s="77"/>
      <c r="L160" s="77"/>
      <c r="M160" s="77"/>
      <c r="N160" s="77"/>
      <c r="O160" s="69"/>
      <c r="P160" s="69"/>
      <c r="Q160" s="69"/>
      <c r="R160" s="69"/>
      <c r="S160" s="77"/>
      <c r="T160" s="77"/>
      <c r="U160" s="69"/>
      <c r="V160" s="69"/>
      <c r="W160" s="69"/>
      <c r="X160" s="69"/>
      <c r="Y160" s="69"/>
      <c r="Z160" s="69"/>
      <c r="AA160" s="69"/>
      <c r="AB160" s="69"/>
      <c r="AC160" s="207"/>
      <c r="AD160" s="207"/>
      <c r="AE160" s="207"/>
      <c r="AF160" s="207"/>
      <c r="AG160" s="69"/>
      <c r="AH160" s="69"/>
      <c r="AI160" s="69"/>
      <c r="AJ160" s="69"/>
      <c r="AK160" s="69"/>
      <c r="AL160" s="69"/>
      <c r="AM160" s="69"/>
      <c r="AN160" s="69"/>
      <c r="AO160" s="69"/>
      <c r="AP160" s="69"/>
      <c r="AQ160" s="69"/>
      <c r="AR160" s="69"/>
      <c r="AS160" s="69"/>
      <c r="AT160" s="69"/>
      <c r="AU160" s="69"/>
      <c r="AV160" s="69"/>
      <c r="AW160" s="69"/>
      <c r="AX160" s="69"/>
      <c r="AY160" s="69"/>
      <c r="AZ160" s="69"/>
      <c r="BA160" s="69"/>
      <c r="BB160" s="69"/>
      <c r="BC160" s="69"/>
      <c r="BD160" s="69"/>
      <c r="BE160" s="69"/>
      <c r="BF160" s="69"/>
      <c r="BG160" s="69"/>
      <c r="BH160" s="69"/>
      <c r="BI160" s="69"/>
      <c r="BJ160" s="69"/>
      <c r="BK160" s="69"/>
      <c r="BL160" s="69"/>
      <c r="BM160" s="69"/>
      <c r="BN160" s="69"/>
      <c r="BO160" s="69"/>
      <c r="BP160" s="69"/>
      <c r="BQ160" s="69"/>
      <c r="BR160" s="69"/>
      <c r="BS160" s="69"/>
      <c r="BT160" s="69"/>
      <c r="BU160" s="69"/>
      <c r="BV160" s="69"/>
      <c r="BW160" s="69"/>
      <c r="BX160" s="69"/>
      <c r="BY160" s="69"/>
      <c r="BZ160" s="69"/>
      <c r="CA160" s="69"/>
      <c r="CB160" s="69"/>
      <c r="CC160" s="69"/>
      <c r="CD160" s="69"/>
      <c r="CE160" s="69"/>
      <c r="CF160" s="69"/>
      <c r="CG160" s="69"/>
      <c r="CH160" s="69"/>
      <c r="CI160" s="69"/>
      <c r="CJ160" s="69"/>
      <c r="CK160" s="69"/>
      <c r="CL160" s="69"/>
      <c r="CM160" s="69"/>
      <c r="CN160" s="69"/>
      <c r="CO160" s="69"/>
    </row>
    <row r="161" spans="1:93" ht="12.75" customHeight="1">
      <c r="A161" s="784"/>
      <c r="B161" s="69"/>
      <c r="C161" s="69"/>
      <c r="D161" s="69"/>
      <c r="E161" s="69"/>
      <c r="F161" s="69"/>
      <c r="G161" s="77"/>
      <c r="H161" s="77"/>
      <c r="I161" s="77"/>
      <c r="J161" s="366"/>
      <c r="K161" s="77"/>
      <c r="L161" s="77"/>
      <c r="M161" s="77"/>
      <c r="N161" s="77"/>
      <c r="O161" s="69"/>
      <c r="P161" s="69"/>
      <c r="Q161" s="69"/>
      <c r="R161" s="69"/>
      <c r="S161" s="77"/>
      <c r="T161" s="77"/>
      <c r="U161" s="69"/>
      <c r="V161" s="69"/>
      <c r="W161" s="69"/>
      <c r="X161" s="69"/>
      <c r="Y161" s="69"/>
      <c r="Z161" s="69"/>
      <c r="AA161" s="69"/>
      <c r="AB161" s="69"/>
      <c r="AC161" s="207"/>
      <c r="AD161" s="207"/>
      <c r="AE161" s="207"/>
      <c r="AF161" s="207"/>
      <c r="AG161" s="69"/>
      <c r="AH161" s="69"/>
      <c r="AI161" s="69"/>
      <c r="AJ161" s="69"/>
      <c r="AK161" s="69"/>
      <c r="AL161" s="69"/>
      <c r="AM161" s="69"/>
      <c r="AN161" s="69"/>
      <c r="AO161" s="69"/>
      <c r="AP161" s="69"/>
      <c r="AQ161" s="69"/>
      <c r="AR161" s="69"/>
      <c r="AS161" s="69"/>
      <c r="AT161" s="69"/>
      <c r="AU161" s="69"/>
      <c r="AV161" s="69"/>
      <c r="AW161" s="69"/>
      <c r="AX161" s="69"/>
      <c r="AY161" s="69"/>
      <c r="AZ161" s="69"/>
      <c r="BA161" s="69"/>
      <c r="BB161" s="69"/>
      <c r="BC161" s="69"/>
      <c r="BD161" s="69"/>
      <c r="BE161" s="69"/>
      <c r="BF161" s="69"/>
      <c r="BG161" s="69"/>
      <c r="BH161" s="69"/>
      <c r="BI161" s="69"/>
      <c r="BJ161" s="69"/>
      <c r="BK161" s="69"/>
      <c r="BL161" s="69"/>
      <c r="BM161" s="69"/>
      <c r="BN161" s="69"/>
      <c r="BO161" s="69"/>
      <c r="BP161" s="69"/>
      <c r="BQ161" s="69"/>
      <c r="BR161" s="69"/>
      <c r="BS161" s="69"/>
      <c r="BT161" s="69"/>
      <c r="BU161" s="69"/>
      <c r="BV161" s="69"/>
      <c r="BW161" s="69"/>
      <c r="BX161" s="69"/>
      <c r="BY161" s="69"/>
      <c r="BZ161" s="69"/>
      <c r="CA161" s="69"/>
      <c r="CB161" s="69"/>
      <c r="CC161" s="69"/>
      <c r="CD161" s="69"/>
      <c r="CE161" s="69"/>
      <c r="CF161" s="69"/>
      <c r="CG161" s="69"/>
      <c r="CH161" s="69"/>
      <c r="CI161" s="69"/>
      <c r="CJ161" s="69"/>
      <c r="CK161" s="69"/>
      <c r="CL161" s="69"/>
      <c r="CM161" s="69"/>
      <c r="CN161" s="69"/>
      <c r="CO161" s="69"/>
    </row>
    <row r="162" spans="1:93" ht="12.75" customHeight="1">
      <c r="A162" s="784"/>
      <c r="B162" s="69"/>
      <c r="C162" s="69"/>
      <c r="D162" s="69"/>
      <c r="E162" s="69"/>
      <c r="F162" s="69"/>
      <c r="G162" s="77"/>
      <c r="H162" s="77"/>
      <c r="I162" s="77"/>
      <c r="J162" s="366"/>
      <c r="K162" s="77"/>
      <c r="L162" s="77"/>
      <c r="M162" s="77"/>
      <c r="N162" s="77"/>
      <c r="O162" s="69"/>
      <c r="P162" s="69"/>
      <c r="Q162" s="69"/>
      <c r="R162" s="69"/>
      <c r="S162" s="77"/>
      <c r="T162" s="77"/>
      <c r="U162" s="69"/>
      <c r="V162" s="69"/>
      <c r="W162" s="69"/>
      <c r="X162" s="69"/>
      <c r="Y162" s="69"/>
      <c r="Z162" s="69"/>
      <c r="AA162" s="69"/>
      <c r="AB162" s="69"/>
      <c r="AC162" s="207"/>
      <c r="AD162" s="207"/>
      <c r="AE162" s="207"/>
      <c r="AF162" s="207"/>
      <c r="AG162" s="69"/>
      <c r="AH162" s="69"/>
      <c r="AI162" s="69"/>
      <c r="AJ162" s="69"/>
      <c r="AK162" s="69"/>
      <c r="AL162" s="69"/>
      <c r="AM162" s="69"/>
      <c r="AN162" s="69"/>
      <c r="AO162" s="69"/>
      <c r="AP162" s="69"/>
      <c r="AQ162" s="69"/>
      <c r="AR162" s="69"/>
      <c r="AS162" s="69"/>
      <c r="AT162" s="69"/>
      <c r="AU162" s="69"/>
      <c r="AV162" s="69"/>
      <c r="AW162" s="69"/>
      <c r="AX162" s="69"/>
      <c r="AY162" s="69"/>
      <c r="AZ162" s="69"/>
      <c r="BA162" s="69"/>
      <c r="BB162" s="69"/>
      <c r="BC162" s="69"/>
      <c r="BD162" s="69"/>
      <c r="BE162" s="69"/>
      <c r="BF162" s="69"/>
      <c r="BG162" s="69"/>
      <c r="BH162" s="69"/>
      <c r="BI162" s="69"/>
      <c r="BJ162" s="69"/>
      <c r="BK162" s="69"/>
      <c r="BL162" s="69"/>
      <c r="BM162" s="69"/>
      <c r="BN162" s="69"/>
      <c r="BO162" s="69"/>
      <c r="BP162" s="69"/>
      <c r="BQ162" s="69"/>
      <c r="BR162" s="69"/>
      <c r="BS162" s="69"/>
      <c r="BT162" s="69"/>
      <c r="BU162" s="69"/>
      <c r="BV162" s="69"/>
      <c r="BW162" s="69"/>
      <c r="BX162" s="69"/>
      <c r="BY162" s="69"/>
      <c r="BZ162" s="69"/>
      <c r="CA162" s="69"/>
      <c r="CB162" s="69"/>
      <c r="CC162" s="69"/>
      <c r="CD162" s="69"/>
      <c r="CE162" s="69"/>
      <c r="CF162" s="69"/>
      <c r="CG162" s="69"/>
      <c r="CH162" s="69"/>
      <c r="CI162" s="69"/>
      <c r="CJ162" s="69"/>
      <c r="CK162" s="69"/>
      <c r="CL162" s="69"/>
      <c r="CM162" s="69"/>
      <c r="CN162" s="69"/>
      <c r="CO162" s="69"/>
    </row>
    <row r="163" spans="1:93" ht="12.75" customHeight="1">
      <c r="A163" s="784"/>
      <c r="B163" s="69"/>
      <c r="C163" s="69"/>
      <c r="D163" s="69"/>
      <c r="E163" s="69"/>
      <c r="F163" s="69"/>
      <c r="G163" s="77"/>
      <c r="H163" s="77"/>
      <c r="I163" s="77"/>
      <c r="J163" s="366"/>
      <c r="K163" s="77"/>
      <c r="L163" s="77"/>
      <c r="M163" s="77"/>
      <c r="N163" s="77"/>
      <c r="O163" s="69"/>
      <c r="P163" s="69"/>
      <c r="Q163" s="69"/>
      <c r="R163" s="69"/>
      <c r="S163" s="77"/>
      <c r="T163" s="77"/>
      <c r="U163" s="69"/>
      <c r="V163" s="69"/>
      <c r="W163" s="69"/>
      <c r="X163" s="69"/>
      <c r="Y163" s="69"/>
      <c r="Z163" s="69"/>
      <c r="AA163" s="69"/>
      <c r="AB163" s="69"/>
      <c r="AC163" s="207"/>
      <c r="AD163" s="207"/>
      <c r="AE163" s="207"/>
      <c r="AF163" s="207"/>
      <c r="AG163" s="69"/>
      <c r="AH163" s="69"/>
      <c r="AI163" s="69"/>
      <c r="AJ163" s="69"/>
      <c r="AK163" s="69"/>
      <c r="AL163" s="69"/>
      <c r="AM163" s="69"/>
      <c r="AN163" s="69"/>
      <c r="AO163" s="69"/>
      <c r="AP163" s="69"/>
      <c r="AQ163" s="69"/>
      <c r="AR163" s="69"/>
      <c r="AS163" s="69"/>
      <c r="AT163" s="69"/>
      <c r="AU163" s="69"/>
      <c r="AV163" s="69"/>
      <c r="AW163" s="69"/>
      <c r="AX163" s="69"/>
      <c r="AY163" s="69"/>
      <c r="AZ163" s="69"/>
      <c r="BA163" s="69"/>
      <c r="BB163" s="69"/>
      <c r="BC163" s="69"/>
      <c r="BD163" s="69"/>
      <c r="BE163" s="69"/>
      <c r="BF163" s="69"/>
      <c r="BG163" s="69"/>
      <c r="BH163" s="69"/>
      <c r="BI163" s="69"/>
      <c r="BJ163" s="69"/>
      <c r="BK163" s="69"/>
      <c r="BL163" s="69"/>
      <c r="BM163" s="69"/>
      <c r="BN163" s="69"/>
      <c r="BO163" s="69"/>
      <c r="BP163" s="69"/>
      <c r="BQ163" s="69"/>
      <c r="BR163" s="69"/>
      <c r="BS163" s="69"/>
      <c r="BT163" s="69"/>
      <c r="BU163" s="69"/>
      <c r="BV163" s="69"/>
      <c r="BW163" s="69"/>
      <c r="BX163" s="69"/>
      <c r="BY163" s="69"/>
      <c r="BZ163" s="69"/>
      <c r="CA163" s="69"/>
      <c r="CB163" s="69"/>
      <c r="CC163" s="69"/>
      <c r="CD163" s="69"/>
      <c r="CE163" s="69"/>
      <c r="CF163" s="69"/>
      <c r="CG163" s="69"/>
      <c r="CH163" s="69"/>
      <c r="CI163" s="69"/>
      <c r="CJ163" s="69"/>
      <c r="CK163" s="69"/>
      <c r="CL163" s="69"/>
      <c r="CM163" s="69"/>
      <c r="CN163" s="69"/>
      <c r="CO163" s="69"/>
    </row>
    <row r="164" spans="1:93" ht="12.75" customHeight="1">
      <c r="A164" s="784"/>
      <c r="B164" s="69"/>
      <c r="C164" s="69"/>
      <c r="D164" s="69"/>
      <c r="E164" s="69"/>
      <c r="F164" s="69"/>
      <c r="G164" s="77"/>
      <c r="H164" s="77"/>
      <c r="I164" s="77"/>
      <c r="J164" s="366"/>
      <c r="K164" s="77"/>
      <c r="L164" s="77"/>
      <c r="M164" s="77"/>
      <c r="N164" s="77"/>
      <c r="O164" s="69"/>
      <c r="P164" s="69"/>
      <c r="Q164" s="69"/>
      <c r="R164" s="69"/>
      <c r="S164" s="77"/>
      <c r="T164" s="77"/>
      <c r="U164" s="69"/>
      <c r="V164" s="69"/>
      <c r="W164" s="69"/>
      <c r="X164" s="69"/>
      <c r="Y164" s="69"/>
      <c r="Z164" s="69"/>
      <c r="AA164" s="69"/>
      <c r="AB164" s="69"/>
      <c r="AC164" s="207"/>
      <c r="AD164" s="207"/>
      <c r="AE164" s="207"/>
      <c r="AF164" s="207"/>
      <c r="AG164" s="69"/>
      <c r="AH164" s="69"/>
      <c r="AI164" s="69"/>
      <c r="AJ164" s="69"/>
      <c r="AK164" s="69"/>
      <c r="AL164" s="69"/>
      <c r="AM164" s="69"/>
      <c r="AN164" s="69"/>
      <c r="AO164" s="69"/>
      <c r="AP164" s="69"/>
      <c r="AQ164" s="69"/>
      <c r="AR164" s="69"/>
      <c r="AS164" s="69"/>
      <c r="AT164" s="69"/>
      <c r="AU164" s="69"/>
      <c r="AV164" s="69"/>
      <c r="AW164" s="69"/>
      <c r="AX164" s="69"/>
      <c r="AY164" s="69"/>
      <c r="AZ164" s="69"/>
      <c r="BA164" s="69"/>
      <c r="BB164" s="69"/>
      <c r="BC164" s="69"/>
      <c r="BD164" s="69"/>
      <c r="BE164" s="69"/>
      <c r="BF164" s="69"/>
      <c r="BG164" s="69"/>
      <c r="BH164" s="69"/>
      <c r="BI164" s="69"/>
      <c r="BJ164" s="69"/>
      <c r="BK164" s="69"/>
      <c r="BL164" s="69"/>
      <c r="BM164" s="69"/>
      <c r="BN164" s="69"/>
      <c r="BO164" s="69"/>
      <c r="BP164" s="69"/>
      <c r="BQ164" s="69"/>
      <c r="BR164" s="69"/>
      <c r="BS164" s="69"/>
      <c r="BT164" s="69"/>
      <c r="BU164" s="69"/>
      <c r="BV164" s="69"/>
      <c r="BW164" s="69"/>
      <c r="BX164" s="69"/>
      <c r="BY164" s="69"/>
      <c r="BZ164" s="69"/>
      <c r="CA164" s="69"/>
      <c r="CB164" s="69"/>
      <c r="CC164" s="69"/>
      <c r="CD164" s="69"/>
      <c r="CE164" s="69"/>
      <c r="CF164" s="69"/>
      <c r="CG164" s="69"/>
      <c r="CH164" s="69"/>
      <c r="CI164" s="69"/>
      <c r="CJ164" s="69"/>
      <c r="CK164" s="69"/>
      <c r="CL164" s="69"/>
      <c r="CM164" s="69"/>
      <c r="CN164" s="69"/>
      <c r="CO164" s="69"/>
    </row>
    <row r="165" spans="1:93" ht="12.75" customHeight="1">
      <c r="A165" s="784"/>
      <c r="B165" s="69"/>
      <c r="C165" s="69"/>
      <c r="D165" s="69"/>
      <c r="E165" s="69"/>
      <c r="F165" s="69"/>
      <c r="G165" s="77"/>
      <c r="H165" s="77"/>
      <c r="I165" s="77"/>
      <c r="J165" s="366"/>
      <c r="K165" s="77"/>
      <c r="L165" s="77"/>
      <c r="M165" s="77"/>
      <c r="N165" s="77"/>
      <c r="O165" s="69"/>
      <c r="P165" s="69"/>
      <c r="Q165" s="69"/>
      <c r="R165" s="69"/>
      <c r="S165" s="77"/>
      <c r="T165" s="77"/>
      <c r="U165" s="69"/>
      <c r="V165" s="69"/>
      <c r="W165" s="69"/>
      <c r="X165" s="69"/>
      <c r="Y165" s="69"/>
      <c r="Z165" s="69"/>
      <c r="AA165" s="69"/>
      <c r="AB165" s="69"/>
      <c r="AC165" s="207"/>
      <c r="AD165" s="207"/>
      <c r="AE165" s="207"/>
      <c r="AF165" s="207"/>
      <c r="AG165" s="69"/>
      <c r="AH165" s="69"/>
      <c r="AI165" s="69"/>
      <c r="AJ165" s="69"/>
      <c r="AK165" s="69"/>
      <c r="AL165" s="69"/>
      <c r="AM165" s="69"/>
      <c r="AN165" s="69"/>
      <c r="AO165" s="69"/>
      <c r="AP165" s="69"/>
      <c r="AQ165" s="69"/>
      <c r="AR165" s="69"/>
      <c r="AS165" s="69"/>
      <c r="AT165" s="69"/>
      <c r="AU165" s="69"/>
      <c r="AV165" s="69"/>
      <c r="AW165" s="69"/>
      <c r="AX165" s="69"/>
      <c r="AY165" s="69"/>
      <c r="AZ165" s="69"/>
      <c r="BA165" s="69"/>
      <c r="BB165" s="69"/>
      <c r="BC165" s="69"/>
      <c r="BD165" s="69"/>
      <c r="BE165" s="69"/>
      <c r="BF165" s="69"/>
      <c r="BG165" s="69"/>
      <c r="BH165" s="69"/>
      <c r="BI165" s="69"/>
      <c r="BJ165" s="69"/>
      <c r="BK165" s="69"/>
      <c r="BL165" s="69"/>
      <c r="BM165" s="69"/>
      <c r="BN165" s="69"/>
      <c r="BO165" s="69"/>
      <c r="BP165" s="69"/>
      <c r="BQ165" s="69"/>
      <c r="BR165" s="69"/>
      <c r="BS165" s="69"/>
      <c r="BT165" s="69"/>
      <c r="BU165" s="69"/>
      <c r="BV165" s="69"/>
      <c r="BW165" s="69"/>
      <c r="BX165" s="69"/>
      <c r="BY165" s="69"/>
      <c r="BZ165" s="69"/>
      <c r="CA165" s="69"/>
      <c r="CB165" s="69"/>
      <c r="CC165" s="69"/>
      <c r="CD165" s="69"/>
      <c r="CE165" s="69"/>
      <c r="CF165" s="69"/>
      <c r="CG165" s="69"/>
      <c r="CH165" s="69"/>
      <c r="CI165" s="69"/>
      <c r="CJ165" s="69"/>
      <c r="CK165" s="69"/>
      <c r="CL165" s="69"/>
      <c r="CM165" s="69"/>
      <c r="CN165" s="69"/>
      <c r="CO165" s="69"/>
    </row>
    <row r="166" spans="1:93" ht="12.75" customHeight="1">
      <c r="A166" s="784"/>
      <c r="B166" s="69"/>
      <c r="C166" s="69"/>
      <c r="D166" s="69"/>
      <c r="E166" s="69"/>
      <c r="F166" s="69"/>
      <c r="G166" s="77"/>
      <c r="H166" s="77"/>
      <c r="I166" s="77"/>
      <c r="J166" s="366"/>
      <c r="K166" s="77"/>
      <c r="L166" s="77"/>
      <c r="M166" s="77"/>
      <c r="N166" s="77"/>
      <c r="O166" s="69"/>
      <c r="P166" s="69"/>
      <c r="Q166" s="69"/>
      <c r="R166" s="69"/>
      <c r="S166" s="77"/>
      <c r="T166" s="77"/>
      <c r="U166" s="69"/>
      <c r="V166" s="69"/>
      <c r="W166" s="69"/>
      <c r="X166" s="69"/>
      <c r="Y166" s="69"/>
      <c r="Z166" s="69"/>
      <c r="AA166" s="69"/>
      <c r="AB166" s="69"/>
      <c r="AC166" s="207"/>
      <c r="AD166" s="207"/>
      <c r="AE166" s="207"/>
      <c r="AF166" s="207"/>
      <c r="AG166" s="69"/>
      <c r="AH166" s="69"/>
      <c r="AI166" s="69"/>
      <c r="AJ166" s="69"/>
      <c r="AK166" s="69"/>
      <c r="AL166" s="69"/>
      <c r="AM166" s="69"/>
      <c r="AN166" s="69"/>
      <c r="AO166" s="69"/>
      <c r="AP166" s="69"/>
      <c r="AQ166" s="69"/>
      <c r="AR166" s="69"/>
      <c r="AS166" s="69"/>
      <c r="AT166" s="69"/>
      <c r="AU166" s="69"/>
      <c r="AV166" s="69"/>
      <c r="AW166" s="69"/>
      <c r="AX166" s="69"/>
      <c r="AY166" s="69"/>
      <c r="AZ166" s="69"/>
      <c r="BA166" s="69"/>
      <c r="BB166" s="69"/>
      <c r="BC166" s="69"/>
      <c r="BD166" s="69"/>
      <c r="BE166" s="69"/>
      <c r="BF166" s="69"/>
      <c r="BG166" s="69"/>
      <c r="BH166" s="69"/>
      <c r="BI166" s="69"/>
      <c r="BJ166" s="69"/>
      <c r="BK166" s="69"/>
      <c r="BL166" s="69"/>
      <c r="BM166" s="69"/>
      <c r="BN166" s="69"/>
      <c r="BO166" s="69"/>
      <c r="BP166" s="69"/>
      <c r="BQ166" s="69"/>
      <c r="BR166" s="69"/>
      <c r="BS166" s="69"/>
      <c r="BT166" s="69"/>
      <c r="BU166" s="69"/>
      <c r="BV166" s="69"/>
      <c r="BW166" s="69"/>
      <c r="BX166" s="69"/>
      <c r="BY166" s="69"/>
      <c r="BZ166" s="69"/>
      <c r="CA166" s="69"/>
      <c r="CB166" s="69"/>
      <c r="CC166" s="69"/>
      <c r="CD166" s="69"/>
      <c r="CE166" s="69"/>
      <c r="CF166" s="69"/>
      <c r="CG166" s="69"/>
      <c r="CH166" s="69"/>
      <c r="CI166" s="69"/>
      <c r="CJ166" s="69"/>
      <c r="CK166" s="69"/>
      <c r="CL166" s="69"/>
      <c r="CM166" s="69"/>
      <c r="CN166" s="69"/>
      <c r="CO166" s="69"/>
    </row>
    <row r="167" spans="1:93" ht="12.75" customHeight="1">
      <c r="A167" s="784"/>
      <c r="B167" s="69"/>
      <c r="C167" s="69"/>
      <c r="D167" s="69"/>
      <c r="E167" s="69"/>
      <c r="F167" s="69"/>
      <c r="G167" s="77"/>
      <c r="H167" s="77"/>
      <c r="I167" s="77"/>
      <c r="J167" s="366"/>
      <c r="K167" s="77"/>
      <c r="L167" s="77"/>
      <c r="M167" s="77"/>
      <c r="N167" s="77"/>
      <c r="O167" s="69"/>
      <c r="P167" s="69"/>
      <c r="Q167" s="69"/>
      <c r="R167" s="69"/>
      <c r="S167" s="77"/>
      <c r="T167" s="77"/>
      <c r="U167" s="69"/>
      <c r="V167" s="69"/>
      <c r="W167" s="69"/>
      <c r="X167" s="69"/>
      <c r="Y167" s="69"/>
      <c r="Z167" s="69"/>
      <c r="AA167" s="69"/>
      <c r="AB167" s="69"/>
      <c r="AC167" s="207"/>
      <c r="AD167" s="207"/>
      <c r="AE167" s="207"/>
      <c r="AF167" s="207"/>
      <c r="AG167" s="69"/>
      <c r="AH167" s="69"/>
      <c r="AI167" s="69"/>
      <c r="AJ167" s="69"/>
      <c r="AK167" s="69"/>
      <c r="AL167" s="69"/>
      <c r="AM167" s="69"/>
      <c r="AN167" s="69"/>
      <c r="AO167" s="69"/>
      <c r="AP167" s="69"/>
      <c r="AQ167" s="69"/>
      <c r="AR167" s="69"/>
      <c r="AS167" s="69"/>
      <c r="AT167" s="69"/>
      <c r="AU167" s="69"/>
      <c r="AV167" s="69"/>
      <c r="AW167" s="69"/>
      <c r="AX167" s="69"/>
      <c r="AY167" s="69"/>
      <c r="AZ167" s="69"/>
      <c r="BA167" s="69"/>
      <c r="BB167" s="69"/>
      <c r="BC167" s="69"/>
      <c r="BD167" s="69"/>
      <c r="BE167" s="69"/>
      <c r="BF167" s="69"/>
      <c r="BG167" s="69"/>
      <c r="BH167" s="69"/>
      <c r="BI167" s="69"/>
      <c r="BJ167" s="69"/>
      <c r="BK167" s="69"/>
      <c r="BL167" s="69"/>
      <c r="BM167" s="69"/>
      <c r="BN167" s="69"/>
      <c r="BO167" s="69"/>
      <c r="BP167" s="69"/>
      <c r="BQ167" s="69"/>
      <c r="BR167" s="69"/>
      <c r="BS167" s="69"/>
      <c r="BT167" s="69"/>
      <c r="BU167" s="69"/>
      <c r="BV167" s="69"/>
      <c r="BW167" s="69"/>
      <c r="BX167" s="69"/>
      <c r="BY167" s="69"/>
      <c r="BZ167" s="69"/>
      <c r="CA167" s="69"/>
      <c r="CB167" s="69"/>
      <c r="CC167" s="69"/>
      <c r="CD167" s="69"/>
      <c r="CE167" s="69"/>
      <c r="CF167" s="69"/>
      <c r="CG167" s="69"/>
      <c r="CH167" s="69"/>
      <c r="CI167" s="69"/>
      <c r="CJ167" s="69"/>
      <c r="CK167" s="69"/>
      <c r="CL167" s="69"/>
      <c r="CM167" s="69"/>
      <c r="CN167" s="69"/>
      <c r="CO167" s="69"/>
    </row>
    <row r="168" spans="1:93" ht="12.75" customHeight="1">
      <c r="A168" s="784"/>
      <c r="B168" s="69"/>
      <c r="C168" s="69"/>
      <c r="D168" s="69"/>
      <c r="E168" s="69"/>
      <c r="F168" s="69"/>
      <c r="G168" s="77"/>
      <c r="H168" s="77"/>
      <c r="I168" s="77"/>
      <c r="J168" s="366"/>
      <c r="K168" s="77"/>
      <c r="L168" s="77"/>
      <c r="M168" s="77"/>
      <c r="N168" s="77"/>
      <c r="O168" s="69"/>
      <c r="P168" s="69"/>
      <c r="Q168" s="69"/>
      <c r="R168" s="69"/>
      <c r="S168" s="77"/>
      <c r="T168" s="77"/>
      <c r="U168" s="69"/>
      <c r="V168" s="69"/>
      <c r="W168" s="69"/>
      <c r="X168" s="69"/>
      <c r="Y168" s="69"/>
      <c r="Z168" s="69"/>
      <c r="AA168" s="69"/>
      <c r="AB168" s="69"/>
      <c r="AC168" s="207"/>
      <c r="AD168" s="207"/>
      <c r="AE168" s="207"/>
      <c r="AF168" s="207"/>
      <c r="AG168" s="69"/>
      <c r="AH168" s="69"/>
      <c r="AI168" s="69"/>
      <c r="AJ168" s="69"/>
      <c r="AK168" s="69"/>
      <c r="AL168" s="69"/>
      <c r="AM168" s="69"/>
      <c r="AN168" s="69"/>
      <c r="AO168" s="69"/>
      <c r="AP168" s="69"/>
      <c r="AQ168" s="69"/>
      <c r="AR168" s="69"/>
      <c r="AS168" s="69"/>
      <c r="AT168" s="69"/>
      <c r="AU168" s="69"/>
      <c r="AV168" s="69"/>
      <c r="AW168" s="69"/>
      <c r="AX168" s="69"/>
      <c r="AY168" s="69"/>
      <c r="AZ168" s="69"/>
      <c r="BA168" s="69"/>
      <c r="BB168" s="69"/>
      <c r="BC168" s="69"/>
      <c r="BD168" s="69"/>
      <c r="BE168" s="69"/>
      <c r="BF168" s="69"/>
      <c r="BG168" s="69"/>
      <c r="BH168" s="69"/>
      <c r="BI168" s="69"/>
      <c r="BJ168" s="69"/>
      <c r="BK168" s="69"/>
      <c r="BL168" s="69"/>
      <c r="BM168" s="69"/>
      <c r="BN168" s="69"/>
      <c r="BO168" s="69"/>
      <c r="BP168" s="69"/>
      <c r="BQ168" s="69"/>
      <c r="BR168" s="69"/>
      <c r="BS168" s="69"/>
      <c r="BT168" s="69"/>
      <c r="BU168" s="69"/>
      <c r="BV168" s="69"/>
      <c r="BW168" s="69"/>
      <c r="BX168" s="69"/>
      <c r="BY168" s="69"/>
      <c r="BZ168" s="69"/>
      <c r="CA168" s="69"/>
      <c r="CB168" s="69"/>
      <c r="CC168" s="69"/>
      <c r="CD168" s="69"/>
      <c r="CE168" s="69"/>
      <c r="CF168" s="69"/>
      <c r="CG168" s="69"/>
      <c r="CH168" s="69"/>
      <c r="CI168" s="69"/>
      <c r="CJ168" s="69"/>
      <c r="CK168" s="69"/>
      <c r="CL168" s="69"/>
      <c r="CM168" s="69"/>
      <c r="CN168" s="69"/>
      <c r="CO168" s="69"/>
    </row>
    <row r="169" spans="1:93" ht="12.75" customHeight="1">
      <c r="A169" s="784"/>
      <c r="B169" s="69"/>
      <c r="C169" s="69"/>
      <c r="D169" s="69"/>
      <c r="E169" s="69"/>
      <c r="F169" s="69"/>
      <c r="G169" s="77"/>
      <c r="H169" s="77"/>
      <c r="I169" s="77"/>
      <c r="J169" s="366"/>
      <c r="K169" s="77"/>
      <c r="L169" s="77"/>
      <c r="M169" s="77"/>
      <c r="N169" s="77"/>
      <c r="O169" s="69"/>
      <c r="P169" s="69"/>
      <c r="Q169" s="69"/>
      <c r="R169" s="69"/>
      <c r="S169" s="77"/>
      <c r="T169" s="77"/>
      <c r="U169" s="69"/>
      <c r="V169" s="69"/>
      <c r="W169" s="69"/>
      <c r="X169" s="69"/>
      <c r="Y169" s="69"/>
      <c r="Z169" s="69"/>
      <c r="AA169" s="69"/>
      <c r="AB169" s="69"/>
      <c r="AC169" s="207"/>
      <c r="AD169" s="207"/>
      <c r="AE169" s="207"/>
      <c r="AF169" s="207"/>
      <c r="AG169" s="69"/>
      <c r="AH169" s="69"/>
      <c r="AI169" s="69"/>
      <c r="AJ169" s="69"/>
      <c r="AK169" s="69"/>
      <c r="AL169" s="69"/>
      <c r="AM169" s="69"/>
      <c r="AN169" s="69"/>
      <c r="AO169" s="69"/>
      <c r="AP169" s="69"/>
      <c r="AQ169" s="69"/>
      <c r="AR169" s="69"/>
      <c r="AS169" s="69"/>
      <c r="AT169" s="69"/>
      <c r="AU169" s="69"/>
      <c r="AV169" s="69"/>
      <c r="AW169" s="69"/>
      <c r="AX169" s="69"/>
      <c r="AY169" s="69"/>
      <c r="AZ169" s="69"/>
      <c r="BA169" s="69"/>
      <c r="BB169" s="69"/>
      <c r="BC169" s="69"/>
      <c r="BD169" s="69"/>
      <c r="BE169" s="69"/>
      <c r="BF169" s="69"/>
      <c r="BG169" s="69"/>
      <c r="BH169" s="69"/>
      <c r="BI169" s="69"/>
      <c r="BJ169" s="69"/>
      <c r="BK169" s="69"/>
      <c r="BL169" s="69"/>
      <c r="BM169" s="69"/>
      <c r="BN169" s="69"/>
      <c r="BO169" s="69"/>
      <c r="BP169" s="69"/>
      <c r="BQ169" s="69"/>
      <c r="BR169" s="69"/>
      <c r="BS169" s="69"/>
      <c r="BT169" s="69"/>
      <c r="BU169" s="69"/>
      <c r="BV169" s="69"/>
      <c r="BW169" s="69"/>
      <c r="BX169" s="69"/>
      <c r="BY169" s="69"/>
      <c r="BZ169" s="69"/>
      <c r="CA169" s="69"/>
      <c r="CB169" s="69"/>
      <c r="CC169" s="69"/>
      <c r="CD169" s="69"/>
      <c r="CE169" s="69"/>
      <c r="CF169" s="69"/>
      <c r="CG169" s="69"/>
      <c r="CH169" s="69"/>
      <c r="CI169" s="69"/>
      <c r="CJ169" s="69"/>
      <c r="CK169" s="69"/>
      <c r="CL169" s="69"/>
      <c r="CM169" s="69"/>
      <c r="CN169" s="69"/>
      <c r="CO169" s="69"/>
    </row>
    <row r="170" spans="1:93" ht="12.75" customHeight="1">
      <c r="A170" s="784"/>
      <c r="B170" s="69"/>
      <c r="C170" s="69"/>
      <c r="D170" s="69"/>
      <c r="E170" s="69"/>
      <c r="F170" s="69"/>
      <c r="G170" s="77"/>
      <c r="H170" s="77"/>
      <c r="I170" s="77"/>
      <c r="J170" s="366"/>
      <c r="K170" s="77"/>
      <c r="L170" s="77"/>
      <c r="M170" s="77"/>
      <c r="N170" s="77"/>
      <c r="O170" s="69"/>
      <c r="P170" s="69"/>
      <c r="Q170" s="69"/>
      <c r="R170" s="69"/>
      <c r="S170" s="77"/>
      <c r="T170" s="77"/>
      <c r="U170" s="69"/>
      <c r="V170" s="69"/>
      <c r="W170" s="69"/>
      <c r="X170" s="69"/>
      <c r="Y170" s="69"/>
      <c r="Z170" s="69"/>
      <c r="AA170" s="69"/>
      <c r="AB170" s="69"/>
      <c r="AC170" s="207"/>
      <c r="AD170" s="207"/>
      <c r="AE170" s="207"/>
      <c r="AF170" s="207"/>
      <c r="AG170" s="69"/>
      <c r="AH170" s="69"/>
      <c r="AI170" s="69"/>
      <c r="AJ170" s="69"/>
      <c r="AK170" s="69"/>
      <c r="AL170" s="69"/>
      <c r="AM170" s="69"/>
      <c r="AN170" s="69"/>
      <c r="AO170" s="69"/>
      <c r="AP170" s="69"/>
      <c r="AQ170" s="69"/>
      <c r="AR170" s="69"/>
      <c r="AS170" s="69"/>
      <c r="AT170" s="69"/>
      <c r="AU170" s="69"/>
      <c r="AV170" s="69"/>
      <c r="AW170" s="69"/>
      <c r="AX170" s="69"/>
      <c r="AY170" s="69"/>
      <c r="AZ170" s="69"/>
      <c r="BA170" s="69"/>
      <c r="BB170" s="69"/>
      <c r="BC170" s="69"/>
      <c r="BD170" s="69"/>
      <c r="BE170" s="69"/>
      <c r="BF170" s="69"/>
      <c r="BG170" s="69"/>
      <c r="BH170" s="69"/>
      <c r="BI170" s="69"/>
      <c r="BJ170" s="69"/>
      <c r="BK170" s="69"/>
      <c r="BL170" s="69"/>
      <c r="BM170" s="69"/>
      <c r="BN170" s="69"/>
      <c r="BO170" s="69"/>
      <c r="BP170" s="69"/>
      <c r="BQ170" s="69"/>
      <c r="BR170" s="69"/>
      <c r="BS170" s="69"/>
      <c r="BT170" s="69"/>
      <c r="BU170" s="69"/>
      <c r="BV170" s="69"/>
      <c r="BW170" s="69"/>
      <c r="BX170" s="69"/>
      <c r="BY170" s="69"/>
      <c r="BZ170" s="69"/>
      <c r="CA170" s="69"/>
      <c r="CB170" s="69"/>
      <c r="CC170" s="69"/>
      <c r="CD170" s="69"/>
      <c r="CE170" s="69"/>
      <c r="CF170" s="69"/>
      <c r="CG170" s="69"/>
      <c r="CH170" s="69"/>
      <c r="CI170" s="69"/>
      <c r="CJ170" s="69"/>
      <c r="CK170" s="69"/>
      <c r="CL170" s="69"/>
      <c r="CM170" s="69"/>
      <c r="CN170" s="69"/>
      <c r="CO170" s="69"/>
    </row>
    <row r="171" spans="1:93" ht="12.75" customHeight="1">
      <c r="A171" s="784"/>
      <c r="B171" s="69"/>
      <c r="C171" s="69"/>
      <c r="D171" s="69"/>
      <c r="E171" s="69"/>
      <c r="F171" s="69"/>
      <c r="G171" s="77"/>
      <c r="H171" s="77"/>
      <c r="I171" s="77"/>
      <c r="J171" s="366"/>
      <c r="K171" s="77"/>
      <c r="L171" s="77"/>
      <c r="M171" s="77"/>
      <c r="N171" s="77"/>
      <c r="O171" s="69"/>
      <c r="P171" s="69"/>
      <c r="Q171" s="69"/>
      <c r="R171" s="69"/>
      <c r="S171" s="77"/>
      <c r="T171" s="77"/>
      <c r="U171" s="69"/>
      <c r="V171" s="69"/>
      <c r="W171" s="69"/>
      <c r="X171" s="69"/>
      <c r="Y171" s="69"/>
      <c r="Z171" s="69"/>
      <c r="AA171" s="69"/>
      <c r="AB171" s="69"/>
      <c r="AC171" s="207"/>
      <c r="AD171" s="207"/>
      <c r="AE171" s="207"/>
      <c r="AF171" s="207"/>
      <c r="AG171" s="69"/>
      <c r="AH171" s="69"/>
      <c r="AI171" s="69"/>
      <c r="AJ171" s="69"/>
      <c r="AK171" s="69"/>
      <c r="AL171" s="69"/>
      <c r="AM171" s="69"/>
      <c r="AN171" s="69"/>
      <c r="AO171" s="69"/>
      <c r="AP171" s="69"/>
      <c r="AQ171" s="69"/>
      <c r="AR171" s="69"/>
      <c r="AS171" s="69"/>
      <c r="AT171" s="69"/>
      <c r="AU171" s="69"/>
      <c r="AV171" s="69"/>
      <c r="AW171" s="69"/>
      <c r="AX171" s="69"/>
      <c r="AY171" s="69"/>
      <c r="AZ171" s="69"/>
      <c r="BA171" s="69"/>
      <c r="BB171" s="69"/>
      <c r="BC171" s="69"/>
      <c r="BD171" s="69"/>
      <c r="BE171" s="69"/>
      <c r="BF171" s="69"/>
      <c r="BG171" s="69"/>
      <c r="BH171" s="69"/>
      <c r="BI171" s="69"/>
      <c r="BJ171" s="69"/>
      <c r="BK171" s="69"/>
      <c r="BL171" s="69"/>
      <c r="BM171" s="69"/>
      <c r="BN171" s="69"/>
      <c r="BO171" s="69"/>
      <c r="BP171" s="69"/>
      <c r="BQ171" s="69"/>
      <c r="BR171" s="69"/>
      <c r="BS171" s="69"/>
      <c r="BT171" s="69"/>
      <c r="BU171" s="69"/>
      <c r="BV171" s="69"/>
      <c r="BW171" s="69"/>
      <c r="BX171" s="69"/>
      <c r="BY171" s="69"/>
      <c r="BZ171" s="69"/>
      <c r="CA171" s="69"/>
      <c r="CB171" s="69"/>
      <c r="CC171" s="69"/>
      <c r="CD171" s="69"/>
      <c r="CE171" s="69"/>
      <c r="CF171" s="69"/>
      <c r="CG171" s="69"/>
      <c r="CH171" s="69"/>
      <c r="CI171" s="69"/>
      <c r="CJ171" s="69"/>
      <c r="CK171" s="69"/>
      <c r="CL171" s="69"/>
      <c r="CM171" s="69"/>
      <c r="CN171" s="69"/>
      <c r="CO171" s="69"/>
    </row>
    <row r="172" spans="1:93" ht="12.75" customHeight="1">
      <c r="A172" s="784"/>
      <c r="B172" s="69"/>
      <c r="C172" s="69"/>
      <c r="D172" s="69"/>
      <c r="E172" s="69"/>
      <c r="F172" s="69"/>
      <c r="G172" s="77"/>
      <c r="H172" s="77"/>
      <c r="I172" s="77"/>
      <c r="J172" s="366"/>
      <c r="K172" s="77"/>
      <c r="L172" s="77"/>
      <c r="M172" s="77"/>
      <c r="N172" s="77"/>
      <c r="O172" s="69"/>
      <c r="P172" s="69"/>
      <c r="Q172" s="69"/>
      <c r="R172" s="69"/>
      <c r="S172" s="77"/>
      <c r="T172" s="77"/>
      <c r="U172" s="69"/>
      <c r="V172" s="69"/>
      <c r="W172" s="69"/>
      <c r="X172" s="69"/>
      <c r="Y172" s="69"/>
      <c r="Z172" s="69"/>
      <c r="AA172" s="69"/>
      <c r="AB172" s="69"/>
      <c r="AC172" s="207"/>
      <c r="AD172" s="207"/>
      <c r="AE172" s="207"/>
      <c r="AF172" s="207"/>
      <c r="AG172" s="69"/>
      <c r="AH172" s="69"/>
      <c r="AI172" s="69"/>
      <c r="AJ172" s="69"/>
      <c r="AK172" s="69"/>
      <c r="AL172" s="69"/>
      <c r="AM172" s="69"/>
      <c r="AN172" s="69"/>
      <c r="AO172" s="69"/>
      <c r="AP172" s="69"/>
      <c r="AQ172" s="69"/>
      <c r="AR172" s="69"/>
      <c r="AS172" s="69"/>
      <c r="AT172" s="69"/>
      <c r="AU172" s="69"/>
      <c r="AV172" s="69"/>
      <c r="AW172" s="69"/>
      <c r="AX172" s="69"/>
      <c r="AY172" s="69"/>
      <c r="AZ172" s="69"/>
      <c r="BA172" s="69"/>
      <c r="BB172" s="69"/>
      <c r="BC172" s="69"/>
      <c r="BD172" s="69"/>
      <c r="BE172" s="69"/>
      <c r="BF172" s="69"/>
      <c r="BG172" s="69"/>
      <c r="BH172" s="69"/>
      <c r="BI172" s="69"/>
      <c r="BJ172" s="69"/>
      <c r="BK172" s="69"/>
      <c r="BL172" s="69"/>
      <c r="BM172" s="69"/>
      <c r="BN172" s="69"/>
      <c r="BO172" s="69"/>
      <c r="BP172" s="69"/>
      <c r="BQ172" s="69"/>
      <c r="BR172" s="69"/>
      <c r="BS172" s="69"/>
      <c r="BT172" s="69"/>
      <c r="BU172" s="69"/>
      <c r="BV172" s="69"/>
      <c r="BW172" s="69"/>
      <c r="BX172" s="69"/>
      <c r="BY172" s="69"/>
      <c r="BZ172" s="69"/>
      <c r="CA172" s="69"/>
      <c r="CB172" s="69"/>
      <c r="CC172" s="69"/>
      <c r="CD172" s="69"/>
      <c r="CE172" s="69"/>
      <c r="CF172" s="69"/>
      <c r="CG172" s="69"/>
      <c r="CH172" s="69"/>
      <c r="CI172" s="69"/>
      <c r="CJ172" s="69"/>
      <c r="CK172" s="69"/>
      <c r="CL172" s="69"/>
      <c r="CM172" s="69"/>
      <c r="CN172" s="69"/>
      <c r="CO172" s="69"/>
    </row>
    <row r="173" spans="1:93" ht="12.75" customHeight="1">
      <c r="A173" s="784"/>
      <c r="B173" s="69"/>
      <c r="C173" s="69"/>
      <c r="D173" s="69"/>
      <c r="E173" s="69"/>
      <c r="F173" s="69"/>
      <c r="G173" s="77"/>
      <c r="H173" s="77"/>
      <c r="I173" s="77"/>
      <c r="J173" s="366"/>
      <c r="K173" s="77"/>
      <c r="L173" s="77"/>
      <c r="M173" s="77"/>
      <c r="N173" s="77"/>
      <c r="O173" s="69"/>
      <c r="P173" s="69"/>
      <c r="Q173" s="69"/>
      <c r="R173" s="69"/>
      <c r="S173" s="77"/>
      <c r="T173" s="77"/>
      <c r="U173" s="69"/>
      <c r="V173" s="69"/>
      <c r="W173" s="69"/>
      <c r="X173" s="69"/>
      <c r="Y173" s="69"/>
      <c r="Z173" s="69"/>
      <c r="AA173" s="69"/>
      <c r="AB173" s="69"/>
      <c r="AC173" s="207"/>
      <c r="AD173" s="207"/>
      <c r="AE173" s="207"/>
      <c r="AF173" s="207"/>
      <c r="AG173" s="69"/>
      <c r="AH173" s="69"/>
      <c r="AI173" s="69"/>
      <c r="AJ173" s="69"/>
      <c r="AK173" s="69"/>
      <c r="AL173" s="69"/>
      <c r="AM173" s="69"/>
      <c r="AN173" s="69"/>
      <c r="AO173" s="69"/>
      <c r="AP173" s="69"/>
      <c r="AQ173" s="69"/>
      <c r="AR173" s="69"/>
      <c r="AS173" s="69"/>
      <c r="AT173" s="69"/>
      <c r="AU173" s="69"/>
      <c r="AV173" s="69"/>
      <c r="AW173" s="69"/>
      <c r="AX173" s="69"/>
      <c r="AY173" s="69"/>
      <c r="AZ173" s="69"/>
      <c r="BA173" s="69"/>
      <c r="BB173" s="69"/>
      <c r="BC173" s="69"/>
      <c r="BD173" s="69"/>
      <c r="BE173" s="69"/>
      <c r="BF173" s="69"/>
      <c r="BG173" s="69"/>
      <c r="BH173" s="69"/>
      <c r="BI173" s="69"/>
      <c r="BJ173" s="69"/>
      <c r="BK173" s="69"/>
      <c r="BL173" s="69"/>
      <c r="BM173" s="69"/>
      <c r="BN173" s="69"/>
      <c r="BO173" s="69"/>
      <c r="BP173" s="69"/>
      <c r="BQ173" s="69"/>
      <c r="BR173" s="69"/>
      <c r="BS173" s="69"/>
      <c r="BT173" s="69"/>
      <c r="BU173" s="69"/>
      <c r="BV173" s="69"/>
      <c r="BW173" s="69"/>
      <c r="BX173" s="69"/>
      <c r="BY173" s="69"/>
      <c r="BZ173" s="69"/>
      <c r="CA173" s="69"/>
      <c r="CB173" s="69"/>
      <c r="CC173" s="69"/>
      <c r="CD173" s="69"/>
      <c r="CE173" s="69"/>
      <c r="CF173" s="69"/>
      <c r="CG173" s="69"/>
      <c r="CH173" s="69"/>
      <c r="CI173" s="69"/>
      <c r="CJ173" s="69"/>
      <c r="CK173" s="69"/>
      <c r="CL173" s="69"/>
      <c r="CM173" s="69"/>
      <c r="CN173" s="69"/>
      <c r="CO173" s="69"/>
    </row>
    <row r="174" spans="1:93" ht="12.75" customHeight="1">
      <c r="A174" s="784"/>
      <c r="B174" s="69"/>
      <c r="C174" s="69"/>
      <c r="D174" s="69"/>
      <c r="E174" s="69"/>
      <c r="F174" s="69"/>
      <c r="G174" s="77"/>
      <c r="H174" s="77"/>
      <c r="I174" s="77"/>
      <c r="J174" s="366"/>
      <c r="K174" s="77"/>
      <c r="L174" s="77"/>
      <c r="M174" s="77"/>
      <c r="N174" s="77"/>
      <c r="O174" s="69"/>
      <c r="P174" s="69"/>
      <c r="Q174" s="69"/>
      <c r="R174" s="69"/>
      <c r="S174" s="77"/>
      <c r="T174" s="77"/>
      <c r="U174" s="69"/>
      <c r="V174" s="69"/>
      <c r="W174" s="69"/>
      <c r="X174" s="69"/>
      <c r="Y174" s="69"/>
      <c r="Z174" s="69"/>
      <c r="AA174" s="69"/>
      <c r="AB174" s="69"/>
      <c r="AC174" s="207"/>
      <c r="AD174" s="207"/>
      <c r="AE174" s="207"/>
      <c r="AF174" s="207"/>
      <c r="AG174" s="69"/>
      <c r="AH174" s="69"/>
      <c r="AI174" s="69"/>
      <c r="AJ174" s="69"/>
      <c r="AK174" s="69"/>
      <c r="AL174" s="69"/>
      <c r="AM174" s="69"/>
      <c r="AN174" s="69"/>
      <c r="AO174" s="69"/>
      <c r="AP174" s="69"/>
      <c r="AQ174" s="69"/>
      <c r="AR174" s="69"/>
      <c r="AS174" s="69"/>
      <c r="AT174" s="69"/>
      <c r="AU174" s="69"/>
      <c r="AV174" s="69"/>
      <c r="AW174" s="69"/>
      <c r="AX174" s="69"/>
      <c r="AY174" s="69"/>
      <c r="AZ174" s="69"/>
      <c r="BA174" s="69"/>
      <c r="BB174" s="69"/>
      <c r="BC174" s="69"/>
      <c r="BD174" s="69"/>
      <c r="BE174" s="69"/>
      <c r="BF174" s="69"/>
      <c r="BG174" s="69"/>
      <c r="BH174" s="69"/>
      <c r="BI174" s="69"/>
      <c r="BJ174" s="69"/>
      <c r="BK174" s="69"/>
      <c r="BL174" s="69"/>
      <c r="BM174" s="69"/>
      <c r="BN174" s="69"/>
      <c r="BO174" s="69"/>
      <c r="BP174" s="69"/>
      <c r="BQ174" s="69"/>
      <c r="BR174" s="69"/>
      <c r="BS174" s="69"/>
      <c r="BT174" s="69"/>
      <c r="BU174" s="69"/>
      <c r="BV174" s="69"/>
      <c r="BW174" s="69"/>
      <c r="BX174" s="69"/>
      <c r="BY174" s="69"/>
      <c r="BZ174" s="69"/>
      <c r="CA174" s="69"/>
      <c r="CB174" s="69"/>
      <c r="CC174" s="69"/>
      <c r="CD174" s="69"/>
      <c r="CE174" s="69"/>
      <c r="CF174" s="69"/>
      <c r="CG174" s="69"/>
      <c r="CH174" s="69"/>
      <c r="CI174" s="69"/>
      <c r="CJ174" s="69"/>
      <c r="CK174" s="69"/>
      <c r="CL174" s="69"/>
      <c r="CM174" s="69"/>
      <c r="CN174" s="69"/>
      <c r="CO174" s="69"/>
    </row>
    <row r="175" spans="1:93" ht="12.75" customHeight="1">
      <c r="A175" s="784"/>
      <c r="B175" s="69"/>
      <c r="C175" s="69"/>
      <c r="D175" s="69"/>
      <c r="E175" s="69"/>
      <c r="F175" s="69"/>
      <c r="G175" s="77"/>
      <c r="H175" s="77"/>
      <c r="I175" s="77"/>
      <c r="J175" s="366"/>
      <c r="K175" s="77"/>
      <c r="L175" s="77"/>
      <c r="M175" s="77"/>
      <c r="N175" s="77"/>
      <c r="O175" s="69"/>
      <c r="P175" s="69"/>
      <c r="Q175" s="69"/>
      <c r="R175" s="69"/>
      <c r="S175" s="77"/>
      <c r="T175" s="77"/>
      <c r="U175" s="69"/>
      <c r="V175" s="69"/>
      <c r="W175" s="69"/>
      <c r="X175" s="69"/>
      <c r="Y175" s="69"/>
      <c r="Z175" s="69"/>
      <c r="AA175" s="69"/>
      <c r="AB175" s="69"/>
      <c r="AC175" s="207"/>
      <c r="AD175" s="207"/>
      <c r="AE175" s="207"/>
      <c r="AF175" s="207"/>
      <c r="AG175" s="69"/>
      <c r="AH175" s="69"/>
      <c r="AI175" s="69"/>
      <c r="AJ175" s="69"/>
      <c r="AK175" s="69"/>
      <c r="AL175" s="69"/>
      <c r="AM175" s="69"/>
      <c r="AN175" s="69"/>
      <c r="AO175" s="69"/>
      <c r="AP175" s="69"/>
      <c r="AQ175" s="69"/>
      <c r="AR175" s="69"/>
      <c r="AS175" s="69"/>
      <c r="AT175" s="69"/>
      <c r="AU175" s="69"/>
      <c r="AV175" s="69"/>
      <c r="AW175" s="69"/>
      <c r="AX175" s="69"/>
      <c r="AY175" s="69"/>
      <c r="AZ175" s="69"/>
      <c r="BA175" s="69"/>
      <c r="BB175" s="69"/>
      <c r="BC175" s="69"/>
      <c r="BD175" s="69"/>
      <c r="BE175" s="69"/>
      <c r="BF175" s="69"/>
      <c r="BG175" s="69"/>
      <c r="BH175" s="69"/>
      <c r="BI175" s="69"/>
      <c r="BJ175" s="69"/>
      <c r="BK175" s="69"/>
      <c r="BL175" s="69"/>
      <c r="BM175" s="69"/>
      <c r="BN175" s="69"/>
      <c r="BO175" s="69"/>
      <c r="BP175" s="69"/>
      <c r="BQ175" s="69"/>
      <c r="BR175" s="69"/>
      <c r="BS175" s="69"/>
      <c r="BT175" s="69"/>
      <c r="BU175" s="69"/>
      <c r="BV175" s="69"/>
      <c r="BW175" s="69"/>
      <c r="BX175" s="69"/>
      <c r="BY175" s="69"/>
      <c r="BZ175" s="69"/>
      <c r="CA175" s="69"/>
      <c r="CB175" s="69"/>
      <c r="CC175" s="69"/>
      <c r="CD175" s="69"/>
      <c r="CE175" s="69"/>
      <c r="CF175" s="69"/>
      <c r="CG175" s="69"/>
      <c r="CH175" s="69"/>
      <c r="CI175" s="69"/>
      <c r="CJ175" s="69"/>
      <c r="CK175" s="69"/>
      <c r="CL175" s="69"/>
      <c r="CM175" s="69"/>
      <c r="CN175" s="69"/>
      <c r="CO175" s="69"/>
    </row>
    <row r="176" spans="1:93" ht="12.75" customHeight="1">
      <c r="A176" s="784"/>
      <c r="B176" s="69"/>
      <c r="C176" s="69"/>
      <c r="D176" s="69"/>
      <c r="E176" s="69"/>
      <c r="F176" s="69"/>
      <c r="G176" s="77"/>
      <c r="H176" s="77"/>
      <c r="I176" s="77"/>
      <c r="J176" s="366"/>
      <c r="K176" s="77"/>
      <c r="L176" s="77"/>
      <c r="M176" s="77"/>
      <c r="N176" s="77"/>
      <c r="O176" s="69"/>
      <c r="P176" s="69"/>
      <c r="Q176" s="69"/>
      <c r="R176" s="69"/>
      <c r="S176" s="77"/>
      <c r="T176" s="77"/>
      <c r="U176" s="69"/>
      <c r="V176" s="69"/>
      <c r="W176" s="69"/>
      <c r="X176" s="69"/>
      <c r="Y176" s="69"/>
      <c r="Z176" s="69"/>
      <c r="AA176" s="69"/>
      <c r="AB176" s="69"/>
      <c r="AC176" s="207"/>
      <c r="AD176" s="207"/>
      <c r="AE176" s="207"/>
      <c r="AF176" s="207"/>
      <c r="AG176" s="69"/>
      <c r="AH176" s="69"/>
      <c r="AI176" s="69"/>
      <c r="AJ176" s="69"/>
      <c r="AK176" s="69"/>
      <c r="AL176" s="69"/>
      <c r="AM176" s="69"/>
      <c r="AN176" s="69"/>
      <c r="AO176" s="69"/>
      <c r="AP176" s="69"/>
      <c r="AQ176" s="69"/>
      <c r="AR176" s="69"/>
      <c r="AS176" s="69"/>
      <c r="AT176" s="69"/>
      <c r="AU176" s="69"/>
      <c r="AV176" s="69"/>
      <c r="AW176" s="69"/>
      <c r="AX176" s="69"/>
      <c r="AY176" s="69"/>
      <c r="AZ176" s="69"/>
      <c r="BA176" s="69"/>
      <c r="BB176" s="69"/>
      <c r="BC176" s="69"/>
      <c r="BD176" s="69"/>
      <c r="BE176" s="69"/>
      <c r="BF176" s="69"/>
      <c r="BG176" s="69"/>
      <c r="BH176" s="69"/>
      <c r="BI176" s="69"/>
      <c r="BJ176" s="69"/>
      <c r="BK176" s="69"/>
      <c r="BL176" s="69"/>
      <c r="BM176" s="69"/>
      <c r="BN176" s="69"/>
      <c r="BO176" s="69"/>
      <c r="BP176" s="69"/>
      <c r="BQ176" s="69"/>
      <c r="BR176" s="69"/>
      <c r="BS176" s="69"/>
      <c r="BT176" s="69"/>
      <c r="BU176" s="69"/>
      <c r="BV176" s="69"/>
      <c r="BW176" s="69"/>
      <c r="BX176" s="69"/>
      <c r="BY176" s="69"/>
      <c r="BZ176" s="69"/>
      <c r="CA176" s="69"/>
      <c r="CB176" s="69"/>
      <c r="CC176" s="69"/>
      <c r="CD176" s="69"/>
      <c r="CE176" s="69"/>
      <c r="CF176" s="69"/>
      <c r="CG176" s="69"/>
      <c r="CH176" s="69"/>
      <c r="CI176" s="69"/>
      <c r="CJ176" s="69"/>
      <c r="CK176" s="69"/>
      <c r="CL176" s="69"/>
      <c r="CM176" s="69"/>
      <c r="CN176" s="69"/>
      <c r="CO176" s="69"/>
    </row>
    <row r="177" spans="1:93" ht="12.75" customHeight="1">
      <c r="A177" s="784"/>
      <c r="B177" s="69"/>
      <c r="C177" s="69"/>
      <c r="D177" s="69"/>
      <c r="E177" s="69"/>
      <c r="F177" s="69"/>
      <c r="G177" s="77"/>
      <c r="H177" s="77"/>
      <c r="I177" s="77"/>
      <c r="J177" s="366"/>
      <c r="K177" s="77"/>
      <c r="L177" s="77"/>
      <c r="M177" s="77"/>
      <c r="N177" s="77"/>
      <c r="O177" s="69"/>
      <c r="P177" s="69"/>
      <c r="Q177" s="69"/>
      <c r="R177" s="69"/>
      <c r="S177" s="77"/>
      <c r="T177" s="77"/>
      <c r="U177" s="69"/>
      <c r="V177" s="69"/>
      <c r="W177" s="69"/>
      <c r="X177" s="69"/>
      <c r="Y177" s="69"/>
      <c r="Z177" s="69"/>
      <c r="AA177" s="69"/>
      <c r="AB177" s="69"/>
      <c r="AC177" s="207"/>
      <c r="AD177" s="207"/>
      <c r="AE177" s="207"/>
      <c r="AF177" s="207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9"/>
      <c r="AV177" s="69"/>
      <c r="AW177" s="69"/>
      <c r="AX177" s="69"/>
      <c r="AY177" s="69"/>
      <c r="AZ177" s="69"/>
      <c r="BA177" s="69"/>
      <c r="BB177" s="69"/>
      <c r="BC177" s="69"/>
      <c r="BD177" s="69"/>
      <c r="BE177" s="69"/>
      <c r="BF177" s="69"/>
      <c r="BG177" s="69"/>
      <c r="BH177" s="69"/>
      <c r="BI177" s="69"/>
      <c r="BJ177" s="69"/>
      <c r="BK177" s="69"/>
      <c r="BL177" s="69"/>
      <c r="BM177" s="69"/>
      <c r="BN177" s="69"/>
      <c r="BO177" s="69"/>
      <c r="BP177" s="69"/>
      <c r="BQ177" s="69"/>
      <c r="BR177" s="69"/>
      <c r="BS177" s="69"/>
      <c r="BT177" s="69"/>
      <c r="BU177" s="69"/>
      <c r="BV177" s="69"/>
      <c r="BW177" s="69"/>
      <c r="BX177" s="69"/>
      <c r="BY177" s="69"/>
      <c r="BZ177" s="69"/>
      <c r="CA177" s="69"/>
      <c r="CB177" s="69"/>
      <c r="CC177" s="69"/>
      <c r="CD177" s="69"/>
      <c r="CE177" s="69"/>
      <c r="CF177" s="69"/>
      <c r="CG177" s="69"/>
      <c r="CH177" s="69"/>
      <c r="CI177" s="69"/>
      <c r="CJ177" s="69"/>
      <c r="CK177" s="69"/>
      <c r="CL177" s="69"/>
      <c r="CM177" s="69"/>
      <c r="CN177" s="69"/>
      <c r="CO177" s="69"/>
    </row>
    <row r="178" spans="1:93" ht="12.75" customHeight="1">
      <c r="A178" s="784"/>
      <c r="B178" s="69"/>
      <c r="C178" s="69"/>
      <c r="D178" s="69"/>
      <c r="E178" s="69"/>
      <c r="F178" s="69"/>
      <c r="G178" s="77"/>
      <c r="H178" s="77"/>
      <c r="I178" s="77"/>
      <c r="J178" s="366"/>
      <c r="K178" s="77"/>
      <c r="L178" s="77"/>
      <c r="M178" s="77"/>
      <c r="N178" s="77"/>
      <c r="O178" s="69"/>
      <c r="P178" s="69"/>
      <c r="Q178" s="69"/>
      <c r="R178" s="69"/>
      <c r="S178" s="77"/>
      <c r="T178" s="77"/>
      <c r="U178" s="69"/>
      <c r="V178" s="69"/>
      <c r="W178" s="69"/>
      <c r="X178" s="69"/>
      <c r="Y178" s="69"/>
      <c r="Z178" s="69"/>
      <c r="AA178" s="69"/>
      <c r="AB178" s="69"/>
      <c r="AC178" s="207"/>
      <c r="AD178" s="207"/>
      <c r="AE178" s="207"/>
      <c r="AF178" s="207"/>
      <c r="AG178" s="69"/>
      <c r="AH178" s="69"/>
      <c r="AI178" s="69"/>
      <c r="AJ178" s="69"/>
      <c r="AK178" s="69"/>
      <c r="AL178" s="69"/>
      <c r="AM178" s="69"/>
      <c r="AN178" s="69"/>
      <c r="AO178" s="69"/>
      <c r="AP178" s="69"/>
      <c r="AQ178" s="69"/>
      <c r="AR178" s="69"/>
      <c r="AS178" s="69"/>
      <c r="AT178" s="69"/>
      <c r="AU178" s="69"/>
      <c r="AV178" s="69"/>
      <c r="AW178" s="69"/>
      <c r="AX178" s="69"/>
      <c r="AY178" s="69"/>
      <c r="AZ178" s="69"/>
      <c r="BA178" s="69"/>
      <c r="BB178" s="69"/>
      <c r="BC178" s="69"/>
      <c r="BD178" s="69"/>
      <c r="BE178" s="69"/>
      <c r="BF178" s="69"/>
      <c r="BG178" s="69"/>
      <c r="BH178" s="69"/>
      <c r="BI178" s="69"/>
      <c r="BJ178" s="69"/>
      <c r="BK178" s="69"/>
      <c r="BL178" s="69"/>
      <c r="BM178" s="69"/>
      <c r="BN178" s="69"/>
      <c r="BO178" s="69"/>
      <c r="BP178" s="69"/>
      <c r="BQ178" s="69"/>
      <c r="BR178" s="69"/>
      <c r="BS178" s="69"/>
      <c r="BT178" s="69"/>
      <c r="BU178" s="69"/>
      <c r="BV178" s="69"/>
      <c r="BW178" s="69"/>
      <c r="BX178" s="69"/>
      <c r="BY178" s="69"/>
      <c r="BZ178" s="69"/>
      <c r="CA178" s="69"/>
      <c r="CB178" s="69"/>
      <c r="CC178" s="69"/>
      <c r="CD178" s="69"/>
      <c r="CE178" s="69"/>
      <c r="CF178" s="69"/>
      <c r="CG178" s="69"/>
      <c r="CH178" s="69"/>
      <c r="CI178" s="69"/>
      <c r="CJ178" s="69"/>
      <c r="CK178" s="69"/>
      <c r="CL178" s="69"/>
      <c r="CM178" s="69"/>
      <c r="CN178" s="69"/>
      <c r="CO178" s="69"/>
    </row>
    <row r="179" spans="1:93" ht="12.75" customHeight="1">
      <c r="A179" s="784"/>
      <c r="B179" s="69"/>
      <c r="C179" s="69"/>
      <c r="D179" s="69"/>
      <c r="E179" s="69"/>
      <c r="F179" s="69"/>
      <c r="G179" s="77"/>
      <c r="H179" s="77"/>
      <c r="I179" s="77"/>
      <c r="J179" s="366"/>
      <c r="K179" s="77"/>
      <c r="L179" s="77"/>
      <c r="M179" s="77"/>
      <c r="N179" s="77"/>
      <c r="O179" s="69"/>
      <c r="P179" s="69"/>
      <c r="Q179" s="69"/>
      <c r="R179" s="69"/>
      <c r="S179" s="77"/>
      <c r="T179" s="77"/>
      <c r="U179" s="69"/>
      <c r="V179" s="69"/>
      <c r="W179" s="69"/>
      <c r="X179" s="69"/>
      <c r="Y179" s="69"/>
      <c r="Z179" s="69"/>
      <c r="AA179" s="69"/>
      <c r="AB179" s="69"/>
      <c r="AC179" s="207"/>
      <c r="AD179" s="207"/>
      <c r="AE179" s="207"/>
      <c r="AF179" s="207"/>
      <c r="AG179" s="69"/>
      <c r="AH179" s="69"/>
      <c r="AI179" s="69"/>
      <c r="AJ179" s="69"/>
      <c r="AK179" s="69"/>
      <c r="AL179" s="69"/>
      <c r="AM179" s="69"/>
      <c r="AN179" s="69"/>
      <c r="AO179" s="69"/>
      <c r="AP179" s="69"/>
      <c r="AQ179" s="69"/>
      <c r="AR179" s="69"/>
      <c r="AS179" s="69"/>
      <c r="AT179" s="69"/>
      <c r="AU179" s="69"/>
      <c r="AV179" s="69"/>
      <c r="AW179" s="69"/>
      <c r="AX179" s="69"/>
      <c r="AY179" s="69"/>
      <c r="AZ179" s="69"/>
      <c r="BA179" s="69"/>
      <c r="BB179" s="69"/>
      <c r="BC179" s="69"/>
      <c r="BD179" s="69"/>
      <c r="BE179" s="69"/>
      <c r="BF179" s="69"/>
      <c r="BG179" s="69"/>
      <c r="BH179" s="69"/>
      <c r="BI179" s="69"/>
      <c r="BJ179" s="69"/>
      <c r="BK179" s="69"/>
      <c r="BL179" s="69"/>
      <c r="BM179" s="69"/>
      <c r="BN179" s="69"/>
      <c r="BO179" s="69"/>
      <c r="BP179" s="69"/>
      <c r="BQ179" s="69"/>
      <c r="BR179" s="69"/>
      <c r="BS179" s="69"/>
      <c r="BT179" s="69"/>
      <c r="BU179" s="69"/>
      <c r="BV179" s="69"/>
      <c r="BW179" s="69"/>
      <c r="BX179" s="69"/>
      <c r="BY179" s="69"/>
      <c r="BZ179" s="69"/>
      <c r="CA179" s="69"/>
      <c r="CB179" s="69"/>
      <c r="CC179" s="69"/>
      <c r="CD179" s="69"/>
      <c r="CE179" s="69"/>
      <c r="CF179" s="69"/>
      <c r="CG179" s="69"/>
      <c r="CH179" s="69"/>
      <c r="CI179" s="69"/>
      <c r="CJ179" s="69"/>
      <c r="CK179" s="69"/>
      <c r="CL179" s="69"/>
      <c r="CM179" s="69"/>
      <c r="CN179" s="69"/>
      <c r="CO179" s="69"/>
    </row>
    <row r="180" spans="1:93" ht="12.75" customHeight="1">
      <c r="A180" s="784"/>
      <c r="B180" s="69"/>
      <c r="C180" s="69"/>
      <c r="D180" s="69"/>
      <c r="E180" s="69"/>
      <c r="F180" s="69"/>
      <c r="G180" s="77"/>
      <c r="H180" s="77"/>
      <c r="I180" s="77"/>
      <c r="J180" s="366"/>
      <c r="K180" s="77"/>
      <c r="L180" s="77"/>
      <c r="M180" s="77"/>
      <c r="N180" s="77"/>
      <c r="O180" s="69"/>
      <c r="P180" s="69"/>
      <c r="Q180" s="69"/>
      <c r="R180" s="69"/>
      <c r="S180" s="77"/>
      <c r="T180" s="77"/>
      <c r="U180" s="69"/>
      <c r="V180" s="69"/>
      <c r="W180" s="69"/>
      <c r="X180" s="69"/>
      <c r="Y180" s="69"/>
      <c r="Z180" s="69"/>
      <c r="AA180" s="69"/>
      <c r="AB180" s="69"/>
      <c r="AC180" s="207"/>
      <c r="AD180" s="207"/>
      <c r="AE180" s="207"/>
      <c r="AF180" s="207"/>
      <c r="AG180" s="69"/>
      <c r="AH180" s="69"/>
      <c r="AI180" s="69"/>
      <c r="AJ180" s="69"/>
      <c r="AK180" s="69"/>
      <c r="AL180" s="69"/>
      <c r="AM180" s="69"/>
      <c r="AN180" s="69"/>
      <c r="AO180" s="69"/>
      <c r="AP180" s="69"/>
      <c r="AQ180" s="69"/>
      <c r="AR180" s="69"/>
      <c r="AS180" s="69"/>
      <c r="AT180" s="69"/>
      <c r="AU180" s="69"/>
      <c r="AV180" s="69"/>
      <c r="AW180" s="69"/>
      <c r="AX180" s="69"/>
      <c r="AY180" s="69"/>
      <c r="AZ180" s="69"/>
      <c r="BA180" s="69"/>
      <c r="BB180" s="69"/>
      <c r="BC180" s="69"/>
      <c r="BD180" s="69"/>
      <c r="BE180" s="69"/>
      <c r="BF180" s="69"/>
      <c r="BG180" s="69"/>
      <c r="BH180" s="69"/>
      <c r="BI180" s="69"/>
      <c r="BJ180" s="69"/>
      <c r="BK180" s="69"/>
      <c r="BL180" s="69"/>
      <c r="BM180" s="69"/>
      <c r="BN180" s="69"/>
      <c r="BO180" s="69"/>
      <c r="BP180" s="69"/>
      <c r="BQ180" s="69"/>
      <c r="BR180" s="69"/>
      <c r="BS180" s="69"/>
      <c r="BT180" s="69"/>
      <c r="BU180" s="69"/>
      <c r="BV180" s="69"/>
      <c r="BW180" s="69"/>
      <c r="BX180" s="69"/>
      <c r="BY180" s="69"/>
      <c r="BZ180" s="69"/>
      <c r="CA180" s="69"/>
      <c r="CB180" s="69"/>
      <c r="CC180" s="69"/>
      <c r="CD180" s="69"/>
      <c r="CE180" s="69"/>
      <c r="CF180" s="69"/>
      <c r="CG180" s="69"/>
      <c r="CH180" s="69"/>
      <c r="CI180" s="69"/>
      <c r="CJ180" s="69"/>
      <c r="CK180" s="69"/>
      <c r="CL180" s="69"/>
      <c r="CM180" s="69"/>
      <c r="CN180" s="69"/>
      <c r="CO180" s="69"/>
    </row>
    <row r="181" spans="1:93" ht="12.75" customHeight="1">
      <c r="A181" s="784"/>
      <c r="B181" s="69"/>
      <c r="C181" s="69"/>
      <c r="D181" s="69"/>
      <c r="E181" s="69"/>
      <c r="F181" s="69"/>
      <c r="G181" s="77"/>
      <c r="H181" s="77"/>
      <c r="I181" s="77"/>
      <c r="J181" s="366"/>
      <c r="K181" s="77"/>
      <c r="L181" s="77"/>
      <c r="M181" s="77"/>
      <c r="N181" s="77"/>
      <c r="O181" s="69"/>
      <c r="P181" s="69"/>
      <c r="Q181" s="69"/>
      <c r="R181" s="69"/>
      <c r="S181" s="77"/>
      <c r="T181" s="77"/>
      <c r="U181" s="69"/>
      <c r="V181" s="69"/>
      <c r="W181" s="69"/>
      <c r="X181" s="69"/>
      <c r="Y181" s="69"/>
      <c r="Z181" s="69"/>
      <c r="AA181" s="69"/>
      <c r="AB181" s="69"/>
      <c r="AC181" s="207"/>
      <c r="AD181" s="207"/>
      <c r="AE181" s="207"/>
      <c r="AF181" s="207"/>
      <c r="AG181" s="69"/>
      <c r="AH181" s="69"/>
      <c r="AI181" s="69"/>
      <c r="AJ181" s="69"/>
      <c r="AK181" s="69"/>
      <c r="AL181" s="69"/>
      <c r="AM181" s="69"/>
      <c r="AN181" s="69"/>
      <c r="AO181" s="69"/>
      <c r="AP181" s="69"/>
      <c r="AQ181" s="69"/>
      <c r="AR181" s="69"/>
      <c r="AS181" s="69"/>
      <c r="AT181" s="69"/>
      <c r="AU181" s="69"/>
      <c r="AV181" s="69"/>
      <c r="AW181" s="69"/>
      <c r="AX181" s="69"/>
      <c r="AY181" s="69"/>
      <c r="AZ181" s="69"/>
      <c r="BA181" s="69"/>
      <c r="BB181" s="69"/>
      <c r="BC181" s="69"/>
      <c r="BD181" s="69"/>
      <c r="BE181" s="69"/>
      <c r="BF181" s="69"/>
      <c r="BG181" s="69"/>
      <c r="BH181" s="69"/>
      <c r="BI181" s="69"/>
      <c r="BJ181" s="69"/>
      <c r="BK181" s="69"/>
      <c r="BL181" s="69"/>
      <c r="BM181" s="69"/>
      <c r="BN181" s="69"/>
      <c r="BO181" s="69"/>
      <c r="BP181" s="69"/>
      <c r="BQ181" s="69"/>
      <c r="BR181" s="69"/>
      <c r="BS181" s="69"/>
      <c r="BT181" s="69"/>
      <c r="BU181" s="69"/>
      <c r="BV181" s="69"/>
      <c r="BW181" s="69"/>
      <c r="BX181" s="69"/>
      <c r="BY181" s="69"/>
      <c r="BZ181" s="69"/>
      <c r="CA181" s="69"/>
      <c r="CB181" s="69"/>
      <c r="CC181" s="69"/>
      <c r="CD181" s="69"/>
      <c r="CE181" s="69"/>
      <c r="CF181" s="69"/>
      <c r="CG181" s="69"/>
      <c r="CH181" s="69"/>
      <c r="CI181" s="69"/>
      <c r="CJ181" s="69"/>
      <c r="CK181" s="69"/>
      <c r="CL181" s="69"/>
      <c r="CM181" s="69"/>
      <c r="CN181" s="69"/>
      <c r="CO181" s="69"/>
    </row>
    <row r="182" spans="1:93" ht="12.75" customHeight="1">
      <c r="A182" s="784"/>
      <c r="B182" s="69"/>
      <c r="C182" s="69"/>
      <c r="D182" s="69"/>
      <c r="E182" s="69"/>
      <c r="F182" s="69"/>
      <c r="G182" s="77"/>
      <c r="H182" s="77"/>
      <c r="I182" s="77"/>
      <c r="J182" s="366"/>
      <c r="K182" s="77"/>
      <c r="L182" s="77"/>
      <c r="M182" s="77"/>
      <c r="N182" s="77"/>
      <c r="O182" s="69"/>
      <c r="P182" s="69"/>
      <c r="Q182" s="69"/>
      <c r="R182" s="69"/>
      <c r="S182" s="77"/>
      <c r="T182" s="77"/>
      <c r="U182" s="69"/>
      <c r="V182" s="69"/>
      <c r="W182" s="69"/>
      <c r="X182" s="69"/>
      <c r="Y182" s="69"/>
      <c r="Z182" s="69"/>
      <c r="AA182" s="69"/>
      <c r="AB182" s="69"/>
      <c r="AC182" s="207"/>
      <c r="AD182" s="207"/>
      <c r="AE182" s="207"/>
      <c r="AF182" s="207"/>
      <c r="AG182" s="69"/>
      <c r="AH182" s="69"/>
      <c r="AI182" s="69"/>
      <c r="AJ182" s="69"/>
      <c r="AK182" s="69"/>
      <c r="AL182" s="69"/>
      <c r="AM182" s="69"/>
      <c r="AN182" s="69"/>
      <c r="AO182" s="69"/>
      <c r="AP182" s="69"/>
      <c r="AQ182" s="69"/>
      <c r="AR182" s="69"/>
      <c r="AS182" s="69"/>
      <c r="AT182" s="69"/>
      <c r="AU182" s="69"/>
      <c r="AV182" s="69"/>
      <c r="AW182" s="69"/>
      <c r="AX182" s="69"/>
      <c r="AY182" s="69"/>
      <c r="AZ182" s="69"/>
      <c r="BA182" s="69"/>
      <c r="BB182" s="69"/>
      <c r="BC182" s="69"/>
      <c r="BD182" s="69"/>
      <c r="BE182" s="69"/>
      <c r="BF182" s="69"/>
      <c r="BG182" s="69"/>
      <c r="BH182" s="69"/>
      <c r="BI182" s="69"/>
      <c r="BJ182" s="69"/>
      <c r="BK182" s="69"/>
      <c r="BL182" s="69"/>
      <c r="BM182" s="69"/>
      <c r="BN182" s="69"/>
      <c r="BO182" s="69"/>
      <c r="BP182" s="69"/>
      <c r="BQ182" s="69"/>
      <c r="BR182" s="69"/>
      <c r="BS182" s="69"/>
      <c r="BT182" s="69"/>
      <c r="BU182" s="69"/>
      <c r="BV182" s="69"/>
      <c r="BW182" s="69"/>
      <c r="BX182" s="69"/>
      <c r="BY182" s="69"/>
      <c r="BZ182" s="69"/>
      <c r="CA182" s="69"/>
      <c r="CB182" s="69"/>
      <c r="CC182" s="69"/>
      <c r="CD182" s="69"/>
      <c r="CE182" s="69"/>
      <c r="CF182" s="69"/>
      <c r="CG182" s="69"/>
      <c r="CH182" s="69"/>
      <c r="CI182" s="69"/>
      <c r="CJ182" s="69"/>
      <c r="CK182" s="69"/>
      <c r="CL182" s="69"/>
      <c r="CM182" s="69"/>
      <c r="CN182" s="69"/>
      <c r="CO182" s="69"/>
    </row>
    <row r="183" spans="1:93" ht="12.75" customHeight="1">
      <c r="A183" s="784"/>
      <c r="B183" s="69"/>
      <c r="C183" s="69"/>
      <c r="D183" s="69"/>
      <c r="E183" s="69"/>
      <c r="F183" s="69"/>
      <c r="G183" s="77"/>
      <c r="H183" s="77"/>
      <c r="I183" s="77"/>
      <c r="J183" s="366"/>
      <c r="K183" s="77"/>
      <c r="L183" s="77"/>
      <c r="M183" s="77"/>
      <c r="N183" s="77"/>
      <c r="O183" s="69"/>
      <c r="P183" s="69"/>
      <c r="Q183" s="69"/>
      <c r="R183" s="69"/>
      <c r="S183" s="77"/>
      <c r="T183" s="77"/>
      <c r="U183" s="69"/>
      <c r="V183" s="69"/>
      <c r="W183" s="69"/>
      <c r="X183" s="69"/>
      <c r="Y183" s="69"/>
      <c r="Z183" s="69"/>
      <c r="AA183" s="69"/>
      <c r="AB183" s="69"/>
      <c r="AC183" s="207"/>
      <c r="AD183" s="207"/>
      <c r="AE183" s="207"/>
      <c r="AF183" s="207"/>
      <c r="AG183" s="69"/>
      <c r="AH183" s="69"/>
      <c r="AI183" s="69"/>
      <c r="AJ183" s="69"/>
      <c r="AK183" s="69"/>
      <c r="AL183" s="69"/>
      <c r="AM183" s="69"/>
      <c r="AN183" s="69"/>
      <c r="AO183" s="69"/>
      <c r="AP183" s="69"/>
      <c r="AQ183" s="69"/>
      <c r="AR183" s="69"/>
      <c r="AS183" s="69"/>
      <c r="AT183" s="69"/>
      <c r="AU183" s="69"/>
      <c r="AV183" s="69"/>
      <c r="AW183" s="69"/>
      <c r="AX183" s="69"/>
      <c r="AY183" s="69"/>
      <c r="AZ183" s="69"/>
      <c r="BA183" s="69"/>
      <c r="BB183" s="69"/>
      <c r="BC183" s="69"/>
      <c r="BD183" s="69"/>
      <c r="BE183" s="69"/>
      <c r="BF183" s="69"/>
      <c r="BG183" s="69"/>
      <c r="BH183" s="69"/>
      <c r="BI183" s="69"/>
      <c r="BJ183" s="69"/>
      <c r="BK183" s="69"/>
      <c r="BL183" s="69"/>
      <c r="BM183" s="69"/>
      <c r="BN183" s="69"/>
      <c r="BO183" s="69"/>
      <c r="BP183" s="69"/>
      <c r="BQ183" s="69"/>
      <c r="BR183" s="69"/>
      <c r="BS183" s="69"/>
      <c r="BT183" s="69"/>
      <c r="BU183" s="69"/>
      <c r="BV183" s="69"/>
      <c r="BW183" s="69"/>
      <c r="BX183" s="69"/>
      <c r="BY183" s="69"/>
      <c r="BZ183" s="69"/>
      <c r="CA183" s="69"/>
      <c r="CB183" s="69"/>
      <c r="CC183" s="69"/>
      <c r="CD183" s="69"/>
      <c r="CE183" s="69"/>
      <c r="CF183" s="69"/>
      <c r="CG183" s="69"/>
      <c r="CH183" s="69"/>
      <c r="CI183" s="69"/>
      <c r="CJ183" s="69"/>
      <c r="CK183" s="69"/>
      <c r="CL183" s="69"/>
      <c r="CM183" s="69"/>
      <c r="CN183" s="69"/>
      <c r="CO183" s="69"/>
    </row>
    <row r="184" spans="1:93" ht="12.75" customHeight="1">
      <c r="A184" s="784"/>
      <c r="B184" s="69"/>
      <c r="C184" s="69"/>
      <c r="D184" s="69"/>
      <c r="E184" s="69"/>
      <c r="F184" s="69"/>
      <c r="G184" s="77"/>
      <c r="H184" s="77"/>
      <c r="I184" s="77"/>
      <c r="J184" s="366"/>
      <c r="K184" s="77"/>
      <c r="L184" s="77"/>
      <c r="M184" s="77"/>
      <c r="N184" s="77"/>
      <c r="O184" s="69"/>
      <c r="P184" s="69"/>
      <c r="Q184" s="69"/>
      <c r="R184" s="69"/>
      <c r="S184" s="77"/>
      <c r="T184" s="77"/>
      <c r="U184" s="69"/>
      <c r="V184" s="69"/>
      <c r="W184" s="69"/>
      <c r="X184" s="69"/>
      <c r="Y184" s="69"/>
      <c r="Z184" s="69"/>
      <c r="AA184" s="69"/>
      <c r="AB184" s="69"/>
      <c r="AC184" s="207"/>
      <c r="AD184" s="207"/>
      <c r="AE184" s="207"/>
      <c r="AF184" s="207"/>
      <c r="AG184" s="69"/>
      <c r="AH184" s="69"/>
      <c r="AI184" s="69"/>
      <c r="AJ184" s="69"/>
      <c r="AK184" s="69"/>
      <c r="AL184" s="69"/>
      <c r="AM184" s="69"/>
      <c r="AN184" s="69"/>
      <c r="AO184" s="69"/>
      <c r="AP184" s="69"/>
      <c r="AQ184" s="69"/>
      <c r="AR184" s="69"/>
      <c r="AS184" s="69"/>
      <c r="AT184" s="69"/>
      <c r="AU184" s="69"/>
      <c r="AV184" s="69"/>
      <c r="AW184" s="69"/>
      <c r="AX184" s="69"/>
      <c r="AY184" s="69"/>
      <c r="AZ184" s="69"/>
      <c r="BA184" s="69"/>
      <c r="BB184" s="69"/>
      <c r="BC184" s="69"/>
      <c r="BD184" s="69"/>
      <c r="BE184" s="69"/>
      <c r="BF184" s="69"/>
      <c r="BG184" s="69"/>
      <c r="BH184" s="69"/>
      <c r="BI184" s="69"/>
      <c r="BJ184" s="69"/>
      <c r="BK184" s="69"/>
      <c r="BL184" s="69"/>
      <c r="BM184" s="69"/>
      <c r="BN184" s="69"/>
      <c r="BO184" s="69"/>
      <c r="BP184" s="69"/>
      <c r="BQ184" s="69"/>
      <c r="BR184" s="69"/>
      <c r="BS184" s="69"/>
      <c r="BT184" s="69"/>
      <c r="BU184" s="69"/>
      <c r="BV184" s="69"/>
      <c r="BW184" s="69"/>
      <c r="BX184" s="69"/>
      <c r="BY184" s="69"/>
      <c r="BZ184" s="69"/>
      <c r="CA184" s="69"/>
      <c r="CB184" s="69"/>
      <c r="CC184" s="69"/>
      <c r="CD184" s="69"/>
      <c r="CE184" s="69"/>
      <c r="CF184" s="69"/>
      <c r="CG184" s="69"/>
      <c r="CH184" s="69"/>
      <c r="CI184" s="69"/>
      <c r="CJ184" s="69"/>
      <c r="CK184" s="69"/>
      <c r="CL184" s="69"/>
      <c r="CM184" s="69"/>
      <c r="CN184" s="69"/>
      <c r="CO184" s="69"/>
    </row>
    <row r="185" spans="1:93" ht="12.75" customHeight="1">
      <c r="A185" s="784"/>
      <c r="B185" s="69"/>
      <c r="C185" s="69"/>
      <c r="D185" s="69"/>
      <c r="E185" s="69"/>
      <c r="F185" s="69"/>
      <c r="G185" s="77"/>
      <c r="H185" s="77"/>
      <c r="I185" s="77"/>
      <c r="J185" s="366"/>
      <c r="K185" s="77"/>
      <c r="L185" s="77"/>
      <c r="M185" s="77"/>
      <c r="N185" s="77"/>
      <c r="O185" s="69"/>
      <c r="P185" s="69"/>
      <c r="Q185" s="69"/>
      <c r="R185" s="69"/>
      <c r="S185" s="77"/>
      <c r="T185" s="77"/>
      <c r="U185" s="69"/>
      <c r="V185" s="69"/>
      <c r="W185" s="69"/>
      <c r="X185" s="69"/>
      <c r="Y185" s="69"/>
      <c r="Z185" s="69"/>
      <c r="AA185" s="69"/>
      <c r="AB185" s="69"/>
      <c r="AC185" s="207"/>
      <c r="AD185" s="207"/>
      <c r="AE185" s="207"/>
      <c r="AF185" s="207"/>
      <c r="AG185" s="69"/>
      <c r="AH185" s="69"/>
      <c r="AI185" s="69"/>
      <c r="AJ185" s="69"/>
      <c r="AK185" s="69"/>
      <c r="AL185" s="69"/>
      <c r="AM185" s="69"/>
      <c r="AN185" s="69"/>
      <c r="AO185" s="69"/>
      <c r="AP185" s="69"/>
      <c r="AQ185" s="69"/>
      <c r="AR185" s="69"/>
      <c r="AS185" s="69"/>
      <c r="AT185" s="69"/>
      <c r="AU185" s="69"/>
      <c r="AV185" s="69"/>
      <c r="AW185" s="69"/>
      <c r="AX185" s="69"/>
      <c r="AY185" s="69"/>
      <c r="AZ185" s="69"/>
      <c r="BA185" s="69"/>
      <c r="BB185" s="69"/>
      <c r="BC185" s="69"/>
      <c r="BD185" s="69"/>
      <c r="BE185" s="69"/>
      <c r="BF185" s="69"/>
      <c r="BG185" s="69"/>
      <c r="BH185" s="69"/>
      <c r="BI185" s="69"/>
      <c r="BJ185" s="69"/>
      <c r="BK185" s="69"/>
      <c r="BL185" s="69"/>
      <c r="BM185" s="69"/>
      <c r="BN185" s="69"/>
      <c r="BO185" s="69"/>
      <c r="BP185" s="69"/>
      <c r="BQ185" s="69"/>
      <c r="BR185" s="69"/>
      <c r="BS185" s="69"/>
      <c r="BT185" s="69"/>
      <c r="BU185" s="69"/>
      <c r="BV185" s="69"/>
      <c r="BW185" s="69"/>
      <c r="BX185" s="69"/>
      <c r="BY185" s="69"/>
      <c r="BZ185" s="69"/>
      <c r="CA185" s="69"/>
      <c r="CB185" s="69"/>
      <c r="CC185" s="69"/>
      <c r="CD185" s="69"/>
      <c r="CE185" s="69"/>
      <c r="CF185" s="69"/>
      <c r="CG185" s="69"/>
      <c r="CH185" s="69"/>
      <c r="CI185" s="69"/>
      <c r="CJ185" s="69"/>
      <c r="CK185" s="69"/>
      <c r="CL185" s="69"/>
      <c r="CM185" s="69"/>
      <c r="CN185" s="69"/>
      <c r="CO185" s="69"/>
    </row>
    <row r="186" spans="1:93" ht="12.75" customHeight="1">
      <c r="A186" s="784"/>
      <c r="B186" s="69"/>
      <c r="C186" s="69"/>
      <c r="D186" s="69"/>
      <c r="E186" s="69"/>
      <c r="F186" s="69"/>
      <c r="G186" s="77"/>
      <c r="H186" s="77"/>
      <c r="I186" s="77"/>
      <c r="J186" s="366"/>
      <c r="K186" s="77"/>
      <c r="L186" s="77"/>
      <c r="M186" s="77"/>
      <c r="N186" s="77"/>
      <c r="O186" s="69"/>
      <c r="P186" s="69"/>
      <c r="Q186" s="69"/>
      <c r="R186" s="69"/>
      <c r="S186" s="77"/>
      <c r="T186" s="77"/>
      <c r="U186" s="69"/>
      <c r="V186" s="69"/>
      <c r="W186" s="69"/>
      <c r="X186" s="69"/>
      <c r="Y186" s="69"/>
      <c r="Z186" s="69"/>
      <c r="AA186" s="69"/>
      <c r="AB186" s="69"/>
      <c r="AC186" s="207"/>
      <c r="AD186" s="207"/>
      <c r="AE186" s="207"/>
      <c r="AF186" s="207"/>
      <c r="AG186" s="69"/>
      <c r="AH186" s="69"/>
      <c r="AI186" s="69"/>
      <c r="AJ186" s="69"/>
      <c r="AK186" s="69"/>
      <c r="AL186" s="69"/>
      <c r="AM186" s="69"/>
      <c r="AN186" s="69"/>
      <c r="AO186" s="69"/>
      <c r="AP186" s="69"/>
      <c r="AQ186" s="69"/>
      <c r="AR186" s="69"/>
      <c r="AS186" s="69"/>
      <c r="AT186" s="69"/>
      <c r="AU186" s="69"/>
      <c r="AV186" s="69"/>
      <c r="AW186" s="69"/>
      <c r="AX186" s="69"/>
      <c r="AY186" s="69"/>
      <c r="AZ186" s="69"/>
      <c r="BA186" s="69"/>
      <c r="BB186" s="69"/>
      <c r="BC186" s="69"/>
      <c r="BD186" s="69"/>
      <c r="BE186" s="69"/>
      <c r="BF186" s="69"/>
      <c r="BG186" s="69"/>
      <c r="BH186" s="69"/>
      <c r="BI186" s="69"/>
      <c r="BJ186" s="69"/>
      <c r="BK186" s="69"/>
      <c r="BL186" s="69"/>
      <c r="BM186" s="69"/>
      <c r="BN186" s="69"/>
      <c r="BO186" s="69"/>
      <c r="BP186" s="69"/>
      <c r="BQ186" s="69"/>
      <c r="BR186" s="69"/>
      <c r="BS186" s="69"/>
      <c r="BT186" s="69"/>
      <c r="BU186" s="69"/>
      <c r="BV186" s="69"/>
      <c r="BW186" s="69"/>
      <c r="BX186" s="69"/>
      <c r="BY186" s="69"/>
      <c r="BZ186" s="69"/>
      <c r="CA186" s="69"/>
      <c r="CB186" s="69"/>
      <c r="CC186" s="69"/>
      <c r="CD186" s="69"/>
      <c r="CE186" s="69"/>
      <c r="CF186" s="69"/>
      <c r="CG186" s="69"/>
      <c r="CH186" s="69"/>
      <c r="CI186" s="69"/>
      <c r="CJ186" s="69"/>
      <c r="CK186" s="69"/>
      <c r="CL186" s="69"/>
      <c r="CM186" s="69"/>
      <c r="CN186" s="69"/>
      <c r="CO186" s="69"/>
    </row>
    <row r="187" spans="1:93" ht="12.75" customHeight="1">
      <c r="A187" s="784"/>
      <c r="B187" s="69"/>
      <c r="C187" s="69"/>
      <c r="D187" s="69"/>
      <c r="E187" s="69"/>
      <c r="F187" s="69"/>
      <c r="G187" s="77"/>
      <c r="H187" s="77"/>
      <c r="I187" s="77"/>
      <c r="J187" s="366"/>
      <c r="K187" s="77"/>
      <c r="L187" s="77"/>
      <c r="M187" s="77"/>
      <c r="N187" s="77"/>
      <c r="O187" s="69"/>
      <c r="P187" s="69"/>
      <c r="Q187" s="69"/>
      <c r="R187" s="69"/>
      <c r="S187" s="77"/>
      <c r="T187" s="77"/>
      <c r="U187" s="69"/>
      <c r="V187" s="69"/>
      <c r="W187" s="69"/>
      <c r="X187" s="69"/>
      <c r="Y187" s="69"/>
      <c r="Z187" s="69"/>
      <c r="AA187" s="69"/>
      <c r="AB187" s="69"/>
      <c r="AC187" s="207"/>
      <c r="AD187" s="207"/>
      <c r="AE187" s="207"/>
      <c r="AF187" s="207"/>
      <c r="AG187" s="69"/>
      <c r="AH187" s="69"/>
      <c r="AI187" s="69"/>
      <c r="AJ187" s="69"/>
      <c r="AK187" s="69"/>
      <c r="AL187" s="69"/>
      <c r="AM187" s="69"/>
      <c r="AN187" s="69"/>
      <c r="AO187" s="69"/>
      <c r="AP187" s="69"/>
      <c r="AQ187" s="69"/>
      <c r="AR187" s="69"/>
      <c r="AS187" s="69"/>
      <c r="AT187" s="69"/>
      <c r="AU187" s="69"/>
      <c r="AV187" s="69"/>
      <c r="AW187" s="69"/>
      <c r="AX187" s="69"/>
      <c r="AY187" s="69"/>
      <c r="AZ187" s="69"/>
      <c r="BA187" s="69"/>
      <c r="BB187" s="69"/>
      <c r="BC187" s="69"/>
      <c r="BD187" s="69"/>
      <c r="BE187" s="69"/>
      <c r="BF187" s="69"/>
      <c r="BG187" s="69"/>
      <c r="BH187" s="69"/>
      <c r="BI187" s="69"/>
      <c r="BJ187" s="69"/>
      <c r="BK187" s="69"/>
      <c r="BL187" s="69"/>
      <c r="BM187" s="69"/>
      <c r="BN187" s="69"/>
      <c r="BO187" s="69"/>
      <c r="BP187" s="69"/>
      <c r="BQ187" s="69"/>
      <c r="BR187" s="69"/>
      <c r="BS187" s="69"/>
      <c r="BT187" s="69"/>
      <c r="BU187" s="69"/>
      <c r="BV187" s="69"/>
      <c r="BW187" s="69"/>
      <c r="BX187" s="69"/>
      <c r="BY187" s="69"/>
      <c r="BZ187" s="69"/>
      <c r="CA187" s="69"/>
      <c r="CB187" s="69"/>
      <c r="CC187" s="69"/>
      <c r="CD187" s="69"/>
      <c r="CE187" s="69"/>
      <c r="CF187" s="69"/>
      <c r="CG187" s="69"/>
      <c r="CH187" s="69"/>
      <c r="CI187" s="69"/>
      <c r="CJ187" s="69"/>
      <c r="CK187" s="69"/>
      <c r="CL187" s="69"/>
      <c r="CM187" s="69"/>
      <c r="CN187" s="69"/>
      <c r="CO187" s="69"/>
    </row>
    <row r="188" spans="1:93" ht="12.75" customHeight="1">
      <c r="A188" s="784"/>
      <c r="B188" s="69"/>
      <c r="C188" s="69"/>
      <c r="D188" s="69"/>
      <c r="E188" s="69"/>
      <c r="F188" s="69"/>
      <c r="G188" s="77"/>
      <c r="H188" s="77"/>
      <c r="I188" s="77"/>
      <c r="J188" s="366"/>
      <c r="K188" s="77"/>
      <c r="L188" s="77"/>
      <c r="M188" s="77"/>
      <c r="N188" s="77"/>
      <c r="O188" s="69"/>
      <c r="P188" s="69"/>
      <c r="Q188" s="69"/>
      <c r="R188" s="69"/>
      <c r="S188" s="77"/>
      <c r="T188" s="77"/>
      <c r="U188" s="69"/>
      <c r="V188" s="69"/>
      <c r="W188" s="69"/>
      <c r="X188" s="69"/>
      <c r="Y188" s="69"/>
      <c r="Z188" s="69"/>
      <c r="AA188" s="69"/>
      <c r="AB188" s="69"/>
      <c r="AC188" s="207"/>
      <c r="AD188" s="207"/>
      <c r="AE188" s="207"/>
      <c r="AF188" s="207"/>
      <c r="AG188" s="69"/>
      <c r="AH188" s="69"/>
      <c r="AI188" s="69"/>
      <c r="AJ188" s="69"/>
      <c r="AK188" s="69"/>
      <c r="AL188" s="69"/>
      <c r="AM188" s="69"/>
      <c r="AN188" s="69"/>
      <c r="AO188" s="69"/>
      <c r="AP188" s="69"/>
      <c r="AQ188" s="69"/>
      <c r="AR188" s="69"/>
      <c r="AS188" s="69"/>
      <c r="AT188" s="69"/>
      <c r="AU188" s="69"/>
      <c r="AV188" s="69"/>
      <c r="AW188" s="69"/>
      <c r="AX188" s="69"/>
      <c r="AY188" s="69"/>
      <c r="AZ188" s="69"/>
      <c r="BA188" s="69"/>
      <c r="BB188" s="69"/>
      <c r="BC188" s="69"/>
      <c r="BD188" s="69"/>
      <c r="BE188" s="69"/>
      <c r="BF188" s="69"/>
      <c r="BG188" s="69"/>
      <c r="BH188" s="69"/>
      <c r="BI188" s="69"/>
      <c r="BJ188" s="69"/>
      <c r="BK188" s="69"/>
      <c r="BL188" s="69"/>
      <c r="BM188" s="69"/>
      <c r="BN188" s="69"/>
      <c r="BO188" s="69"/>
      <c r="BP188" s="69"/>
      <c r="BQ188" s="69"/>
      <c r="BR188" s="69"/>
      <c r="BS188" s="69"/>
      <c r="BT188" s="69"/>
      <c r="BU188" s="69"/>
      <c r="BV188" s="69"/>
      <c r="BW188" s="69"/>
      <c r="BX188" s="69"/>
      <c r="BY188" s="69"/>
      <c r="BZ188" s="69"/>
      <c r="CA188" s="69"/>
      <c r="CB188" s="69"/>
      <c r="CC188" s="69"/>
      <c r="CD188" s="69"/>
      <c r="CE188" s="69"/>
      <c r="CF188" s="69"/>
      <c r="CG188" s="69"/>
      <c r="CH188" s="69"/>
      <c r="CI188" s="69"/>
      <c r="CJ188" s="69"/>
      <c r="CK188" s="69"/>
      <c r="CL188" s="69"/>
      <c r="CM188" s="69"/>
      <c r="CN188" s="69"/>
      <c r="CO188" s="69"/>
    </row>
    <row r="189" spans="1:93" ht="12.75" customHeight="1">
      <c r="A189" s="784"/>
      <c r="B189" s="69"/>
      <c r="C189" s="69"/>
      <c r="D189" s="69"/>
      <c r="E189" s="69"/>
      <c r="F189" s="69"/>
      <c r="G189" s="77"/>
      <c r="H189" s="77"/>
      <c r="I189" s="77"/>
      <c r="J189" s="366"/>
      <c r="K189" s="77"/>
      <c r="L189" s="77"/>
      <c r="M189" s="77"/>
      <c r="N189" s="77"/>
      <c r="O189" s="69"/>
      <c r="P189" s="69"/>
      <c r="Q189" s="69"/>
      <c r="R189" s="69"/>
      <c r="S189" s="77"/>
      <c r="T189" s="77"/>
      <c r="U189" s="69"/>
      <c r="V189" s="69"/>
      <c r="W189" s="69"/>
      <c r="X189" s="69"/>
      <c r="Y189" s="69"/>
      <c r="Z189" s="69"/>
      <c r="AA189" s="69"/>
      <c r="AB189" s="69"/>
      <c r="AC189" s="207"/>
      <c r="AD189" s="207"/>
      <c r="AE189" s="207"/>
      <c r="AF189" s="207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  <c r="BP189" s="69"/>
      <c r="BQ189" s="69"/>
      <c r="BR189" s="69"/>
      <c r="BS189" s="69"/>
      <c r="BT189" s="69"/>
      <c r="BU189" s="69"/>
      <c r="BV189" s="69"/>
      <c r="BW189" s="69"/>
      <c r="BX189" s="69"/>
      <c r="BY189" s="69"/>
      <c r="BZ189" s="69"/>
      <c r="CA189" s="69"/>
      <c r="CB189" s="69"/>
      <c r="CC189" s="69"/>
      <c r="CD189" s="69"/>
      <c r="CE189" s="69"/>
      <c r="CF189" s="69"/>
      <c r="CG189" s="69"/>
      <c r="CH189" s="69"/>
      <c r="CI189" s="69"/>
      <c r="CJ189" s="69"/>
      <c r="CK189" s="69"/>
      <c r="CL189" s="69"/>
      <c r="CM189" s="69"/>
      <c r="CN189" s="69"/>
      <c r="CO189" s="69"/>
    </row>
    <row r="190" spans="1:93" ht="12.75" customHeight="1">
      <c r="A190" s="784"/>
      <c r="B190" s="69"/>
      <c r="C190" s="69"/>
      <c r="D190" s="69"/>
      <c r="E190" s="69"/>
      <c r="F190" s="69"/>
      <c r="G190" s="77"/>
      <c r="H190" s="77"/>
      <c r="I190" s="77"/>
      <c r="J190" s="366"/>
      <c r="K190" s="77"/>
      <c r="L190" s="77"/>
      <c r="M190" s="77"/>
      <c r="N190" s="77"/>
      <c r="O190" s="69"/>
      <c r="P190" s="69"/>
      <c r="Q190" s="69"/>
      <c r="R190" s="69"/>
      <c r="S190" s="77"/>
      <c r="T190" s="77"/>
      <c r="U190" s="69"/>
      <c r="V190" s="69"/>
      <c r="W190" s="69"/>
      <c r="X190" s="69"/>
      <c r="Y190" s="69"/>
      <c r="Z190" s="69"/>
      <c r="AA190" s="69"/>
      <c r="AB190" s="69"/>
      <c r="AC190" s="207"/>
      <c r="AD190" s="207"/>
      <c r="AE190" s="207"/>
      <c r="AF190" s="207"/>
      <c r="AG190" s="69"/>
      <c r="AH190" s="69"/>
      <c r="AI190" s="69"/>
      <c r="AJ190" s="69"/>
      <c r="AK190" s="69"/>
      <c r="AL190" s="69"/>
      <c r="AM190" s="69"/>
      <c r="AN190" s="69"/>
      <c r="AO190" s="69"/>
      <c r="AP190" s="69"/>
      <c r="AQ190" s="69"/>
      <c r="AR190" s="69"/>
      <c r="AS190" s="69"/>
      <c r="AT190" s="69"/>
      <c r="AU190" s="69"/>
      <c r="AV190" s="69"/>
      <c r="AW190" s="69"/>
      <c r="AX190" s="69"/>
      <c r="AY190" s="69"/>
      <c r="AZ190" s="69"/>
      <c r="BA190" s="69"/>
      <c r="BB190" s="69"/>
      <c r="BC190" s="69"/>
      <c r="BD190" s="69"/>
      <c r="BE190" s="69"/>
      <c r="BF190" s="69"/>
      <c r="BG190" s="69"/>
      <c r="BH190" s="69"/>
      <c r="BI190" s="69"/>
      <c r="BJ190" s="69"/>
      <c r="BK190" s="69"/>
      <c r="BL190" s="69"/>
      <c r="BM190" s="69"/>
      <c r="BN190" s="69"/>
      <c r="BO190" s="69"/>
      <c r="BP190" s="69"/>
      <c r="BQ190" s="69"/>
      <c r="BR190" s="69"/>
      <c r="BS190" s="69"/>
      <c r="BT190" s="69"/>
      <c r="BU190" s="69"/>
      <c r="BV190" s="69"/>
      <c r="BW190" s="69"/>
      <c r="BX190" s="69"/>
      <c r="BY190" s="69"/>
      <c r="BZ190" s="69"/>
      <c r="CA190" s="69"/>
      <c r="CB190" s="69"/>
      <c r="CC190" s="69"/>
      <c r="CD190" s="69"/>
      <c r="CE190" s="69"/>
      <c r="CF190" s="69"/>
      <c r="CG190" s="69"/>
      <c r="CH190" s="69"/>
      <c r="CI190" s="69"/>
      <c r="CJ190" s="69"/>
      <c r="CK190" s="69"/>
      <c r="CL190" s="69"/>
      <c r="CM190" s="69"/>
      <c r="CN190" s="69"/>
      <c r="CO190" s="69"/>
    </row>
    <row r="191" spans="1:93" ht="12.75" customHeight="1">
      <c r="A191" s="784"/>
      <c r="B191" s="69"/>
      <c r="C191" s="69"/>
      <c r="D191" s="69"/>
      <c r="E191" s="69"/>
      <c r="F191" s="69"/>
      <c r="G191" s="77"/>
      <c r="H191" s="77"/>
      <c r="I191" s="77"/>
      <c r="J191" s="366"/>
      <c r="K191" s="77"/>
      <c r="L191" s="77"/>
      <c r="M191" s="77"/>
      <c r="N191" s="77"/>
      <c r="O191" s="69"/>
      <c r="P191" s="69"/>
      <c r="Q191" s="69"/>
      <c r="R191" s="69"/>
      <c r="S191" s="77"/>
      <c r="T191" s="77"/>
      <c r="U191" s="69"/>
      <c r="V191" s="69"/>
      <c r="W191" s="69"/>
      <c r="X191" s="69"/>
      <c r="Y191" s="69"/>
      <c r="Z191" s="69"/>
      <c r="AA191" s="69"/>
      <c r="AB191" s="69"/>
      <c r="AC191" s="207"/>
      <c r="AD191" s="207"/>
      <c r="AE191" s="207"/>
      <c r="AF191" s="207"/>
      <c r="AG191" s="69"/>
      <c r="AH191" s="69"/>
      <c r="AI191" s="69"/>
      <c r="AJ191" s="69"/>
      <c r="AK191" s="69"/>
      <c r="AL191" s="69"/>
      <c r="AM191" s="69"/>
      <c r="AN191" s="69"/>
      <c r="AO191" s="69"/>
      <c r="AP191" s="69"/>
      <c r="AQ191" s="69"/>
      <c r="AR191" s="69"/>
      <c r="AS191" s="69"/>
      <c r="AT191" s="69"/>
      <c r="AU191" s="69"/>
      <c r="AV191" s="69"/>
      <c r="AW191" s="69"/>
      <c r="AX191" s="69"/>
      <c r="AY191" s="69"/>
      <c r="AZ191" s="69"/>
      <c r="BA191" s="69"/>
      <c r="BB191" s="69"/>
      <c r="BC191" s="69"/>
      <c r="BD191" s="69"/>
      <c r="BE191" s="69"/>
      <c r="BF191" s="69"/>
      <c r="BG191" s="69"/>
      <c r="BH191" s="69"/>
      <c r="BI191" s="69"/>
      <c r="BJ191" s="69"/>
      <c r="BK191" s="69"/>
      <c r="BL191" s="69"/>
      <c r="BM191" s="69"/>
      <c r="BN191" s="69"/>
      <c r="BO191" s="69"/>
      <c r="BP191" s="69"/>
      <c r="BQ191" s="69"/>
      <c r="BR191" s="69"/>
      <c r="BS191" s="69"/>
      <c r="BT191" s="69"/>
      <c r="BU191" s="69"/>
      <c r="BV191" s="69"/>
      <c r="BW191" s="69"/>
      <c r="BX191" s="69"/>
      <c r="BY191" s="69"/>
      <c r="BZ191" s="69"/>
      <c r="CA191" s="69"/>
      <c r="CB191" s="69"/>
      <c r="CC191" s="69"/>
      <c r="CD191" s="69"/>
      <c r="CE191" s="69"/>
      <c r="CF191" s="69"/>
      <c r="CG191" s="69"/>
      <c r="CH191" s="69"/>
      <c r="CI191" s="69"/>
      <c r="CJ191" s="69"/>
      <c r="CK191" s="69"/>
      <c r="CL191" s="69"/>
      <c r="CM191" s="69"/>
      <c r="CN191" s="69"/>
      <c r="CO191" s="69"/>
    </row>
    <row r="192" spans="1:93" ht="12.75" customHeight="1">
      <c r="A192" s="784"/>
      <c r="B192" s="69"/>
      <c r="C192" s="69"/>
      <c r="D192" s="69"/>
      <c r="E192" s="69"/>
      <c r="F192" s="69"/>
      <c r="G192" s="77"/>
      <c r="H192" s="77"/>
      <c r="I192" s="77"/>
      <c r="J192" s="366"/>
      <c r="K192" s="77"/>
      <c r="L192" s="77"/>
      <c r="M192" s="77"/>
      <c r="N192" s="77"/>
      <c r="O192" s="69"/>
      <c r="P192" s="69"/>
      <c r="Q192" s="69"/>
      <c r="R192" s="69"/>
      <c r="S192" s="77"/>
      <c r="T192" s="77"/>
      <c r="U192" s="69"/>
      <c r="V192" s="69"/>
      <c r="W192" s="69"/>
      <c r="X192" s="69"/>
      <c r="Y192" s="69"/>
      <c r="Z192" s="69"/>
      <c r="AA192" s="69"/>
      <c r="AB192" s="69"/>
      <c r="AC192" s="207"/>
      <c r="AD192" s="207"/>
      <c r="AE192" s="207"/>
      <c r="AF192" s="207"/>
      <c r="AG192" s="69"/>
      <c r="AH192" s="69"/>
      <c r="AI192" s="69"/>
      <c r="AJ192" s="69"/>
      <c r="AK192" s="69"/>
      <c r="AL192" s="69"/>
      <c r="AM192" s="69"/>
      <c r="AN192" s="69"/>
      <c r="AO192" s="69"/>
      <c r="AP192" s="69"/>
      <c r="AQ192" s="69"/>
      <c r="AR192" s="69"/>
      <c r="AS192" s="69"/>
      <c r="AT192" s="69"/>
      <c r="AU192" s="69"/>
      <c r="AV192" s="69"/>
      <c r="AW192" s="69"/>
      <c r="AX192" s="69"/>
      <c r="AY192" s="69"/>
      <c r="AZ192" s="69"/>
      <c r="BA192" s="69"/>
      <c r="BB192" s="69"/>
      <c r="BC192" s="69"/>
      <c r="BD192" s="69"/>
      <c r="BE192" s="69"/>
      <c r="BF192" s="69"/>
      <c r="BG192" s="69"/>
      <c r="BH192" s="69"/>
      <c r="BI192" s="69"/>
      <c r="BJ192" s="69"/>
      <c r="BK192" s="69"/>
      <c r="BL192" s="69"/>
      <c r="BM192" s="69"/>
      <c r="BN192" s="69"/>
      <c r="BO192" s="69"/>
      <c r="BP192" s="69"/>
      <c r="BQ192" s="69"/>
      <c r="BR192" s="69"/>
      <c r="BS192" s="69"/>
      <c r="BT192" s="69"/>
      <c r="BU192" s="69"/>
      <c r="BV192" s="69"/>
      <c r="BW192" s="69"/>
      <c r="BX192" s="69"/>
      <c r="BY192" s="69"/>
      <c r="BZ192" s="69"/>
      <c r="CA192" s="69"/>
      <c r="CB192" s="69"/>
      <c r="CC192" s="69"/>
      <c r="CD192" s="69"/>
      <c r="CE192" s="69"/>
      <c r="CF192" s="69"/>
      <c r="CG192" s="69"/>
      <c r="CH192" s="69"/>
      <c r="CI192" s="69"/>
      <c r="CJ192" s="69"/>
      <c r="CK192" s="69"/>
      <c r="CL192" s="69"/>
      <c r="CM192" s="69"/>
      <c r="CN192" s="69"/>
      <c r="CO192" s="69"/>
    </row>
    <row r="193" spans="1:93" ht="12.75" customHeight="1">
      <c r="A193" s="784"/>
      <c r="B193" s="69"/>
      <c r="C193" s="69"/>
      <c r="D193" s="69"/>
      <c r="E193" s="69"/>
      <c r="F193" s="69"/>
      <c r="G193" s="77"/>
      <c r="H193" s="77"/>
      <c r="I193" s="77"/>
      <c r="J193" s="366"/>
      <c r="K193" s="77"/>
      <c r="L193" s="77"/>
      <c r="M193" s="77"/>
      <c r="N193" s="77"/>
      <c r="O193" s="69"/>
      <c r="P193" s="69"/>
      <c r="Q193" s="69"/>
      <c r="R193" s="69"/>
      <c r="S193" s="77"/>
      <c r="T193" s="77"/>
      <c r="U193" s="69"/>
      <c r="V193" s="69"/>
      <c r="W193" s="69"/>
      <c r="X193" s="69"/>
      <c r="Y193" s="69"/>
      <c r="Z193" s="69"/>
      <c r="AA193" s="69"/>
      <c r="AB193" s="69"/>
      <c r="AC193" s="207"/>
      <c r="AD193" s="207"/>
      <c r="AE193" s="207"/>
      <c r="AF193" s="207"/>
      <c r="AG193" s="69"/>
      <c r="AH193" s="69"/>
      <c r="AI193" s="69"/>
      <c r="AJ193" s="69"/>
      <c r="AK193" s="69"/>
      <c r="AL193" s="69"/>
      <c r="AM193" s="69"/>
      <c r="AN193" s="69"/>
      <c r="AO193" s="69"/>
      <c r="AP193" s="69"/>
      <c r="AQ193" s="69"/>
      <c r="AR193" s="69"/>
      <c r="AS193" s="69"/>
      <c r="AT193" s="69"/>
      <c r="AU193" s="69"/>
      <c r="AV193" s="69"/>
      <c r="AW193" s="69"/>
      <c r="AX193" s="69"/>
      <c r="AY193" s="69"/>
      <c r="AZ193" s="69"/>
      <c r="BA193" s="69"/>
      <c r="BB193" s="69"/>
      <c r="BC193" s="69"/>
      <c r="BD193" s="69"/>
      <c r="BE193" s="69"/>
      <c r="BF193" s="69"/>
      <c r="BG193" s="69"/>
      <c r="BH193" s="69"/>
      <c r="BI193" s="69"/>
      <c r="BJ193" s="69"/>
      <c r="BK193" s="69"/>
      <c r="BL193" s="69"/>
      <c r="BM193" s="69"/>
      <c r="BN193" s="69"/>
      <c r="BO193" s="69"/>
      <c r="BP193" s="69"/>
      <c r="BQ193" s="69"/>
      <c r="BR193" s="69"/>
      <c r="BS193" s="69"/>
      <c r="BT193" s="69"/>
      <c r="BU193" s="69"/>
      <c r="BV193" s="69"/>
      <c r="BW193" s="69"/>
      <c r="BX193" s="69"/>
      <c r="BY193" s="69"/>
      <c r="BZ193" s="69"/>
      <c r="CA193" s="69"/>
      <c r="CB193" s="69"/>
      <c r="CC193" s="69"/>
      <c r="CD193" s="69"/>
      <c r="CE193" s="69"/>
      <c r="CF193" s="69"/>
      <c r="CG193" s="69"/>
      <c r="CH193" s="69"/>
      <c r="CI193" s="69"/>
      <c r="CJ193" s="69"/>
      <c r="CK193" s="69"/>
      <c r="CL193" s="69"/>
      <c r="CM193" s="69"/>
      <c r="CN193" s="69"/>
      <c r="CO193" s="69"/>
    </row>
    <row r="194" spans="1:93" ht="12.75" customHeight="1">
      <c r="A194" s="784"/>
      <c r="B194" s="69"/>
      <c r="C194" s="69"/>
      <c r="D194" s="69"/>
      <c r="E194" s="69"/>
      <c r="F194" s="69"/>
      <c r="G194" s="77"/>
      <c r="H194" s="77"/>
      <c r="I194" s="77"/>
      <c r="J194" s="366"/>
      <c r="K194" s="77"/>
      <c r="L194" s="77"/>
      <c r="M194" s="77"/>
      <c r="N194" s="77"/>
      <c r="O194" s="69"/>
      <c r="P194" s="69"/>
      <c r="Q194" s="69"/>
      <c r="R194" s="69"/>
      <c r="S194" s="77"/>
      <c r="T194" s="77"/>
      <c r="U194" s="69"/>
      <c r="V194" s="69"/>
      <c r="W194" s="69"/>
      <c r="X194" s="69"/>
      <c r="Y194" s="69"/>
      <c r="Z194" s="69"/>
      <c r="AA194" s="69"/>
      <c r="AB194" s="69"/>
      <c r="AC194" s="207"/>
      <c r="AD194" s="207"/>
      <c r="AE194" s="207"/>
      <c r="AF194" s="207"/>
      <c r="AG194" s="69"/>
      <c r="AH194" s="69"/>
      <c r="AI194" s="69"/>
      <c r="AJ194" s="69"/>
      <c r="AK194" s="69"/>
      <c r="AL194" s="69"/>
      <c r="AM194" s="69"/>
      <c r="AN194" s="69"/>
      <c r="AO194" s="69"/>
      <c r="AP194" s="69"/>
      <c r="AQ194" s="69"/>
      <c r="AR194" s="69"/>
      <c r="AS194" s="69"/>
      <c r="AT194" s="69"/>
      <c r="AU194" s="69"/>
      <c r="AV194" s="69"/>
      <c r="AW194" s="69"/>
      <c r="AX194" s="69"/>
      <c r="AY194" s="69"/>
      <c r="AZ194" s="69"/>
      <c r="BA194" s="69"/>
      <c r="BB194" s="69"/>
      <c r="BC194" s="69"/>
      <c r="BD194" s="69"/>
      <c r="BE194" s="69"/>
      <c r="BF194" s="69"/>
      <c r="BG194" s="69"/>
      <c r="BH194" s="69"/>
      <c r="BI194" s="69"/>
      <c r="BJ194" s="69"/>
      <c r="BK194" s="69"/>
      <c r="BL194" s="69"/>
      <c r="BM194" s="69"/>
      <c r="BN194" s="69"/>
      <c r="BO194" s="69"/>
      <c r="BP194" s="69"/>
      <c r="BQ194" s="69"/>
      <c r="BR194" s="69"/>
      <c r="BS194" s="69"/>
      <c r="BT194" s="69"/>
      <c r="BU194" s="69"/>
      <c r="BV194" s="69"/>
      <c r="BW194" s="69"/>
      <c r="BX194" s="69"/>
      <c r="BY194" s="69"/>
      <c r="BZ194" s="69"/>
      <c r="CA194" s="69"/>
      <c r="CB194" s="69"/>
      <c r="CC194" s="69"/>
      <c r="CD194" s="69"/>
      <c r="CE194" s="69"/>
      <c r="CF194" s="69"/>
      <c r="CG194" s="69"/>
      <c r="CH194" s="69"/>
      <c r="CI194" s="69"/>
      <c r="CJ194" s="69"/>
      <c r="CK194" s="69"/>
      <c r="CL194" s="69"/>
      <c r="CM194" s="69"/>
      <c r="CN194" s="69"/>
      <c r="CO194" s="69"/>
    </row>
    <row r="195" spans="1:93" ht="12.75" customHeight="1">
      <c r="A195" s="784"/>
      <c r="B195" s="69"/>
      <c r="C195" s="69"/>
      <c r="D195" s="69"/>
      <c r="E195" s="69"/>
      <c r="F195" s="69"/>
      <c r="G195" s="77"/>
      <c r="H195" s="77"/>
      <c r="I195" s="77"/>
      <c r="J195" s="366"/>
      <c r="K195" s="77"/>
      <c r="L195" s="77"/>
      <c r="M195" s="77"/>
      <c r="N195" s="77"/>
      <c r="O195" s="69"/>
      <c r="P195" s="69"/>
      <c r="Q195" s="69"/>
      <c r="R195" s="69"/>
      <c r="S195" s="77"/>
      <c r="T195" s="77"/>
      <c r="U195" s="69"/>
      <c r="V195" s="69"/>
      <c r="W195" s="69"/>
      <c r="X195" s="69"/>
      <c r="Y195" s="69"/>
      <c r="Z195" s="69"/>
      <c r="AA195" s="69"/>
      <c r="AB195" s="69"/>
      <c r="AC195" s="207"/>
      <c r="AD195" s="207"/>
      <c r="AE195" s="207"/>
      <c r="AF195" s="207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9"/>
      <c r="AV195" s="69"/>
      <c r="AW195" s="69"/>
      <c r="AX195" s="69"/>
      <c r="AY195" s="69"/>
      <c r="AZ195" s="69"/>
      <c r="BA195" s="69"/>
      <c r="BB195" s="69"/>
      <c r="BC195" s="69"/>
      <c r="BD195" s="69"/>
      <c r="BE195" s="69"/>
      <c r="BF195" s="69"/>
      <c r="BG195" s="69"/>
      <c r="BH195" s="69"/>
      <c r="BI195" s="69"/>
      <c r="BJ195" s="69"/>
      <c r="BK195" s="69"/>
      <c r="BL195" s="69"/>
      <c r="BM195" s="69"/>
      <c r="BN195" s="69"/>
      <c r="BO195" s="69"/>
      <c r="BP195" s="69"/>
      <c r="BQ195" s="69"/>
      <c r="BR195" s="69"/>
      <c r="BS195" s="69"/>
      <c r="BT195" s="69"/>
      <c r="BU195" s="69"/>
      <c r="BV195" s="69"/>
      <c r="BW195" s="69"/>
      <c r="BX195" s="69"/>
      <c r="BY195" s="69"/>
      <c r="BZ195" s="69"/>
      <c r="CA195" s="69"/>
      <c r="CB195" s="69"/>
      <c r="CC195" s="69"/>
      <c r="CD195" s="69"/>
      <c r="CE195" s="69"/>
      <c r="CF195" s="69"/>
      <c r="CG195" s="69"/>
      <c r="CH195" s="69"/>
      <c r="CI195" s="69"/>
      <c r="CJ195" s="69"/>
      <c r="CK195" s="69"/>
      <c r="CL195" s="69"/>
      <c r="CM195" s="69"/>
      <c r="CN195" s="69"/>
      <c r="CO195" s="69"/>
    </row>
    <row r="196" spans="1:93" ht="12.75" customHeight="1">
      <c r="A196" s="784"/>
      <c r="B196" s="69"/>
      <c r="C196" s="69"/>
      <c r="D196" s="69"/>
      <c r="E196" s="69"/>
      <c r="F196" s="69"/>
      <c r="G196" s="77"/>
      <c r="H196" s="77"/>
      <c r="I196" s="77"/>
      <c r="J196" s="366"/>
      <c r="K196" s="77"/>
      <c r="L196" s="77"/>
      <c r="M196" s="77"/>
      <c r="N196" s="77"/>
      <c r="O196" s="69"/>
      <c r="P196" s="69"/>
      <c r="Q196" s="69"/>
      <c r="R196" s="69"/>
      <c r="S196" s="77"/>
      <c r="T196" s="77"/>
      <c r="U196" s="69"/>
      <c r="V196" s="69"/>
      <c r="W196" s="69"/>
      <c r="X196" s="69"/>
      <c r="Y196" s="69"/>
      <c r="Z196" s="69"/>
      <c r="AA196" s="69"/>
      <c r="AB196" s="69"/>
      <c r="AC196" s="207"/>
      <c r="AD196" s="207"/>
      <c r="AE196" s="207"/>
      <c r="AF196" s="207"/>
      <c r="AG196" s="69"/>
      <c r="AH196" s="69"/>
      <c r="AI196" s="69"/>
      <c r="AJ196" s="69"/>
      <c r="AK196" s="69"/>
      <c r="AL196" s="69"/>
      <c r="AM196" s="69"/>
      <c r="AN196" s="69"/>
      <c r="AO196" s="69"/>
      <c r="AP196" s="69"/>
      <c r="AQ196" s="69"/>
      <c r="AR196" s="69"/>
      <c r="AS196" s="69"/>
      <c r="AT196" s="69"/>
      <c r="AU196" s="69"/>
      <c r="AV196" s="69"/>
      <c r="AW196" s="69"/>
      <c r="AX196" s="69"/>
      <c r="AY196" s="69"/>
      <c r="AZ196" s="69"/>
      <c r="BA196" s="69"/>
      <c r="BB196" s="69"/>
      <c r="BC196" s="69"/>
      <c r="BD196" s="69"/>
      <c r="BE196" s="69"/>
      <c r="BF196" s="69"/>
      <c r="BG196" s="69"/>
      <c r="BH196" s="69"/>
      <c r="BI196" s="69"/>
      <c r="BJ196" s="69"/>
      <c r="BK196" s="69"/>
      <c r="BL196" s="69"/>
      <c r="BM196" s="69"/>
      <c r="BN196" s="69"/>
      <c r="BO196" s="69"/>
      <c r="BP196" s="69"/>
      <c r="BQ196" s="69"/>
      <c r="BR196" s="69"/>
      <c r="BS196" s="69"/>
      <c r="BT196" s="69"/>
      <c r="BU196" s="69"/>
      <c r="BV196" s="69"/>
      <c r="BW196" s="69"/>
      <c r="BX196" s="69"/>
      <c r="BY196" s="69"/>
      <c r="BZ196" s="69"/>
      <c r="CA196" s="69"/>
      <c r="CB196" s="69"/>
      <c r="CC196" s="69"/>
      <c r="CD196" s="69"/>
      <c r="CE196" s="69"/>
      <c r="CF196" s="69"/>
      <c r="CG196" s="69"/>
      <c r="CH196" s="69"/>
      <c r="CI196" s="69"/>
      <c r="CJ196" s="69"/>
      <c r="CK196" s="69"/>
      <c r="CL196" s="69"/>
      <c r="CM196" s="69"/>
      <c r="CN196" s="69"/>
      <c r="CO196" s="69"/>
    </row>
    <row r="197" spans="1:93" ht="12.75" customHeight="1">
      <c r="A197" s="784"/>
      <c r="B197" s="69"/>
      <c r="C197" s="69"/>
      <c r="D197" s="69"/>
      <c r="E197" s="69"/>
      <c r="F197" s="69"/>
      <c r="G197" s="77"/>
      <c r="H197" s="77"/>
      <c r="I197" s="77"/>
      <c r="J197" s="366"/>
      <c r="K197" s="77"/>
      <c r="L197" s="77"/>
      <c r="M197" s="77"/>
      <c r="N197" s="77"/>
      <c r="O197" s="69"/>
      <c r="P197" s="69"/>
      <c r="Q197" s="69"/>
      <c r="R197" s="69"/>
      <c r="S197" s="77"/>
      <c r="T197" s="77"/>
      <c r="U197" s="69"/>
      <c r="V197" s="69"/>
      <c r="W197" s="69"/>
      <c r="X197" s="69"/>
      <c r="Y197" s="69"/>
      <c r="Z197" s="69"/>
      <c r="AA197" s="69"/>
      <c r="AB197" s="69"/>
      <c r="AC197" s="207"/>
      <c r="AD197" s="207"/>
      <c r="AE197" s="207"/>
      <c r="AF197" s="207"/>
      <c r="AG197" s="69"/>
      <c r="AH197" s="69"/>
      <c r="AI197" s="69"/>
      <c r="AJ197" s="69"/>
      <c r="AK197" s="69"/>
      <c r="AL197" s="69"/>
      <c r="AM197" s="69"/>
      <c r="AN197" s="69"/>
      <c r="AO197" s="69"/>
      <c r="AP197" s="69"/>
      <c r="AQ197" s="69"/>
      <c r="AR197" s="69"/>
      <c r="AS197" s="69"/>
      <c r="AT197" s="69"/>
      <c r="AU197" s="69"/>
      <c r="AV197" s="69"/>
      <c r="AW197" s="69"/>
      <c r="AX197" s="69"/>
      <c r="AY197" s="69"/>
      <c r="AZ197" s="69"/>
      <c r="BA197" s="69"/>
      <c r="BB197" s="69"/>
      <c r="BC197" s="69"/>
      <c r="BD197" s="69"/>
      <c r="BE197" s="69"/>
      <c r="BF197" s="69"/>
      <c r="BG197" s="69"/>
      <c r="BH197" s="69"/>
      <c r="BI197" s="69"/>
      <c r="BJ197" s="69"/>
      <c r="BK197" s="69"/>
      <c r="BL197" s="69"/>
      <c r="BM197" s="69"/>
      <c r="BN197" s="69"/>
      <c r="BO197" s="69"/>
      <c r="BP197" s="69"/>
      <c r="BQ197" s="69"/>
      <c r="BR197" s="69"/>
      <c r="BS197" s="69"/>
      <c r="BT197" s="69"/>
      <c r="BU197" s="69"/>
      <c r="BV197" s="69"/>
      <c r="BW197" s="69"/>
      <c r="BX197" s="69"/>
      <c r="BY197" s="69"/>
      <c r="BZ197" s="69"/>
      <c r="CA197" s="69"/>
      <c r="CB197" s="69"/>
      <c r="CC197" s="69"/>
      <c r="CD197" s="69"/>
      <c r="CE197" s="69"/>
      <c r="CF197" s="69"/>
      <c r="CG197" s="69"/>
      <c r="CH197" s="69"/>
      <c r="CI197" s="69"/>
      <c r="CJ197" s="69"/>
      <c r="CK197" s="69"/>
      <c r="CL197" s="69"/>
      <c r="CM197" s="69"/>
      <c r="CN197" s="69"/>
      <c r="CO197" s="69"/>
    </row>
    <row r="198" spans="1:93" ht="12.75" customHeight="1">
      <c r="A198" s="784"/>
      <c r="B198" s="69"/>
      <c r="C198" s="69"/>
      <c r="D198" s="69"/>
      <c r="E198" s="69"/>
      <c r="F198" s="69"/>
      <c r="G198" s="77"/>
      <c r="H198" s="77"/>
      <c r="I198" s="77"/>
      <c r="J198" s="366"/>
      <c r="K198" s="77"/>
      <c r="L198" s="77"/>
      <c r="M198" s="77"/>
      <c r="N198" s="77"/>
      <c r="O198" s="69"/>
      <c r="P198" s="69"/>
      <c r="Q198" s="69"/>
      <c r="R198" s="69"/>
      <c r="S198" s="77"/>
      <c r="T198" s="77"/>
      <c r="U198" s="69"/>
      <c r="V198" s="69"/>
      <c r="W198" s="69"/>
      <c r="X198" s="69"/>
      <c r="Y198" s="69"/>
      <c r="Z198" s="69"/>
      <c r="AA198" s="69"/>
      <c r="AB198" s="69"/>
      <c r="AC198" s="207"/>
      <c r="AD198" s="207"/>
      <c r="AE198" s="207"/>
      <c r="AF198" s="207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9"/>
      <c r="AV198" s="69"/>
      <c r="AW198" s="69"/>
      <c r="AX198" s="69"/>
      <c r="AY198" s="69"/>
      <c r="AZ198" s="69"/>
      <c r="BA198" s="69"/>
      <c r="BB198" s="69"/>
      <c r="BC198" s="69"/>
      <c r="BD198" s="69"/>
      <c r="BE198" s="69"/>
      <c r="BF198" s="69"/>
      <c r="BG198" s="69"/>
      <c r="BH198" s="69"/>
      <c r="BI198" s="69"/>
      <c r="BJ198" s="69"/>
      <c r="BK198" s="69"/>
      <c r="BL198" s="69"/>
      <c r="BM198" s="69"/>
      <c r="BN198" s="69"/>
      <c r="BO198" s="69"/>
      <c r="BP198" s="69"/>
      <c r="BQ198" s="69"/>
      <c r="BR198" s="69"/>
      <c r="BS198" s="69"/>
      <c r="BT198" s="69"/>
      <c r="BU198" s="69"/>
      <c r="BV198" s="69"/>
      <c r="BW198" s="69"/>
      <c r="BX198" s="69"/>
      <c r="BY198" s="69"/>
      <c r="BZ198" s="69"/>
      <c r="CA198" s="69"/>
      <c r="CB198" s="69"/>
      <c r="CC198" s="69"/>
      <c r="CD198" s="69"/>
      <c r="CE198" s="69"/>
      <c r="CF198" s="69"/>
      <c r="CG198" s="69"/>
      <c r="CH198" s="69"/>
      <c r="CI198" s="69"/>
      <c r="CJ198" s="69"/>
      <c r="CK198" s="69"/>
      <c r="CL198" s="69"/>
      <c r="CM198" s="69"/>
      <c r="CN198" s="69"/>
      <c r="CO198" s="69"/>
    </row>
    <row r="199" spans="1:93" ht="12.75" customHeight="1">
      <c r="A199" s="784"/>
      <c r="B199" s="69"/>
      <c r="C199" s="69"/>
      <c r="D199" s="69"/>
      <c r="E199" s="69"/>
      <c r="F199" s="69"/>
      <c r="G199" s="77"/>
      <c r="H199" s="77"/>
      <c r="I199" s="77"/>
      <c r="J199" s="366"/>
      <c r="K199" s="77"/>
      <c r="L199" s="77"/>
      <c r="M199" s="77"/>
      <c r="N199" s="77"/>
      <c r="O199" s="69"/>
      <c r="P199" s="69"/>
      <c r="Q199" s="69"/>
      <c r="R199" s="69"/>
      <c r="S199" s="77"/>
      <c r="T199" s="77"/>
      <c r="U199" s="69"/>
      <c r="V199" s="69"/>
      <c r="W199" s="69"/>
      <c r="X199" s="69"/>
      <c r="Y199" s="69"/>
      <c r="Z199" s="69"/>
      <c r="AA199" s="69"/>
      <c r="AB199" s="69"/>
      <c r="AC199" s="207"/>
      <c r="AD199" s="207"/>
      <c r="AE199" s="207"/>
      <c r="AF199" s="207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9"/>
      <c r="AV199" s="69"/>
      <c r="AW199" s="69"/>
      <c r="AX199" s="69"/>
      <c r="AY199" s="69"/>
      <c r="AZ199" s="69"/>
      <c r="BA199" s="69"/>
      <c r="BB199" s="69"/>
      <c r="BC199" s="69"/>
      <c r="BD199" s="69"/>
      <c r="BE199" s="69"/>
      <c r="BF199" s="69"/>
      <c r="BG199" s="69"/>
      <c r="BH199" s="69"/>
      <c r="BI199" s="69"/>
      <c r="BJ199" s="69"/>
      <c r="BK199" s="69"/>
      <c r="BL199" s="69"/>
      <c r="BM199" s="69"/>
      <c r="BN199" s="69"/>
      <c r="BO199" s="69"/>
      <c r="BP199" s="69"/>
      <c r="BQ199" s="69"/>
      <c r="BR199" s="69"/>
      <c r="BS199" s="69"/>
      <c r="BT199" s="69"/>
      <c r="BU199" s="69"/>
      <c r="BV199" s="69"/>
      <c r="BW199" s="69"/>
      <c r="BX199" s="69"/>
      <c r="BY199" s="69"/>
      <c r="BZ199" s="69"/>
      <c r="CA199" s="69"/>
      <c r="CB199" s="69"/>
      <c r="CC199" s="69"/>
      <c r="CD199" s="69"/>
      <c r="CE199" s="69"/>
      <c r="CF199" s="69"/>
      <c r="CG199" s="69"/>
      <c r="CH199" s="69"/>
      <c r="CI199" s="69"/>
      <c r="CJ199" s="69"/>
      <c r="CK199" s="69"/>
      <c r="CL199" s="69"/>
      <c r="CM199" s="69"/>
      <c r="CN199" s="69"/>
      <c r="CO199" s="69"/>
    </row>
    <row r="200" spans="1:93" ht="12.75" customHeight="1">
      <c r="A200" s="784"/>
      <c r="B200" s="69"/>
      <c r="C200" s="69"/>
      <c r="D200" s="69"/>
      <c r="E200" s="69"/>
      <c r="F200" s="69"/>
      <c r="G200" s="77"/>
      <c r="H200" s="77"/>
      <c r="I200" s="77"/>
      <c r="J200" s="366"/>
      <c r="K200" s="77"/>
      <c r="L200" s="77"/>
      <c r="M200" s="77"/>
      <c r="N200" s="77"/>
      <c r="O200" s="69"/>
      <c r="P200" s="69"/>
      <c r="Q200" s="69"/>
      <c r="R200" s="69"/>
      <c r="S200" s="77"/>
      <c r="T200" s="77"/>
      <c r="U200" s="69"/>
      <c r="V200" s="69"/>
      <c r="W200" s="69"/>
      <c r="X200" s="69"/>
      <c r="Y200" s="69"/>
      <c r="Z200" s="69"/>
      <c r="AA200" s="69"/>
      <c r="AB200" s="69"/>
      <c r="AC200" s="207"/>
      <c r="AD200" s="207"/>
      <c r="AE200" s="207"/>
      <c r="AF200" s="207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9"/>
      <c r="AV200" s="69"/>
      <c r="AW200" s="69"/>
      <c r="AX200" s="69"/>
      <c r="AY200" s="69"/>
      <c r="AZ200" s="69"/>
      <c r="BA200" s="69"/>
      <c r="BB200" s="69"/>
      <c r="BC200" s="69"/>
      <c r="BD200" s="69"/>
      <c r="BE200" s="69"/>
      <c r="BF200" s="69"/>
      <c r="BG200" s="69"/>
      <c r="BH200" s="69"/>
      <c r="BI200" s="69"/>
      <c r="BJ200" s="69"/>
      <c r="BK200" s="69"/>
      <c r="BL200" s="69"/>
      <c r="BM200" s="69"/>
      <c r="BN200" s="69"/>
      <c r="BO200" s="69"/>
      <c r="BP200" s="69"/>
      <c r="BQ200" s="69"/>
      <c r="BR200" s="69"/>
      <c r="BS200" s="69"/>
      <c r="BT200" s="69"/>
      <c r="BU200" s="69"/>
      <c r="BV200" s="69"/>
      <c r="BW200" s="69"/>
      <c r="BX200" s="69"/>
      <c r="BY200" s="69"/>
      <c r="BZ200" s="69"/>
      <c r="CA200" s="69"/>
      <c r="CB200" s="69"/>
      <c r="CC200" s="69"/>
      <c r="CD200" s="69"/>
      <c r="CE200" s="69"/>
      <c r="CF200" s="69"/>
      <c r="CG200" s="69"/>
      <c r="CH200" s="69"/>
      <c r="CI200" s="69"/>
      <c r="CJ200" s="69"/>
      <c r="CK200" s="69"/>
      <c r="CL200" s="69"/>
      <c r="CM200" s="69"/>
      <c r="CN200" s="69"/>
      <c r="CO200" s="69"/>
    </row>
    <row r="201" spans="1:93" ht="12.75" customHeight="1">
      <c r="A201" s="784"/>
      <c r="B201" s="69"/>
      <c r="C201" s="69"/>
      <c r="D201" s="69"/>
      <c r="E201" s="69"/>
      <c r="F201" s="69"/>
      <c r="G201" s="77"/>
      <c r="H201" s="77"/>
      <c r="I201" s="77"/>
      <c r="J201" s="366"/>
      <c r="K201" s="77"/>
      <c r="L201" s="77"/>
      <c r="M201" s="77"/>
      <c r="N201" s="77"/>
      <c r="O201" s="69"/>
      <c r="P201" s="69"/>
      <c r="Q201" s="69"/>
      <c r="R201" s="69"/>
      <c r="S201" s="77"/>
      <c r="T201" s="77"/>
      <c r="U201" s="69"/>
      <c r="V201" s="69"/>
      <c r="W201" s="69"/>
      <c r="X201" s="69"/>
      <c r="Y201" s="69"/>
      <c r="Z201" s="69"/>
      <c r="AA201" s="69"/>
      <c r="AB201" s="69"/>
      <c r="AC201" s="207"/>
      <c r="AD201" s="207"/>
      <c r="AE201" s="207"/>
      <c r="AF201" s="207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69"/>
      <c r="BN201" s="69"/>
      <c r="BO201" s="69"/>
      <c r="BP201" s="69"/>
      <c r="BQ201" s="69"/>
      <c r="BR201" s="69"/>
      <c r="BS201" s="69"/>
      <c r="BT201" s="69"/>
      <c r="BU201" s="69"/>
      <c r="BV201" s="69"/>
      <c r="BW201" s="69"/>
      <c r="BX201" s="69"/>
      <c r="BY201" s="69"/>
      <c r="BZ201" s="69"/>
      <c r="CA201" s="69"/>
      <c r="CB201" s="69"/>
      <c r="CC201" s="69"/>
      <c r="CD201" s="69"/>
      <c r="CE201" s="69"/>
      <c r="CF201" s="69"/>
      <c r="CG201" s="69"/>
      <c r="CH201" s="69"/>
      <c r="CI201" s="69"/>
      <c r="CJ201" s="69"/>
      <c r="CK201" s="69"/>
      <c r="CL201" s="69"/>
      <c r="CM201" s="69"/>
      <c r="CN201" s="69"/>
      <c r="CO201" s="69"/>
    </row>
    <row r="202" spans="1:93" ht="12.75" customHeight="1">
      <c r="A202" s="784"/>
      <c r="B202" s="69"/>
      <c r="C202" s="69"/>
      <c r="D202" s="69"/>
      <c r="E202" s="69"/>
      <c r="F202" s="69"/>
      <c r="G202" s="77"/>
      <c r="H202" s="77"/>
      <c r="I202" s="77"/>
      <c r="J202" s="366"/>
      <c r="K202" s="77"/>
      <c r="L202" s="77"/>
      <c r="M202" s="77"/>
      <c r="N202" s="77"/>
      <c r="O202" s="69"/>
      <c r="P202" s="69"/>
      <c r="Q202" s="69"/>
      <c r="R202" s="69"/>
      <c r="S202" s="77"/>
      <c r="T202" s="77"/>
      <c r="U202" s="69"/>
      <c r="V202" s="69"/>
      <c r="W202" s="69"/>
      <c r="X202" s="69"/>
      <c r="Y202" s="69"/>
      <c r="Z202" s="69"/>
      <c r="AA202" s="69"/>
      <c r="AB202" s="69"/>
      <c r="AC202" s="207"/>
      <c r="AD202" s="207"/>
      <c r="AE202" s="207"/>
      <c r="AF202" s="207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9"/>
      <c r="AV202" s="69"/>
      <c r="AW202" s="69"/>
      <c r="AX202" s="69"/>
      <c r="AY202" s="69"/>
      <c r="AZ202" s="69"/>
      <c r="BA202" s="69"/>
      <c r="BB202" s="69"/>
      <c r="BC202" s="69"/>
      <c r="BD202" s="69"/>
      <c r="BE202" s="69"/>
      <c r="BF202" s="69"/>
      <c r="BG202" s="69"/>
      <c r="BH202" s="69"/>
      <c r="BI202" s="69"/>
      <c r="BJ202" s="69"/>
      <c r="BK202" s="69"/>
      <c r="BL202" s="69"/>
      <c r="BM202" s="69"/>
      <c r="BN202" s="69"/>
      <c r="BO202" s="69"/>
      <c r="BP202" s="69"/>
      <c r="BQ202" s="69"/>
      <c r="BR202" s="69"/>
      <c r="BS202" s="69"/>
      <c r="BT202" s="69"/>
      <c r="BU202" s="69"/>
      <c r="BV202" s="69"/>
      <c r="BW202" s="69"/>
      <c r="BX202" s="69"/>
      <c r="BY202" s="69"/>
      <c r="BZ202" s="69"/>
      <c r="CA202" s="69"/>
      <c r="CB202" s="69"/>
      <c r="CC202" s="69"/>
      <c r="CD202" s="69"/>
      <c r="CE202" s="69"/>
      <c r="CF202" s="69"/>
      <c r="CG202" s="69"/>
      <c r="CH202" s="69"/>
      <c r="CI202" s="69"/>
      <c r="CJ202" s="69"/>
      <c r="CK202" s="69"/>
      <c r="CL202" s="69"/>
      <c r="CM202" s="69"/>
      <c r="CN202" s="69"/>
      <c r="CO202" s="69"/>
    </row>
    <row r="203" spans="1:93" ht="12.75" customHeight="1">
      <c r="A203" s="784"/>
      <c r="B203" s="69"/>
      <c r="C203" s="69"/>
      <c r="D203" s="69"/>
      <c r="E203" s="69"/>
      <c r="F203" s="69"/>
      <c r="G203" s="77"/>
      <c r="H203" s="77"/>
      <c r="I203" s="77"/>
      <c r="J203" s="366"/>
      <c r="K203" s="77"/>
      <c r="L203" s="77"/>
      <c r="M203" s="77"/>
      <c r="N203" s="77"/>
      <c r="O203" s="69"/>
      <c r="P203" s="69"/>
      <c r="Q203" s="69"/>
      <c r="R203" s="69"/>
      <c r="S203" s="77"/>
      <c r="T203" s="77"/>
      <c r="U203" s="69"/>
      <c r="V203" s="69"/>
      <c r="W203" s="69"/>
      <c r="X203" s="69"/>
      <c r="Y203" s="69"/>
      <c r="Z203" s="69"/>
      <c r="AA203" s="69"/>
      <c r="AB203" s="69"/>
      <c r="AC203" s="207"/>
      <c r="AD203" s="207"/>
      <c r="AE203" s="207"/>
      <c r="AF203" s="207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9"/>
      <c r="AV203" s="69"/>
      <c r="AW203" s="69"/>
      <c r="AX203" s="69"/>
      <c r="AY203" s="69"/>
      <c r="AZ203" s="69"/>
      <c r="BA203" s="69"/>
      <c r="BB203" s="69"/>
      <c r="BC203" s="69"/>
      <c r="BD203" s="69"/>
      <c r="BE203" s="69"/>
      <c r="BF203" s="69"/>
      <c r="BG203" s="69"/>
      <c r="BH203" s="69"/>
      <c r="BI203" s="69"/>
      <c r="BJ203" s="69"/>
      <c r="BK203" s="69"/>
      <c r="BL203" s="69"/>
      <c r="BM203" s="69"/>
      <c r="BN203" s="69"/>
      <c r="BO203" s="69"/>
      <c r="BP203" s="69"/>
      <c r="BQ203" s="69"/>
      <c r="BR203" s="69"/>
      <c r="BS203" s="69"/>
      <c r="BT203" s="69"/>
      <c r="BU203" s="69"/>
      <c r="BV203" s="69"/>
      <c r="BW203" s="69"/>
      <c r="BX203" s="69"/>
      <c r="BY203" s="69"/>
      <c r="BZ203" s="69"/>
      <c r="CA203" s="69"/>
      <c r="CB203" s="69"/>
      <c r="CC203" s="69"/>
      <c r="CD203" s="69"/>
      <c r="CE203" s="69"/>
      <c r="CF203" s="69"/>
      <c r="CG203" s="69"/>
      <c r="CH203" s="69"/>
      <c r="CI203" s="69"/>
      <c r="CJ203" s="69"/>
      <c r="CK203" s="69"/>
      <c r="CL203" s="69"/>
      <c r="CM203" s="69"/>
      <c r="CN203" s="69"/>
      <c r="CO203" s="69"/>
    </row>
    <row r="204" spans="1:93" ht="12.75" customHeight="1">
      <c r="A204" s="784"/>
      <c r="B204" s="69"/>
      <c r="C204" s="69"/>
      <c r="D204" s="69"/>
      <c r="E204" s="69"/>
      <c r="F204" s="69"/>
      <c r="G204" s="77"/>
      <c r="H204" s="77"/>
      <c r="I204" s="77"/>
      <c r="J204" s="366"/>
      <c r="K204" s="77"/>
      <c r="L204" s="77"/>
      <c r="M204" s="77"/>
      <c r="N204" s="77"/>
      <c r="O204" s="69"/>
      <c r="P204" s="69"/>
      <c r="Q204" s="69"/>
      <c r="R204" s="69"/>
      <c r="S204" s="77"/>
      <c r="T204" s="77"/>
      <c r="U204" s="69"/>
      <c r="V204" s="69"/>
      <c r="W204" s="69"/>
      <c r="X204" s="69"/>
      <c r="Y204" s="69"/>
      <c r="Z204" s="69"/>
      <c r="AA204" s="69"/>
      <c r="AB204" s="69"/>
      <c r="AC204" s="207"/>
      <c r="AD204" s="207"/>
      <c r="AE204" s="207"/>
      <c r="AF204" s="207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9"/>
      <c r="AV204" s="69"/>
      <c r="AW204" s="69"/>
      <c r="AX204" s="69"/>
      <c r="AY204" s="69"/>
      <c r="AZ204" s="69"/>
      <c r="BA204" s="69"/>
      <c r="BB204" s="69"/>
      <c r="BC204" s="69"/>
      <c r="BD204" s="69"/>
      <c r="BE204" s="69"/>
      <c r="BF204" s="69"/>
      <c r="BG204" s="69"/>
      <c r="BH204" s="69"/>
      <c r="BI204" s="69"/>
      <c r="BJ204" s="69"/>
      <c r="BK204" s="69"/>
      <c r="BL204" s="69"/>
      <c r="BM204" s="69"/>
      <c r="BN204" s="69"/>
      <c r="BO204" s="69"/>
      <c r="BP204" s="69"/>
      <c r="BQ204" s="69"/>
      <c r="BR204" s="69"/>
      <c r="BS204" s="69"/>
      <c r="BT204" s="69"/>
      <c r="BU204" s="69"/>
      <c r="BV204" s="69"/>
      <c r="BW204" s="69"/>
      <c r="BX204" s="69"/>
      <c r="BY204" s="69"/>
      <c r="BZ204" s="69"/>
      <c r="CA204" s="69"/>
      <c r="CB204" s="69"/>
      <c r="CC204" s="69"/>
      <c r="CD204" s="69"/>
      <c r="CE204" s="69"/>
      <c r="CF204" s="69"/>
      <c r="CG204" s="69"/>
      <c r="CH204" s="69"/>
      <c r="CI204" s="69"/>
      <c r="CJ204" s="69"/>
      <c r="CK204" s="69"/>
      <c r="CL204" s="69"/>
      <c r="CM204" s="69"/>
      <c r="CN204" s="69"/>
      <c r="CO204" s="69"/>
    </row>
    <row r="205" spans="1:93" ht="12.75" customHeight="1">
      <c r="A205" s="784"/>
      <c r="B205" s="69"/>
      <c r="C205" s="69"/>
      <c r="D205" s="69"/>
      <c r="E205" s="69"/>
      <c r="F205" s="69"/>
      <c r="G205" s="77"/>
      <c r="H205" s="77"/>
      <c r="I205" s="77"/>
      <c r="J205" s="366"/>
      <c r="K205" s="77"/>
      <c r="L205" s="77"/>
      <c r="M205" s="77"/>
      <c r="N205" s="77"/>
      <c r="O205" s="69"/>
      <c r="P205" s="69"/>
      <c r="Q205" s="69"/>
      <c r="R205" s="69"/>
      <c r="S205" s="77"/>
      <c r="T205" s="77"/>
      <c r="U205" s="69"/>
      <c r="V205" s="69"/>
      <c r="W205" s="69"/>
      <c r="X205" s="69"/>
      <c r="Y205" s="69"/>
      <c r="Z205" s="69"/>
      <c r="AA205" s="69"/>
      <c r="AB205" s="69"/>
      <c r="AC205" s="207"/>
      <c r="AD205" s="207"/>
      <c r="AE205" s="207"/>
      <c r="AF205" s="207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  <c r="BP205" s="69"/>
      <c r="BQ205" s="69"/>
      <c r="BR205" s="69"/>
      <c r="BS205" s="69"/>
      <c r="BT205" s="69"/>
      <c r="BU205" s="69"/>
      <c r="BV205" s="69"/>
      <c r="BW205" s="69"/>
      <c r="BX205" s="69"/>
      <c r="BY205" s="69"/>
      <c r="BZ205" s="69"/>
      <c r="CA205" s="69"/>
      <c r="CB205" s="69"/>
      <c r="CC205" s="69"/>
      <c r="CD205" s="69"/>
      <c r="CE205" s="69"/>
      <c r="CF205" s="69"/>
      <c r="CG205" s="69"/>
      <c r="CH205" s="69"/>
      <c r="CI205" s="69"/>
      <c r="CJ205" s="69"/>
      <c r="CK205" s="69"/>
      <c r="CL205" s="69"/>
      <c r="CM205" s="69"/>
      <c r="CN205" s="69"/>
      <c r="CO205" s="69"/>
    </row>
    <row r="206" spans="1:93" ht="12.75" customHeight="1">
      <c r="A206" s="784"/>
      <c r="B206" s="69"/>
      <c r="C206" s="69"/>
      <c r="D206" s="69"/>
      <c r="E206" s="69"/>
      <c r="F206" s="69"/>
      <c r="G206" s="77"/>
      <c r="H206" s="77"/>
      <c r="I206" s="77"/>
      <c r="J206" s="366"/>
      <c r="K206" s="77"/>
      <c r="L206" s="77"/>
      <c r="M206" s="77"/>
      <c r="N206" s="77"/>
      <c r="O206" s="69"/>
      <c r="P206" s="69"/>
      <c r="Q206" s="69"/>
      <c r="R206" s="69"/>
      <c r="S206" s="77"/>
      <c r="T206" s="77"/>
      <c r="U206" s="69"/>
      <c r="V206" s="69"/>
      <c r="W206" s="69"/>
      <c r="X206" s="69"/>
      <c r="Y206" s="69"/>
      <c r="Z206" s="69"/>
      <c r="AA206" s="69"/>
      <c r="AB206" s="69"/>
      <c r="AC206" s="207"/>
      <c r="AD206" s="207"/>
      <c r="AE206" s="207"/>
      <c r="AF206" s="207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9"/>
      <c r="BQ206" s="69"/>
      <c r="BR206" s="69"/>
      <c r="BS206" s="69"/>
      <c r="BT206" s="69"/>
      <c r="BU206" s="69"/>
      <c r="BV206" s="69"/>
      <c r="BW206" s="69"/>
      <c r="BX206" s="69"/>
      <c r="BY206" s="69"/>
      <c r="BZ206" s="69"/>
      <c r="CA206" s="69"/>
      <c r="CB206" s="69"/>
      <c r="CC206" s="69"/>
      <c r="CD206" s="69"/>
      <c r="CE206" s="69"/>
      <c r="CF206" s="69"/>
      <c r="CG206" s="69"/>
      <c r="CH206" s="69"/>
      <c r="CI206" s="69"/>
      <c r="CJ206" s="69"/>
      <c r="CK206" s="69"/>
      <c r="CL206" s="69"/>
      <c r="CM206" s="69"/>
      <c r="CN206" s="69"/>
      <c r="CO206" s="69"/>
    </row>
    <row r="207" spans="1:93" ht="12.75" customHeight="1">
      <c r="A207" s="784"/>
      <c r="B207" s="69"/>
      <c r="C207" s="69"/>
      <c r="D207" s="69"/>
      <c r="E207" s="69"/>
      <c r="F207" s="69"/>
      <c r="G207" s="77"/>
      <c r="H207" s="77"/>
      <c r="I207" s="77"/>
      <c r="J207" s="366"/>
      <c r="K207" s="77"/>
      <c r="L207" s="77"/>
      <c r="M207" s="77"/>
      <c r="N207" s="77"/>
      <c r="O207" s="69"/>
      <c r="P207" s="69"/>
      <c r="Q207" s="69"/>
      <c r="R207" s="69"/>
      <c r="S207" s="77"/>
      <c r="T207" s="77"/>
      <c r="U207" s="69"/>
      <c r="V207" s="69"/>
      <c r="W207" s="69"/>
      <c r="X207" s="69"/>
      <c r="Y207" s="69"/>
      <c r="Z207" s="69"/>
      <c r="AA207" s="69"/>
      <c r="AB207" s="69"/>
      <c r="AC207" s="207"/>
      <c r="AD207" s="207"/>
      <c r="AE207" s="207"/>
      <c r="AF207" s="207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  <c r="BP207" s="69"/>
      <c r="BQ207" s="69"/>
      <c r="BR207" s="69"/>
      <c r="BS207" s="69"/>
      <c r="BT207" s="69"/>
      <c r="BU207" s="69"/>
      <c r="BV207" s="69"/>
      <c r="BW207" s="69"/>
      <c r="BX207" s="69"/>
      <c r="BY207" s="69"/>
      <c r="BZ207" s="69"/>
      <c r="CA207" s="69"/>
      <c r="CB207" s="69"/>
      <c r="CC207" s="69"/>
      <c r="CD207" s="69"/>
      <c r="CE207" s="69"/>
      <c r="CF207" s="69"/>
      <c r="CG207" s="69"/>
      <c r="CH207" s="69"/>
      <c r="CI207" s="69"/>
      <c r="CJ207" s="69"/>
      <c r="CK207" s="69"/>
      <c r="CL207" s="69"/>
      <c r="CM207" s="69"/>
      <c r="CN207" s="69"/>
      <c r="CO207" s="69"/>
    </row>
    <row r="208" spans="1:93" ht="12.75" customHeight="1">
      <c r="A208" s="784"/>
      <c r="B208" s="69"/>
      <c r="C208" s="69"/>
      <c r="D208" s="69"/>
      <c r="E208" s="69"/>
      <c r="F208" s="69"/>
      <c r="G208" s="77"/>
      <c r="H208" s="77"/>
      <c r="I208" s="77"/>
      <c r="J208" s="366"/>
      <c r="K208" s="77"/>
      <c r="L208" s="77"/>
      <c r="M208" s="77"/>
      <c r="N208" s="77"/>
      <c r="O208" s="69"/>
      <c r="P208" s="69"/>
      <c r="Q208" s="69"/>
      <c r="R208" s="69"/>
      <c r="S208" s="77"/>
      <c r="T208" s="77"/>
      <c r="U208" s="69"/>
      <c r="V208" s="69"/>
      <c r="W208" s="69"/>
      <c r="X208" s="69"/>
      <c r="Y208" s="69"/>
      <c r="Z208" s="69"/>
      <c r="AA208" s="69"/>
      <c r="AB208" s="69"/>
      <c r="AC208" s="207"/>
      <c r="AD208" s="207"/>
      <c r="AE208" s="207"/>
      <c r="AF208" s="207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  <c r="BP208" s="69"/>
      <c r="BQ208" s="69"/>
      <c r="BR208" s="69"/>
      <c r="BS208" s="69"/>
      <c r="BT208" s="69"/>
      <c r="BU208" s="69"/>
      <c r="BV208" s="69"/>
      <c r="BW208" s="69"/>
      <c r="BX208" s="69"/>
      <c r="BY208" s="69"/>
      <c r="BZ208" s="69"/>
      <c r="CA208" s="69"/>
      <c r="CB208" s="69"/>
      <c r="CC208" s="69"/>
      <c r="CD208" s="69"/>
      <c r="CE208" s="69"/>
      <c r="CF208" s="69"/>
      <c r="CG208" s="69"/>
      <c r="CH208" s="69"/>
      <c r="CI208" s="69"/>
      <c r="CJ208" s="69"/>
      <c r="CK208" s="69"/>
      <c r="CL208" s="69"/>
      <c r="CM208" s="69"/>
      <c r="CN208" s="69"/>
      <c r="CO208" s="69"/>
    </row>
    <row r="209" spans="1:93" ht="12.75" customHeight="1">
      <c r="A209" s="784"/>
      <c r="B209" s="69"/>
      <c r="C209" s="69"/>
      <c r="D209" s="69"/>
      <c r="E209" s="69"/>
      <c r="F209" s="69"/>
      <c r="G209" s="77"/>
      <c r="H209" s="77"/>
      <c r="I209" s="77"/>
      <c r="J209" s="366"/>
      <c r="K209" s="77"/>
      <c r="L209" s="77"/>
      <c r="M209" s="77"/>
      <c r="N209" s="77"/>
      <c r="O209" s="69"/>
      <c r="P209" s="69"/>
      <c r="Q209" s="69"/>
      <c r="R209" s="69"/>
      <c r="S209" s="77"/>
      <c r="T209" s="77"/>
      <c r="U209" s="69"/>
      <c r="V209" s="69"/>
      <c r="W209" s="69"/>
      <c r="X209" s="69"/>
      <c r="Y209" s="69"/>
      <c r="Z209" s="69"/>
      <c r="AA209" s="69"/>
      <c r="AB209" s="69"/>
      <c r="AC209" s="207"/>
      <c r="AD209" s="207"/>
      <c r="AE209" s="207"/>
      <c r="AF209" s="207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  <c r="BP209" s="69"/>
      <c r="BQ209" s="69"/>
      <c r="BR209" s="69"/>
      <c r="BS209" s="69"/>
      <c r="BT209" s="69"/>
      <c r="BU209" s="69"/>
      <c r="BV209" s="69"/>
      <c r="BW209" s="69"/>
      <c r="BX209" s="69"/>
      <c r="BY209" s="69"/>
      <c r="BZ209" s="69"/>
      <c r="CA209" s="69"/>
      <c r="CB209" s="69"/>
      <c r="CC209" s="69"/>
      <c r="CD209" s="69"/>
      <c r="CE209" s="69"/>
      <c r="CF209" s="69"/>
      <c r="CG209" s="69"/>
      <c r="CH209" s="69"/>
      <c r="CI209" s="69"/>
      <c r="CJ209" s="69"/>
      <c r="CK209" s="69"/>
      <c r="CL209" s="69"/>
      <c r="CM209" s="69"/>
      <c r="CN209" s="69"/>
      <c r="CO209" s="69"/>
    </row>
    <row r="210" spans="1:93" ht="12.75" customHeight="1">
      <c r="A210" s="784"/>
      <c r="B210" s="69"/>
      <c r="C210" s="69"/>
      <c r="D210" s="69"/>
      <c r="E210" s="69"/>
      <c r="F210" s="69"/>
      <c r="G210" s="77"/>
      <c r="H210" s="77"/>
      <c r="I210" s="77"/>
      <c r="J210" s="366"/>
      <c r="K210" s="77"/>
      <c r="L210" s="77"/>
      <c r="M210" s="77"/>
      <c r="N210" s="77"/>
      <c r="O210" s="69"/>
      <c r="P210" s="69"/>
      <c r="Q210" s="69"/>
      <c r="R210" s="69"/>
      <c r="S210" s="77"/>
      <c r="T210" s="77"/>
      <c r="U210" s="69"/>
      <c r="V210" s="69"/>
      <c r="W210" s="69"/>
      <c r="X210" s="69"/>
      <c r="Y210" s="69"/>
      <c r="Z210" s="69"/>
      <c r="AA210" s="69"/>
      <c r="AB210" s="69"/>
      <c r="AC210" s="207"/>
      <c r="AD210" s="207"/>
      <c r="AE210" s="207"/>
      <c r="AF210" s="207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  <c r="BM210" s="69"/>
      <c r="BN210" s="69"/>
      <c r="BO210" s="69"/>
      <c r="BP210" s="69"/>
      <c r="BQ210" s="69"/>
      <c r="BR210" s="69"/>
      <c r="BS210" s="69"/>
      <c r="BT210" s="69"/>
      <c r="BU210" s="69"/>
      <c r="BV210" s="69"/>
      <c r="BW210" s="69"/>
      <c r="BX210" s="69"/>
      <c r="BY210" s="69"/>
      <c r="BZ210" s="69"/>
      <c r="CA210" s="69"/>
      <c r="CB210" s="69"/>
      <c r="CC210" s="69"/>
      <c r="CD210" s="69"/>
      <c r="CE210" s="69"/>
      <c r="CF210" s="69"/>
      <c r="CG210" s="69"/>
      <c r="CH210" s="69"/>
      <c r="CI210" s="69"/>
      <c r="CJ210" s="69"/>
      <c r="CK210" s="69"/>
      <c r="CL210" s="69"/>
      <c r="CM210" s="69"/>
      <c r="CN210" s="69"/>
      <c r="CO210" s="69"/>
    </row>
    <row r="211" spans="1:93" ht="12.75" customHeight="1">
      <c r="A211" s="784"/>
      <c r="B211" s="69"/>
      <c r="C211" s="69"/>
      <c r="D211" s="69"/>
      <c r="E211" s="69"/>
      <c r="F211" s="69"/>
      <c r="G211" s="77"/>
      <c r="H211" s="77"/>
      <c r="I211" s="77"/>
      <c r="J211" s="366"/>
      <c r="K211" s="77"/>
      <c r="L211" s="77"/>
      <c r="M211" s="77"/>
      <c r="N211" s="77"/>
      <c r="O211" s="69"/>
      <c r="P211" s="69"/>
      <c r="Q211" s="69"/>
      <c r="R211" s="69"/>
      <c r="S211" s="77"/>
      <c r="T211" s="77"/>
      <c r="U211" s="69"/>
      <c r="V211" s="69"/>
      <c r="W211" s="69"/>
      <c r="X211" s="69"/>
      <c r="Y211" s="69"/>
      <c r="Z211" s="69"/>
      <c r="AA211" s="69"/>
      <c r="AB211" s="69"/>
      <c r="AC211" s="207"/>
      <c r="AD211" s="207"/>
      <c r="AE211" s="207"/>
      <c r="AF211" s="207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  <c r="BP211" s="69"/>
      <c r="BQ211" s="69"/>
      <c r="BR211" s="69"/>
      <c r="BS211" s="69"/>
      <c r="BT211" s="69"/>
      <c r="BU211" s="69"/>
      <c r="BV211" s="69"/>
      <c r="BW211" s="69"/>
      <c r="BX211" s="69"/>
      <c r="BY211" s="69"/>
      <c r="BZ211" s="69"/>
      <c r="CA211" s="69"/>
      <c r="CB211" s="69"/>
      <c r="CC211" s="69"/>
      <c r="CD211" s="69"/>
      <c r="CE211" s="69"/>
      <c r="CF211" s="69"/>
      <c r="CG211" s="69"/>
      <c r="CH211" s="69"/>
      <c r="CI211" s="69"/>
      <c r="CJ211" s="69"/>
      <c r="CK211" s="69"/>
      <c r="CL211" s="69"/>
      <c r="CM211" s="69"/>
      <c r="CN211" s="69"/>
      <c r="CO211" s="69"/>
    </row>
    <row r="212" spans="1:93" ht="12.75" customHeight="1">
      <c r="A212" s="784"/>
      <c r="B212" s="69"/>
      <c r="C212" s="69"/>
      <c r="D212" s="69"/>
      <c r="E212" s="69"/>
      <c r="F212" s="69"/>
      <c r="G212" s="77"/>
      <c r="H212" s="77"/>
      <c r="I212" s="77"/>
      <c r="J212" s="366"/>
      <c r="K212" s="77"/>
      <c r="L212" s="77"/>
      <c r="M212" s="77"/>
      <c r="N212" s="77"/>
      <c r="O212" s="69"/>
      <c r="P212" s="69"/>
      <c r="Q212" s="69"/>
      <c r="R212" s="69"/>
      <c r="S212" s="77"/>
      <c r="T212" s="77"/>
      <c r="U212" s="69"/>
      <c r="V212" s="69"/>
      <c r="W212" s="69"/>
      <c r="X212" s="69"/>
      <c r="Y212" s="69"/>
      <c r="Z212" s="69"/>
      <c r="AA212" s="69"/>
      <c r="AB212" s="69"/>
      <c r="AC212" s="207"/>
      <c r="AD212" s="207"/>
      <c r="AE212" s="207"/>
      <c r="AF212" s="207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  <c r="BM212" s="69"/>
      <c r="BN212" s="69"/>
      <c r="BO212" s="69"/>
      <c r="BP212" s="69"/>
      <c r="BQ212" s="69"/>
      <c r="BR212" s="69"/>
      <c r="BS212" s="69"/>
      <c r="BT212" s="69"/>
      <c r="BU212" s="69"/>
      <c r="BV212" s="69"/>
      <c r="BW212" s="69"/>
      <c r="BX212" s="69"/>
      <c r="BY212" s="69"/>
      <c r="BZ212" s="69"/>
      <c r="CA212" s="69"/>
      <c r="CB212" s="69"/>
      <c r="CC212" s="69"/>
      <c r="CD212" s="69"/>
      <c r="CE212" s="69"/>
      <c r="CF212" s="69"/>
      <c r="CG212" s="69"/>
      <c r="CH212" s="69"/>
      <c r="CI212" s="69"/>
      <c r="CJ212" s="69"/>
      <c r="CK212" s="69"/>
      <c r="CL212" s="69"/>
      <c r="CM212" s="69"/>
      <c r="CN212" s="69"/>
      <c r="CO212" s="69"/>
    </row>
    <row r="213" spans="1:93" ht="12.75" customHeight="1">
      <c r="A213" s="784"/>
      <c r="B213" s="69"/>
      <c r="C213" s="69"/>
      <c r="D213" s="69"/>
      <c r="E213" s="69"/>
      <c r="F213" s="69"/>
      <c r="G213" s="77"/>
      <c r="H213" s="77"/>
      <c r="I213" s="77"/>
      <c r="J213" s="366"/>
      <c r="K213" s="77"/>
      <c r="L213" s="77"/>
      <c r="M213" s="77"/>
      <c r="N213" s="77"/>
      <c r="O213" s="69"/>
      <c r="P213" s="69"/>
      <c r="Q213" s="69"/>
      <c r="R213" s="69"/>
      <c r="S213" s="77"/>
      <c r="T213" s="77"/>
      <c r="U213" s="69"/>
      <c r="V213" s="69"/>
      <c r="W213" s="69"/>
      <c r="X213" s="69"/>
      <c r="Y213" s="69"/>
      <c r="Z213" s="69"/>
      <c r="AA213" s="69"/>
      <c r="AB213" s="69"/>
      <c r="AC213" s="207"/>
      <c r="AD213" s="207"/>
      <c r="AE213" s="207"/>
      <c r="AF213" s="207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Q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  <c r="BP213" s="69"/>
      <c r="BQ213" s="69"/>
      <c r="BR213" s="69"/>
      <c r="BS213" s="69"/>
      <c r="BT213" s="69"/>
      <c r="BU213" s="69"/>
      <c r="BV213" s="69"/>
      <c r="BW213" s="69"/>
      <c r="BX213" s="69"/>
      <c r="BY213" s="69"/>
      <c r="BZ213" s="69"/>
      <c r="CA213" s="69"/>
      <c r="CB213" s="69"/>
      <c r="CC213" s="69"/>
      <c r="CD213" s="69"/>
      <c r="CE213" s="69"/>
      <c r="CF213" s="69"/>
      <c r="CG213" s="69"/>
      <c r="CH213" s="69"/>
      <c r="CI213" s="69"/>
      <c r="CJ213" s="69"/>
      <c r="CK213" s="69"/>
      <c r="CL213" s="69"/>
      <c r="CM213" s="69"/>
      <c r="CN213" s="69"/>
      <c r="CO213" s="69"/>
    </row>
    <row r="214" spans="1:93" ht="12.75" customHeight="1">
      <c r="A214" s="784"/>
      <c r="B214" s="69"/>
      <c r="C214" s="69"/>
      <c r="D214" s="69"/>
      <c r="E214" s="69"/>
      <c r="F214" s="69"/>
      <c r="G214" s="77"/>
      <c r="H214" s="77"/>
      <c r="I214" s="77"/>
      <c r="J214" s="366"/>
      <c r="K214" s="77"/>
      <c r="L214" s="77"/>
      <c r="M214" s="77"/>
      <c r="N214" s="77"/>
      <c r="O214" s="69"/>
      <c r="P214" s="69"/>
      <c r="Q214" s="69"/>
      <c r="R214" s="69"/>
      <c r="S214" s="77"/>
      <c r="T214" s="77"/>
      <c r="U214" s="69"/>
      <c r="V214" s="69"/>
      <c r="W214" s="69"/>
      <c r="X214" s="69"/>
      <c r="Y214" s="69"/>
      <c r="Z214" s="69"/>
      <c r="AA214" s="69"/>
      <c r="AB214" s="69"/>
      <c r="AC214" s="207"/>
      <c r="AD214" s="207"/>
      <c r="AE214" s="207"/>
      <c r="AF214" s="207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Q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  <c r="BM214" s="69"/>
      <c r="BN214" s="69"/>
      <c r="BO214" s="69"/>
      <c r="BP214" s="69"/>
      <c r="BQ214" s="69"/>
      <c r="BR214" s="69"/>
      <c r="BS214" s="69"/>
      <c r="BT214" s="69"/>
      <c r="BU214" s="69"/>
      <c r="BV214" s="69"/>
      <c r="BW214" s="69"/>
      <c r="BX214" s="69"/>
      <c r="BY214" s="69"/>
      <c r="BZ214" s="69"/>
      <c r="CA214" s="69"/>
      <c r="CB214" s="69"/>
      <c r="CC214" s="69"/>
      <c r="CD214" s="69"/>
      <c r="CE214" s="69"/>
      <c r="CF214" s="69"/>
      <c r="CG214" s="69"/>
      <c r="CH214" s="69"/>
      <c r="CI214" s="69"/>
      <c r="CJ214" s="69"/>
      <c r="CK214" s="69"/>
      <c r="CL214" s="69"/>
      <c r="CM214" s="69"/>
      <c r="CN214" s="69"/>
      <c r="CO214" s="69"/>
    </row>
    <row r="215" spans="1:93" ht="12.75" customHeight="1">
      <c r="A215" s="784"/>
      <c r="B215" s="69"/>
      <c r="C215" s="69"/>
      <c r="D215" s="69"/>
      <c r="E215" s="69"/>
      <c r="F215" s="69"/>
      <c r="G215" s="77"/>
      <c r="H215" s="77"/>
      <c r="I215" s="77"/>
      <c r="J215" s="366"/>
      <c r="K215" s="77"/>
      <c r="L215" s="77"/>
      <c r="M215" s="77"/>
      <c r="N215" s="77"/>
      <c r="O215" s="69"/>
      <c r="P215" s="69"/>
      <c r="Q215" s="69"/>
      <c r="R215" s="69"/>
      <c r="S215" s="77"/>
      <c r="T215" s="77"/>
      <c r="U215" s="69"/>
      <c r="V215" s="69"/>
      <c r="W215" s="69"/>
      <c r="X215" s="69"/>
      <c r="Y215" s="69"/>
      <c r="Z215" s="69"/>
      <c r="AA215" s="69"/>
      <c r="AB215" s="69"/>
      <c r="AC215" s="207"/>
      <c r="AD215" s="207"/>
      <c r="AE215" s="207"/>
      <c r="AF215" s="207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Q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  <c r="BP215" s="69"/>
      <c r="BQ215" s="69"/>
      <c r="BR215" s="69"/>
      <c r="BS215" s="69"/>
      <c r="BT215" s="69"/>
      <c r="BU215" s="69"/>
      <c r="BV215" s="69"/>
      <c r="BW215" s="69"/>
      <c r="BX215" s="69"/>
      <c r="BY215" s="69"/>
      <c r="BZ215" s="69"/>
      <c r="CA215" s="69"/>
      <c r="CB215" s="69"/>
      <c r="CC215" s="69"/>
      <c r="CD215" s="69"/>
      <c r="CE215" s="69"/>
      <c r="CF215" s="69"/>
      <c r="CG215" s="69"/>
      <c r="CH215" s="69"/>
      <c r="CI215" s="69"/>
      <c r="CJ215" s="69"/>
      <c r="CK215" s="69"/>
      <c r="CL215" s="69"/>
      <c r="CM215" s="69"/>
      <c r="CN215" s="69"/>
      <c r="CO215" s="69"/>
    </row>
    <row r="216" spans="1:93" ht="12.75" customHeight="1">
      <c r="A216" s="784"/>
      <c r="B216" s="69"/>
      <c r="C216" s="69"/>
      <c r="D216" s="69"/>
      <c r="E216" s="69"/>
      <c r="F216" s="69"/>
      <c r="G216" s="77"/>
      <c r="H216" s="77"/>
      <c r="I216" s="77"/>
      <c r="J216" s="366"/>
      <c r="K216" s="77"/>
      <c r="L216" s="77"/>
      <c r="M216" s="77"/>
      <c r="N216" s="77"/>
      <c r="O216" s="69"/>
      <c r="P216" s="69"/>
      <c r="Q216" s="69"/>
      <c r="R216" s="69"/>
      <c r="S216" s="77"/>
      <c r="T216" s="77"/>
      <c r="U216" s="69"/>
      <c r="V216" s="69"/>
      <c r="W216" s="69"/>
      <c r="X216" s="69"/>
      <c r="Y216" s="69"/>
      <c r="Z216" s="69"/>
      <c r="AA216" s="69"/>
      <c r="AB216" s="69"/>
      <c r="AC216" s="207"/>
      <c r="AD216" s="207"/>
      <c r="AE216" s="207"/>
      <c r="AF216" s="207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Q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  <c r="BP216" s="69"/>
      <c r="BQ216" s="69"/>
      <c r="BR216" s="69"/>
      <c r="BS216" s="69"/>
      <c r="BT216" s="69"/>
      <c r="BU216" s="69"/>
      <c r="BV216" s="69"/>
      <c r="BW216" s="69"/>
      <c r="BX216" s="69"/>
      <c r="BY216" s="69"/>
      <c r="BZ216" s="69"/>
      <c r="CA216" s="69"/>
      <c r="CB216" s="69"/>
      <c r="CC216" s="69"/>
      <c r="CD216" s="69"/>
      <c r="CE216" s="69"/>
      <c r="CF216" s="69"/>
      <c r="CG216" s="69"/>
      <c r="CH216" s="69"/>
      <c r="CI216" s="69"/>
      <c r="CJ216" s="69"/>
      <c r="CK216" s="69"/>
      <c r="CL216" s="69"/>
      <c r="CM216" s="69"/>
      <c r="CN216" s="69"/>
      <c r="CO216" s="69"/>
    </row>
    <row r="217" spans="1:93" ht="12.75" customHeight="1">
      <c r="A217" s="784"/>
      <c r="B217" s="69"/>
      <c r="C217" s="69"/>
      <c r="D217" s="69"/>
      <c r="E217" s="69"/>
      <c r="F217" s="69"/>
      <c r="G217" s="77"/>
      <c r="H217" s="77"/>
      <c r="I217" s="77"/>
      <c r="J217" s="366"/>
      <c r="K217" s="77"/>
      <c r="L217" s="77"/>
      <c r="M217" s="77"/>
      <c r="N217" s="77"/>
      <c r="O217" s="69"/>
      <c r="P217" s="69"/>
      <c r="Q217" s="69"/>
      <c r="R217" s="69"/>
      <c r="S217" s="77"/>
      <c r="T217" s="77"/>
      <c r="U217" s="69"/>
      <c r="V217" s="69"/>
      <c r="W217" s="69"/>
      <c r="X217" s="69"/>
      <c r="Y217" s="69"/>
      <c r="Z217" s="69"/>
      <c r="AA217" s="69"/>
      <c r="AB217" s="69"/>
      <c r="AC217" s="207"/>
      <c r="AD217" s="207"/>
      <c r="AE217" s="207"/>
      <c r="AF217" s="207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Q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  <c r="BP217" s="69"/>
      <c r="BQ217" s="69"/>
      <c r="BR217" s="69"/>
      <c r="BS217" s="69"/>
      <c r="BT217" s="69"/>
      <c r="BU217" s="69"/>
      <c r="BV217" s="69"/>
      <c r="BW217" s="69"/>
      <c r="BX217" s="69"/>
      <c r="BY217" s="69"/>
      <c r="BZ217" s="69"/>
      <c r="CA217" s="69"/>
      <c r="CB217" s="69"/>
      <c r="CC217" s="69"/>
      <c r="CD217" s="69"/>
      <c r="CE217" s="69"/>
      <c r="CF217" s="69"/>
      <c r="CG217" s="69"/>
      <c r="CH217" s="69"/>
      <c r="CI217" s="69"/>
      <c r="CJ217" s="69"/>
      <c r="CK217" s="69"/>
      <c r="CL217" s="69"/>
      <c r="CM217" s="69"/>
      <c r="CN217" s="69"/>
      <c r="CO217" s="69"/>
    </row>
    <row r="218" spans="1:93" ht="12.75" customHeight="1">
      <c r="A218" s="784"/>
      <c r="B218" s="69"/>
      <c r="C218" s="69"/>
      <c r="D218" s="69"/>
      <c r="E218" s="69"/>
      <c r="F218" s="69"/>
      <c r="G218" s="77"/>
      <c r="H218" s="77"/>
      <c r="I218" s="77"/>
      <c r="J218" s="366"/>
      <c r="K218" s="77"/>
      <c r="L218" s="77"/>
      <c r="M218" s="77"/>
      <c r="N218" s="77"/>
      <c r="O218" s="69"/>
      <c r="P218" s="69"/>
      <c r="Q218" s="69"/>
      <c r="R218" s="69"/>
      <c r="S218" s="77"/>
      <c r="T218" s="77"/>
      <c r="U218" s="69"/>
      <c r="V218" s="69"/>
      <c r="W218" s="69"/>
      <c r="X218" s="69"/>
      <c r="Y218" s="69"/>
      <c r="Z218" s="69"/>
      <c r="AA218" s="69"/>
      <c r="AB218" s="69"/>
      <c r="AC218" s="207"/>
      <c r="AD218" s="207"/>
      <c r="AE218" s="207"/>
      <c r="AF218" s="207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Q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  <c r="BP218" s="69"/>
      <c r="BQ218" s="69"/>
      <c r="BR218" s="69"/>
      <c r="BS218" s="69"/>
      <c r="BT218" s="69"/>
      <c r="BU218" s="69"/>
      <c r="BV218" s="69"/>
      <c r="BW218" s="69"/>
      <c r="BX218" s="69"/>
      <c r="BY218" s="69"/>
      <c r="BZ218" s="69"/>
      <c r="CA218" s="69"/>
      <c r="CB218" s="69"/>
      <c r="CC218" s="69"/>
      <c r="CD218" s="69"/>
      <c r="CE218" s="69"/>
      <c r="CF218" s="69"/>
      <c r="CG218" s="69"/>
      <c r="CH218" s="69"/>
      <c r="CI218" s="69"/>
      <c r="CJ218" s="69"/>
      <c r="CK218" s="69"/>
      <c r="CL218" s="69"/>
      <c r="CM218" s="69"/>
      <c r="CN218" s="69"/>
      <c r="CO218" s="69"/>
    </row>
    <row r="219" spans="1:93" ht="12.75" customHeight="1">
      <c r="A219" s="784"/>
      <c r="B219" s="69"/>
      <c r="C219" s="69"/>
      <c r="D219" s="69"/>
      <c r="E219" s="69"/>
      <c r="F219" s="69"/>
      <c r="G219" s="77"/>
      <c r="H219" s="77"/>
      <c r="I219" s="77"/>
      <c r="J219" s="366"/>
      <c r="K219" s="77"/>
      <c r="L219" s="77"/>
      <c r="M219" s="77"/>
      <c r="N219" s="77"/>
      <c r="O219" s="69"/>
      <c r="P219" s="69"/>
      <c r="Q219" s="69"/>
      <c r="R219" s="69"/>
      <c r="S219" s="77"/>
      <c r="T219" s="77"/>
      <c r="U219" s="69"/>
      <c r="V219" s="69"/>
      <c r="W219" s="69"/>
      <c r="X219" s="69"/>
      <c r="Y219" s="69"/>
      <c r="Z219" s="69"/>
      <c r="AA219" s="69"/>
      <c r="AB219" s="69"/>
      <c r="AC219" s="207"/>
      <c r="AD219" s="207"/>
      <c r="AE219" s="207"/>
      <c r="AF219" s="207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Q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  <c r="BP219" s="69"/>
      <c r="BQ219" s="69"/>
      <c r="BR219" s="69"/>
      <c r="BS219" s="69"/>
      <c r="BT219" s="69"/>
      <c r="BU219" s="69"/>
      <c r="BV219" s="69"/>
      <c r="BW219" s="69"/>
      <c r="BX219" s="69"/>
      <c r="BY219" s="69"/>
      <c r="BZ219" s="69"/>
      <c r="CA219" s="69"/>
      <c r="CB219" s="69"/>
      <c r="CC219" s="69"/>
      <c r="CD219" s="69"/>
      <c r="CE219" s="69"/>
      <c r="CF219" s="69"/>
      <c r="CG219" s="69"/>
      <c r="CH219" s="69"/>
      <c r="CI219" s="69"/>
      <c r="CJ219" s="69"/>
      <c r="CK219" s="69"/>
      <c r="CL219" s="69"/>
      <c r="CM219" s="69"/>
      <c r="CN219" s="69"/>
      <c r="CO219" s="69"/>
    </row>
    <row r="220" spans="1:93" ht="12.75" customHeight="1">
      <c r="A220" s="784"/>
      <c r="B220" s="69"/>
      <c r="C220" s="69"/>
      <c r="D220" s="69"/>
      <c r="E220" s="69"/>
      <c r="F220" s="69"/>
      <c r="G220" s="77"/>
      <c r="H220" s="77"/>
      <c r="I220" s="77"/>
      <c r="J220" s="366"/>
      <c r="K220" s="77"/>
      <c r="L220" s="77"/>
      <c r="M220" s="77"/>
      <c r="N220" s="77"/>
      <c r="O220" s="69"/>
      <c r="P220" s="69"/>
      <c r="Q220" s="69"/>
      <c r="R220" s="69"/>
      <c r="S220" s="77"/>
      <c r="T220" s="77"/>
      <c r="U220" s="69"/>
      <c r="V220" s="69"/>
      <c r="W220" s="69"/>
      <c r="X220" s="69"/>
      <c r="Y220" s="69"/>
      <c r="Z220" s="69"/>
      <c r="AA220" s="69"/>
      <c r="AB220" s="69"/>
      <c r="AC220" s="207"/>
      <c r="AD220" s="207"/>
      <c r="AE220" s="207"/>
      <c r="AF220" s="207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Q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  <c r="BM220" s="69"/>
      <c r="BN220" s="69"/>
      <c r="BO220" s="69"/>
      <c r="BP220" s="69"/>
      <c r="BQ220" s="69"/>
      <c r="BR220" s="69"/>
      <c r="BS220" s="69"/>
      <c r="BT220" s="69"/>
      <c r="BU220" s="69"/>
      <c r="BV220" s="69"/>
      <c r="BW220" s="69"/>
      <c r="BX220" s="69"/>
      <c r="BY220" s="69"/>
      <c r="BZ220" s="69"/>
      <c r="CA220" s="69"/>
      <c r="CB220" s="69"/>
      <c r="CC220" s="69"/>
      <c r="CD220" s="69"/>
      <c r="CE220" s="69"/>
      <c r="CF220" s="69"/>
      <c r="CG220" s="69"/>
      <c r="CH220" s="69"/>
      <c r="CI220" s="69"/>
      <c r="CJ220" s="69"/>
      <c r="CK220" s="69"/>
      <c r="CL220" s="69"/>
      <c r="CM220" s="69"/>
      <c r="CN220" s="69"/>
      <c r="CO220" s="69"/>
    </row>
    <row r="221" spans="1:93" ht="12.75" customHeight="1">
      <c r="A221" s="784"/>
      <c r="B221" s="69"/>
      <c r="C221" s="69"/>
      <c r="D221" s="69"/>
      <c r="E221" s="69"/>
      <c r="F221" s="69"/>
      <c r="G221" s="77"/>
      <c r="H221" s="77"/>
      <c r="I221" s="77"/>
      <c r="J221" s="366"/>
      <c r="K221" s="77"/>
      <c r="L221" s="77"/>
      <c r="M221" s="77"/>
      <c r="N221" s="77"/>
      <c r="O221" s="69"/>
      <c r="P221" s="69"/>
      <c r="Q221" s="69"/>
      <c r="R221" s="69"/>
      <c r="S221" s="77"/>
      <c r="T221" s="77"/>
      <c r="U221" s="69"/>
      <c r="V221" s="69"/>
      <c r="W221" s="69"/>
      <c r="X221" s="69"/>
      <c r="Y221" s="69"/>
      <c r="Z221" s="69"/>
      <c r="AA221" s="69"/>
      <c r="AB221" s="69"/>
      <c r="AC221" s="207"/>
      <c r="AD221" s="207"/>
      <c r="AE221" s="207"/>
      <c r="AF221" s="207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Q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  <c r="BM221" s="69"/>
      <c r="BN221" s="69"/>
      <c r="BO221" s="69"/>
      <c r="BP221" s="69"/>
      <c r="BQ221" s="69"/>
      <c r="BR221" s="69"/>
      <c r="BS221" s="69"/>
      <c r="BT221" s="69"/>
      <c r="BU221" s="69"/>
      <c r="BV221" s="69"/>
      <c r="BW221" s="69"/>
      <c r="BX221" s="69"/>
      <c r="BY221" s="69"/>
      <c r="BZ221" s="69"/>
      <c r="CA221" s="69"/>
      <c r="CB221" s="69"/>
      <c r="CC221" s="69"/>
      <c r="CD221" s="69"/>
      <c r="CE221" s="69"/>
      <c r="CF221" s="69"/>
      <c r="CG221" s="69"/>
      <c r="CH221" s="69"/>
      <c r="CI221" s="69"/>
      <c r="CJ221" s="69"/>
      <c r="CK221" s="69"/>
      <c r="CL221" s="69"/>
      <c r="CM221" s="69"/>
      <c r="CN221" s="69"/>
      <c r="CO221" s="69"/>
    </row>
    <row r="222" spans="1:93" ht="12.75" customHeight="1">
      <c r="A222" s="784"/>
      <c r="B222" s="69"/>
      <c r="C222" s="69"/>
      <c r="D222" s="69"/>
      <c r="E222" s="69"/>
      <c r="F222" s="69"/>
      <c r="G222" s="77"/>
      <c r="H222" s="77"/>
      <c r="I222" s="77"/>
      <c r="J222" s="366"/>
      <c r="K222" s="77"/>
      <c r="L222" s="77"/>
      <c r="M222" s="77"/>
      <c r="N222" s="77"/>
      <c r="O222" s="69"/>
      <c r="P222" s="69"/>
      <c r="Q222" s="69"/>
      <c r="R222" s="69"/>
      <c r="S222" s="77"/>
      <c r="T222" s="77"/>
      <c r="U222" s="69"/>
      <c r="V222" s="69"/>
      <c r="W222" s="69"/>
      <c r="X222" s="69"/>
      <c r="Y222" s="69"/>
      <c r="Z222" s="69"/>
      <c r="AA222" s="69"/>
      <c r="AB222" s="69"/>
      <c r="AC222" s="207"/>
      <c r="AD222" s="207"/>
      <c r="AE222" s="207"/>
      <c r="AF222" s="207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Q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  <c r="BP222" s="69"/>
      <c r="BQ222" s="69"/>
      <c r="BR222" s="69"/>
      <c r="BS222" s="69"/>
      <c r="BT222" s="69"/>
      <c r="BU222" s="69"/>
      <c r="BV222" s="69"/>
      <c r="BW222" s="69"/>
      <c r="BX222" s="69"/>
      <c r="BY222" s="69"/>
      <c r="BZ222" s="69"/>
      <c r="CA222" s="69"/>
      <c r="CB222" s="69"/>
      <c r="CC222" s="69"/>
      <c r="CD222" s="69"/>
      <c r="CE222" s="69"/>
      <c r="CF222" s="69"/>
      <c r="CG222" s="69"/>
      <c r="CH222" s="69"/>
      <c r="CI222" s="69"/>
      <c r="CJ222" s="69"/>
      <c r="CK222" s="69"/>
      <c r="CL222" s="69"/>
      <c r="CM222" s="69"/>
      <c r="CN222" s="69"/>
      <c r="CO222" s="69"/>
    </row>
    <row r="223" spans="1:93" ht="12.75" customHeight="1">
      <c r="A223" s="784"/>
      <c r="B223" s="69"/>
      <c r="C223" s="69"/>
      <c r="D223" s="69"/>
      <c r="E223" s="69"/>
      <c r="F223" s="69"/>
      <c r="G223" s="77"/>
      <c r="H223" s="77"/>
      <c r="I223" s="77"/>
      <c r="J223" s="366"/>
      <c r="K223" s="77"/>
      <c r="L223" s="77"/>
      <c r="M223" s="77"/>
      <c r="N223" s="77"/>
      <c r="O223" s="69"/>
      <c r="P223" s="69"/>
      <c r="Q223" s="69"/>
      <c r="R223" s="69"/>
      <c r="S223" s="77"/>
      <c r="T223" s="77"/>
      <c r="U223" s="69"/>
      <c r="V223" s="69"/>
      <c r="W223" s="69"/>
      <c r="X223" s="69"/>
      <c r="Y223" s="69"/>
      <c r="Z223" s="69"/>
      <c r="AA223" s="69"/>
      <c r="AB223" s="69"/>
      <c r="AC223" s="207"/>
      <c r="AD223" s="207"/>
      <c r="AE223" s="207"/>
      <c r="AF223" s="207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Q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  <c r="BP223" s="69"/>
      <c r="BQ223" s="69"/>
      <c r="BR223" s="69"/>
      <c r="BS223" s="69"/>
      <c r="BT223" s="69"/>
      <c r="BU223" s="69"/>
      <c r="BV223" s="69"/>
      <c r="BW223" s="69"/>
      <c r="BX223" s="69"/>
      <c r="BY223" s="69"/>
      <c r="BZ223" s="69"/>
      <c r="CA223" s="69"/>
      <c r="CB223" s="69"/>
      <c r="CC223" s="69"/>
      <c r="CD223" s="69"/>
      <c r="CE223" s="69"/>
      <c r="CF223" s="69"/>
      <c r="CG223" s="69"/>
      <c r="CH223" s="69"/>
      <c r="CI223" s="69"/>
      <c r="CJ223" s="69"/>
      <c r="CK223" s="69"/>
      <c r="CL223" s="69"/>
      <c r="CM223" s="69"/>
      <c r="CN223" s="69"/>
      <c r="CO223" s="69"/>
    </row>
    <row r="224" spans="1:93" ht="12.75" customHeight="1">
      <c r="A224" s="784"/>
      <c r="B224" s="69"/>
      <c r="C224" s="69"/>
      <c r="D224" s="69"/>
      <c r="E224" s="69"/>
      <c r="F224" s="69"/>
      <c r="G224" s="77"/>
      <c r="H224" s="77"/>
      <c r="I224" s="77"/>
      <c r="J224" s="366"/>
      <c r="K224" s="77"/>
      <c r="L224" s="77"/>
      <c r="M224" s="77"/>
      <c r="N224" s="77"/>
      <c r="O224" s="69"/>
      <c r="P224" s="69"/>
      <c r="Q224" s="69"/>
      <c r="R224" s="69"/>
      <c r="S224" s="77"/>
      <c r="T224" s="77"/>
      <c r="U224" s="69"/>
      <c r="V224" s="69"/>
      <c r="W224" s="69"/>
      <c r="X224" s="69"/>
      <c r="Y224" s="69"/>
      <c r="Z224" s="69"/>
      <c r="AA224" s="69"/>
      <c r="AB224" s="69"/>
      <c r="AC224" s="207"/>
      <c r="AD224" s="207"/>
      <c r="AE224" s="207"/>
      <c r="AF224" s="207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Q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  <c r="BP224" s="69"/>
      <c r="BQ224" s="69"/>
      <c r="BR224" s="69"/>
      <c r="BS224" s="69"/>
      <c r="BT224" s="69"/>
      <c r="BU224" s="69"/>
      <c r="BV224" s="69"/>
      <c r="BW224" s="69"/>
      <c r="BX224" s="69"/>
      <c r="BY224" s="69"/>
      <c r="BZ224" s="69"/>
      <c r="CA224" s="69"/>
      <c r="CB224" s="69"/>
      <c r="CC224" s="69"/>
      <c r="CD224" s="69"/>
      <c r="CE224" s="69"/>
      <c r="CF224" s="69"/>
      <c r="CG224" s="69"/>
      <c r="CH224" s="69"/>
      <c r="CI224" s="69"/>
      <c r="CJ224" s="69"/>
      <c r="CK224" s="69"/>
      <c r="CL224" s="69"/>
      <c r="CM224" s="69"/>
      <c r="CN224" s="69"/>
      <c r="CO224" s="69"/>
    </row>
    <row r="225" spans="1:93" ht="12.75" customHeight="1">
      <c r="A225" s="784"/>
      <c r="B225" s="69"/>
      <c r="C225" s="69"/>
      <c r="D225" s="69"/>
      <c r="E225" s="69"/>
      <c r="F225" s="69"/>
      <c r="G225" s="77"/>
      <c r="H225" s="77"/>
      <c r="I225" s="77"/>
      <c r="J225" s="366"/>
      <c r="K225" s="77"/>
      <c r="L225" s="77"/>
      <c r="M225" s="77"/>
      <c r="N225" s="77"/>
      <c r="O225" s="69"/>
      <c r="P225" s="69"/>
      <c r="Q225" s="69"/>
      <c r="R225" s="69"/>
      <c r="S225" s="77"/>
      <c r="T225" s="77"/>
      <c r="U225" s="69"/>
      <c r="V225" s="69"/>
      <c r="W225" s="69"/>
      <c r="X225" s="69"/>
      <c r="Y225" s="69"/>
      <c r="Z225" s="69"/>
      <c r="AA225" s="69"/>
      <c r="AB225" s="69"/>
      <c r="AC225" s="207"/>
      <c r="AD225" s="207"/>
      <c r="AE225" s="207"/>
      <c r="AF225" s="207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Q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  <c r="BM225" s="69"/>
      <c r="BN225" s="69"/>
      <c r="BO225" s="69"/>
      <c r="BP225" s="69"/>
      <c r="BQ225" s="69"/>
      <c r="BR225" s="69"/>
      <c r="BS225" s="69"/>
      <c r="BT225" s="69"/>
      <c r="BU225" s="69"/>
      <c r="BV225" s="69"/>
      <c r="BW225" s="69"/>
      <c r="BX225" s="69"/>
      <c r="BY225" s="69"/>
      <c r="BZ225" s="69"/>
      <c r="CA225" s="69"/>
      <c r="CB225" s="69"/>
      <c r="CC225" s="69"/>
      <c r="CD225" s="69"/>
      <c r="CE225" s="69"/>
      <c r="CF225" s="69"/>
      <c r="CG225" s="69"/>
      <c r="CH225" s="69"/>
      <c r="CI225" s="69"/>
      <c r="CJ225" s="69"/>
      <c r="CK225" s="69"/>
      <c r="CL225" s="69"/>
      <c r="CM225" s="69"/>
      <c r="CN225" s="69"/>
      <c r="CO225" s="69"/>
    </row>
    <row r="226" spans="1:93" ht="12.75" customHeight="1">
      <c r="A226" s="784"/>
      <c r="B226" s="69"/>
      <c r="C226" s="69"/>
      <c r="D226" s="69"/>
      <c r="E226" s="69"/>
      <c r="F226" s="69"/>
      <c r="G226" s="77"/>
      <c r="H226" s="77"/>
      <c r="I226" s="77"/>
      <c r="J226" s="366"/>
      <c r="K226" s="77"/>
      <c r="L226" s="77"/>
      <c r="M226" s="77"/>
      <c r="N226" s="77"/>
      <c r="O226" s="69"/>
      <c r="P226" s="69"/>
      <c r="Q226" s="69"/>
      <c r="R226" s="69"/>
      <c r="S226" s="77"/>
      <c r="T226" s="77"/>
      <c r="U226" s="69"/>
      <c r="V226" s="69"/>
      <c r="W226" s="69"/>
      <c r="X226" s="69"/>
      <c r="Y226" s="69"/>
      <c r="Z226" s="69"/>
      <c r="AA226" s="69"/>
      <c r="AB226" s="69"/>
      <c r="AC226" s="207"/>
      <c r="AD226" s="207"/>
      <c r="AE226" s="207"/>
      <c r="AF226" s="207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Q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  <c r="BP226" s="69"/>
      <c r="BQ226" s="69"/>
      <c r="BR226" s="69"/>
      <c r="BS226" s="69"/>
      <c r="BT226" s="69"/>
      <c r="BU226" s="69"/>
      <c r="BV226" s="69"/>
      <c r="BW226" s="69"/>
      <c r="BX226" s="69"/>
      <c r="BY226" s="69"/>
      <c r="BZ226" s="69"/>
      <c r="CA226" s="69"/>
      <c r="CB226" s="69"/>
      <c r="CC226" s="69"/>
      <c r="CD226" s="69"/>
      <c r="CE226" s="69"/>
      <c r="CF226" s="69"/>
      <c r="CG226" s="69"/>
      <c r="CH226" s="69"/>
      <c r="CI226" s="69"/>
      <c r="CJ226" s="69"/>
      <c r="CK226" s="69"/>
      <c r="CL226" s="69"/>
      <c r="CM226" s="69"/>
      <c r="CN226" s="69"/>
      <c r="CO226" s="69"/>
    </row>
    <row r="227" spans="1:93" ht="12.75" customHeight="1">
      <c r="A227" s="784"/>
      <c r="B227" s="69"/>
      <c r="C227" s="69"/>
      <c r="D227" s="69"/>
      <c r="E227" s="69"/>
      <c r="F227" s="69"/>
      <c r="G227" s="77"/>
      <c r="H227" s="77"/>
      <c r="I227" s="77"/>
      <c r="J227" s="366"/>
      <c r="K227" s="77"/>
      <c r="L227" s="77"/>
      <c r="M227" s="77"/>
      <c r="N227" s="77"/>
      <c r="O227" s="69"/>
      <c r="P227" s="69"/>
      <c r="Q227" s="69"/>
      <c r="R227" s="69"/>
      <c r="S227" s="77"/>
      <c r="T227" s="77"/>
      <c r="U227" s="69"/>
      <c r="V227" s="69"/>
      <c r="W227" s="69"/>
      <c r="X227" s="69"/>
      <c r="Y227" s="69"/>
      <c r="Z227" s="69"/>
      <c r="AA227" s="69"/>
      <c r="AB227" s="69"/>
      <c r="AC227" s="207"/>
      <c r="AD227" s="207"/>
      <c r="AE227" s="207"/>
      <c r="AF227" s="207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Q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  <c r="BP227" s="69"/>
      <c r="BQ227" s="69"/>
      <c r="BR227" s="69"/>
      <c r="BS227" s="69"/>
      <c r="BT227" s="69"/>
      <c r="BU227" s="69"/>
      <c r="BV227" s="69"/>
      <c r="BW227" s="69"/>
      <c r="BX227" s="69"/>
      <c r="BY227" s="69"/>
      <c r="BZ227" s="69"/>
      <c r="CA227" s="69"/>
      <c r="CB227" s="69"/>
      <c r="CC227" s="69"/>
      <c r="CD227" s="69"/>
      <c r="CE227" s="69"/>
      <c r="CF227" s="69"/>
      <c r="CG227" s="69"/>
      <c r="CH227" s="69"/>
      <c r="CI227" s="69"/>
      <c r="CJ227" s="69"/>
      <c r="CK227" s="69"/>
      <c r="CL227" s="69"/>
      <c r="CM227" s="69"/>
      <c r="CN227" s="69"/>
      <c r="CO227" s="69"/>
    </row>
    <row r="228" spans="1:93" ht="12.75" customHeight="1">
      <c r="A228" s="784"/>
      <c r="B228" s="69"/>
      <c r="C228" s="69"/>
      <c r="D228" s="69"/>
      <c r="E228" s="69"/>
      <c r="F228" s="69"/>
      <c r="G228" s="77"/>
      <c r="H228" s="77"/>
      <c r="I228" s="77"/>
      <c r="J228" s="366"/>
      <c r="K228" s="77"/>
      <c r="L228" s="77"/>
      <c r="M228" s="77"/>
      <c r="N228" s="77"/>
      <c r="O228" s="69"/>
      <c r="P228" s="69"/>
      <c r="Q228" s="69"/>
      <c r="R228" s="69"/>
      <c r="S228" s="77"/>
      <c r="T228" s="77"/>
      <c r="U228" s="69"/>
      <c r="V228" s="69"/>
      <c r="W228" s="69"/>
      <c r="X228" s="69"/>
      <c r="Y228" s="69"/>
      <c r="Z228" s="69"/>
      <c r="AA228" s="69"/>
      <c r="AB228" s="69"/>
      <c r="AC228" s="207"/>
      <c r="AD228" s="207"/>
      <c r="AE228" s="207"/>
      <c r="AF228" s="207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Q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  <c r="BM228" s="69"/>
      <c r="BN228" s="69"/>
      <c r="BO228" s="69"/>
      <c r="BP228" s="69"/>
      <c r="BQ228" s="69"/>
      <c r="BR228" s="69"/>
      <c r="BS228" s="69"/>
      <c r="BT228" s="69"/>
      <c r="BU228" s="69"/>
      <c r="BV228" s="69"/>
      <c r="BW228" s="69"/>
      <c r="BX228" s="69"/>
      <c r="BY228" s="69"/>
      <c r="BZ228" s="69"/>
      <c r="CA228" s="69"/>
      <c r="CB228" s="69"/>
      <c r="CC228" s="69"/>
      <c r="CD228" s="69"/>
      <c r="CE228" s="69"/>
      <c r="CF228" s="69"/>
      <c r="CG228" s="69"/>
      <c r="CH228" s="69"/>
      <c r="CI228" s="69"/>
      <c r="CJ228" s="69"/>
      <c r="CK228" s="69"/>
      <c r="CL228" s="69"/>
      <c r="CM228" s="69"/>
      <c r="CN228" s="69"/>
      <c r="CO228" s="69"/>
    </row>
    <row r="229" spans="1:93" ht="12.75" customHeight="1">
      <c r="A229" s="784"/>
      <c r="B229" s="69"/>
      <c r="C229" s="69"/>
      <c r="D229" s="69"/>
      <c r="E229" s="69"/>
      <c r="F229" s="69"/>
      <c r="G229" s="77"/>
      <c r="H229" s="77"/>
      <c r="I229" s="77"/>
      <c r="J229" s="366"/>
      <c r="K229" s="77"/>
      <c r="L229" s="77"/>
      <c r="M229" s="77"/>
      <c r="N229" s="77"/>
      <c r="O229" s="69"/>
      <c r="P229" s="69"/>
      <c r="Q229" s="69"/>
      <c r="R229" s="69"/>
      <c r="S229" s="77"/>
      <c r="T229" s="77"/>
      <c r="U229" s="69"/>
      <c r="V229" s="69"/>
      <c r="W229" s="69"/>
      <c r="X229" s="69"/>
      <c r="Y229" s="69"/>
      <c r="Z229" s="69"/>
      <c r="AA229" s="69"/>
      <c r="AB229" s="69"/>
      <c r="AC229" s="207"/>
      <c r="AD229" s="207"/>
      <c r="AE229" s="207"/>
      <c r="AF229" s="207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Q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  <c r="BP229" s="69"/>
      <c r="BQ229" s="69"/>
      <c r="BR229" s="69"/>
      <c r="BS229" s="69"/>
      <c r="BT229" s="69"/>
      <c r="BU229" s="69"/>
      <c r="BV229" s="69"/>
      <c r="BW229" s="69"/>
      <c r="BX229" s="69"/>
      <c r="BY229" s="69"/>
      <c r="BZ229" s="69"/>
      <c r="CA229" s="69"/>
      <c r="CB229" s="69"/>
      <c r="CC229" s="69"/>
      <c r="CD229" s="69"/>
      <c r="CE229" s="69"/>
      <c r="CF229" s="69"/>
      <c r="CG229" s="69"/>
      <c r="CH229" s="69"/>
      <c r="CI229" s="69"/>
      <c r="CJ229" s="69"/>
      <c r="CK229" s="69"/>
      <c r="CL229" s="69"/>
      <c r="CM229" s="69"/>
      <c r="CN229" s="69"/>
      <c r="CO229" s="69"/>
    </row>
    <row r="230" spans="1:93" ht="12.75" customHeight="1">
      <c r="A230" s="784"/>
      <c r="B230" s="69"/>
      <c r="C230" s="69"/>
      <c r="D230" s="69"/>
      <c r="E230" s="69"/>
      <c r="F230" s="69"/>
      <c r="G230" s="77"/>
      <c r="H230" s="77"/>
      <c r="I230" s="77"/>
      <c r="J230" s="366"/>
      <c r="K230" s="77"/>
      <c r="L230" s="77"/>
      <c r="M230" s="77"/>
      <c r="N230" s="77"/>
      <c r="O230" s="69"/>
      <c r="P230" s="69"/>
      <c r="Q230" s="69"/>
      <c r="R230" s="69"/>
      <c r="S230" s="77"/>
      <c r="T230" s="77"/>
      <c r="U230" s="69"/>
      <c r="V230" s="69"/>
      <c r="W230" s="69"/>
      <c r="X230" s="69"/>
      <c r="Y230" s="69"/>
      <c r="Z230" s="69"/>
      <c r="AA230" s="69"/>
      <c r="AB230" s="69"/>
      <c r="AC230" s="207"/>
      <c r="AD230" s="207"/>
      <c r="AE230" s="207"/>
      <c r="AF230" s="207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Q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  <c r="BP230" s="69"/>
      <c r="BQ230" s="69"/>
      <c r="BR230" s="69"/>
      <c r="BS230" s="69"/>
      <c r="BT230" s="69"/>
      <c r="BU230" s="69"/>
      <c r="BV230" s="69"/>
      <c r="BW230" s="69"/>
      <c r="BX230" s="69"/>
      <c r="BY230" s="69"/>
      <c r="BZ230" s="69"/>
      <c r="CA230" s="69"/>
      <c r="CB230" s="69"/>
      <c r="CC230" s="69"/>
      <c r="CD230" s="69"/>
      <c r="CE230" s="69"/>
      <c r="CF230" s="69"/>
      <c r="CG230" s="69"/>
      <c r="CH230" s="69"/>
      <c r="CI230" s="69"/>
      <c r="CJ230" s="69"/>
      <c r="CK230" s="69"/>
      <c r="CL230" s="69"/>
      <c r="CM230" s="69"/>
      <c r="CN230" s="69"/>
      <c r="CO230" s="69"/>
    </row>
    <row r="231" spans="1:93" ht="12.75" customHeight="1">
      <c r="A231" s="784"/>
      <c r="B231" s="69"/>
      <c r="C231" s="69"/>
      <c r="D231" s="69"/>
      <c r="E231" s="69"/>
      <c r="F231" s="69"/>
      <c r="G231" s="77"/>
      <c r="H231" s="77"/>
      <c r="I231" s="77"/>
      <c r="J231" s="366"/>
      <c r="K231" s="77"/>
      <c r="L231" s="77"/>
      <c r="M231" s="77"/>
      <c r="N231" s="77"/>
      <c r="O231" s="69"/>
      <c r="P231" s="69"/>
      <c r="Q231" s="69"/>
      <c r="R231" s="69"/>
      <c r="S231" s="77"/>
      <c r="T231" s="77"/>
      <c r="U231" s="69"/>
      <c r="V231" s="69"/>
      <c r="W231" s="69"/>
      <c r="X231" s="69"/>
      <c r="Y231" s="69"/>
      <c r="Z231" s="69"/>
      <c r="AA231" s="69"/>
      <c r="AB231" s="69"/>
      <c r="AC231" s="207"/>
      <c r="AD231" s="207"/>
      <c r="AE231" s="207"/>
      <c r="AF231" s="207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Q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  <c r="BM231" s="69"/>
      <c r="BN231" s="69"/>
      <c r="BO231" s="69"/>
      <c r="BP231" s="69"/>
      <c r="BQ231" s="69"/>
      <c r="BR231" s="69"/>
      <c r="BS231" s="69"/>
      <c r="BT231" s="69"/>
      <c r="BU231" s="69"/>
      <c r="BV231" s="69"/>
      <c r="BW231" s="69"/>
      <c r="BX231" s="69"/>
      <c r="BY231" s="69"/>
      <c r="BZ231" s="69"/>
      <c r="CA231" s="69"/>
      <c r="CB231" s="69"/>
      <c r="CC231" s="69"/>
      <c r="CD231" s="69"/>
      <c r="CE231" s="69"/>
      <c r="CF231" s="69"/>
      <c r="CG231" s="69"/>
      <c r="CH231" s="69"/>
      <c r="CI231" s="69"/>
      <c r="CJ231" s="69"/>
      <c r="CK231" s="69"/>
      <c r="CL231" s="69"/>
      <c r="CM231" s="69"/>
      <c r="CN231" s="69"/>
      <c r="CO231" s="69"/>
    </row>
    <row r="232" spans="1:93" ht="12.75" customHeight="1">
      <c r="A232" s="784"/>
      <c r="B232" s="69"/>
      <c r="C232" s="69"/>
      <c r="D232" s="69"/>
      <c r="E232" s="69"/>
      <c r="F232" s="69"/>
      <c r="G232" s="77"/>
      <c r="H232" s="77"/>
      <c r="I232" s="77"/>
      <c r="J232" s="366"/>
      <c r="K232" s="77"/>
      <c r="L232" s="77"/>
      <c r="M232" s="77"/>
      <c r="N232" s="77"/>
      <c r="O232" s="69"/>
      <c r="P232" s="69"/>
      <c r="Q232" s="69"/>
      <c r="R232" s="69"/>
      <c r="S232" s="77"/>
      <c r="T232" s="77"/>
      <c r="U232" s="69"/>
      <c r="V232" s="69"/>
      <c r="W232" s="69"/>
      <c r="X232" s="69"/>
      <c r="Y232" s="69"/>
      <c r="Z232" s="69"/>
      <c r="AA232" s="69"/>
      <c r="AB232" s="69"/>
      <c r="AC232" s="207"/>
      <c r="AD232" s="207"/>
      <c r="AE232" s="207"/>
      <c r="AF232" s="207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Q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  <c r="BM232" s="69"/>
      <c r="BN232" s="69"/>
      <c r="BO232" s="69"/>
      <c r="BP232" s="69"/>
      <c r="BQ232" s="69"/>
      <c r="BR232" s="69"/>
      <c r="BS232" s="69"/>
      <c r="BT232" s="69"/>
      <c r="BU232" s="69"/>
      <c r="BV232" s="69"/>
      <c r="BW232" s="69"/>
      <c r="BX232" s="69"/>
      <c r="BY232" s="69"/>
      <c r="BZ232" s="69"/>
      <c r="CA232" s="69"/>
      <c r="CB232" s="69"/>
      <c r="CC232" s="69"/>
      <c r="CD232" s="69"/>
      <c r="CE232" s="69"/>
      <c r="CF232" s="69"/>
      <c r="CG232" s="69"/>
      <c r="CH232" s="69"/>
      <c r="CI232" s="69"/>
      <c r="CJ232" s="69"/>
      <c r="CK232" s="69"/>
      <c r="CL232" s="69"/>
      <c r="CM232" s="69"/>
      <c r="CN232" s="69"/>
      <c r="CO232" s="69"/>
    </row>
    <row r="233" spans="1:93" ht="12.75" customHeight="1">
      <c r="A233" s="784"/>
      <c r="B233" s="69"/>
      <c r="C233" s="69"/>
      <c r="D233" s="69"/>
      <c r="E233" s="69"/>
      <c r="F233" s="69"/>
      <c r="G233" s="77"/>
      <c r="H233" s="77"/>
      <c r="I233" s="77"/>
      <c r="J233" s="366"/>
      <c r="K233" s="77"/>
      <c r="L233" s="77"/>
      <c r="M233" s="77"/>
      <c r="N233" s="77"/>
      <c r="O233" s="69"/>
      <c r="P233" s="69"/>
      <c r="Q233" s="69"/>
      <c r="R233" s="69"/>
      <c r="S233" s="77"/>
      <c r="T233" s="77"/>
      <c r="U233" s="69"/>
      <c r="V233" s="69"/>
      <c r="W233" s="69"/>
      <c r="X233" s="69"/>
      <c r="Y233" s="69"/>
      <c r="Z233" s="69"/>
      <c r="AA233" s="69"/>
      <c r="AB233" s="69"/>
      <c r="AC233" s="207"/>
      <c r="AD233" s="207"/>
      <c r="AE233" s="207"/>
      <c r="AF233" s="207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Q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  <c r="BM233" s="69"/>
      <c r="BN233" s="69"/>
      <c r="BO233" s="69"/>
      <c r="BP233" s="69"/>
      <c r="BQ233" s="69"/>
      <c r="BR233" s="69"/>
      <c r="BS233" s="69"/>
      <c r="BT233" s="69"/>
      <c r="BU233" s="69"/>
      <c r="BV233" s="69"/>
      <c r="BW233" s="69"/>
      <c r="BX233" s="69"/>
      <c r="BY233" s="69"/>
      <c r="BZ233" s="69"/>
      <c r="CA233" s="69"/>
      <c r="CB233" s="69"/>
      <c r="CC233" s="69"/>
      <c r="CD233" s="69"/>
      <c r="CE233" s="69"/>
      <c r="CF233" s="69"/>
      <c r="CG233" s="69"/>
      <c r="CH233" s="69"/>
      <c r="CI233" s="69"/>
      <c r="CJ233" s="69"/>
      <c r="CK233" s="69"/>
      <c r="CL233" s="69"/>
      <c r="CM233" s="69"/>
      <c r="CN233" s="69"/>
      <c r="CO233" s="69"/>
    </row>
    <row r="234" spans="1:93" ht="12.75" customHeight="1">
      <c r="A234" s="784"/>
      <c r="B234" s="69"/>
      <c r="C234" s="69"/>
      <c r="D234" s="69"/>
      <c r="E234" s="69"/>
      <c r="F234" s="69"/>
      <c r="G234" s="77"/>
      <c r="H234" s="77"/>
      <c r="I234" s="77"/>
      <c r="J234" s="366"/>
      <c r="K234" s="77"/>
      <c r="L234" s="77"/>
      <c r="M234" s="77"/>
      <c r="N234" s="77"/>
      <c r="O234" s="69"/>
      <c r="P234" s="69"/>
      <c r="Q234" s="69"/>
      <c r="R234" s="69"/>
      <c r="S234" s="77"/>
      <c r="T234" s="77"/>
      <c r="U234" s="69"/>
      <c r="V234" s="69"/>
      <c r="W234" s="69"/>
      <c r="X234" s="69"/>
      <c r="Y234" s="69"/>
      <c r="Z234" s="69"/>
      <c r="AA234" s="69"/>
      <c r="AB234" s="69"/>
      <c r="AC234" s="207"/>
      <c r="AD234" s="207"/>
      <c r="AE234" s="207"/>
      <c r="AF234" s="207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Q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  <c r="BM234" s="69"/>
      <c r="BN234" s="69"/>
      <c r="BO234" s="69"/>
      <c r="BP234" s="69"/>
      <c r="BQ234" s="69"/>
      <c r="BR234" s="69"/>
      <c r="BS234" s="69"/>
      <c r="BT234" s="69"/>
      <c r="BU234" s="69"/>
      <c r="BV234" s="69"/>
      <c r="BW234" s="69"/>
      <c r="BX234" s="69"/>
      <c r="BY234" s="69"/>
      <c r="BZ234" s="69"/>
      <c r="CA234" s="69"/>
      <c r="CB234" s="69"/>
      <c r="CC234" s="69"/>
      <c r="CD234" s="69"/>
      <c r="CE234" s="69"/>
      <c r="CF234" s="69"/>
      <c r="CG234" s="69"/>
      <c r="CH234" s="69"/>
      <c r="CI234" s="69"/>
      <c r="CJ234" s="69"/>
      <c r="CK234" s="69"/>
      <c r="CL234" s="69"/>
      <c r="CM234" s="69"/>
      <c r="CN234" s="69"/>
      <c r="CO234" s="69"/>
    </row>
    <row r="235" spans="1:93" ht="12.75" customHeight="1">
      <c r="A235" s="784"/>
      <c r="B235" s="69"/>
      <c r="C235" s="69"/>
      <c r="D235" s="69"/>
      <c r="E235" s="69"/>
      <c r="F235" s="69"/>
      <c r="G235" s="77"/>
      <c r="H235" s="77"/>
      <c r="I235" s="77"/>
      <c r="J235" s="366"/>
      <c r="K235" s="77"/>
      <c r="L235" s="77"/>
      <c r="M235" s="77"/>
      <c r="N235" s="77"/>
      <c r="O235" s="69"/>
      <c r="P235" s="69"/>
      <c r="Q235" s="69"/>
      <c r="R235" s="69"/>
      <c r="S235" s="77"/>
      <c r="T235" s="77"/>
      <c r="U235" s="69"/>
      <c r="V235" s="69"/>
      <c r="W235" s="69"/>
      <c r="X235" s="69"/>
      <c r="Y235" s="69"/>
      <c r="Z235" s="69"/>
      <c r="AA235" s="69"/>
      <c r="AB235" s="69"/>
      <c r="AC235" s="207"/>
      <c r="AD235" s="207"/>
      <c r="AE235" s="207"/>
      <c r="AF235" s="207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Q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  <c r="BP235" s="69"/>
      <c r="BQ235" s="69"/>
      <c r="BR235" s="69"/>
      <c r="BS235" s="69"/>
      <c r="BT235" s="69"/>
      <c r="BU235" s="69"/>
      <c r="BV235" s="69"/>
      <c r="BW235" s="69"/>
      <c r="BX235" s="69"/>
      <c r="BY235" s="69"/>
      <c r="BZ235" s="69"/>
      <c r="CA235" s="69"/>
      <c r="CB235" s="69"/>
      <c r="CC235" s="69"/>
      <c r="CD235" s="69"/>
      <c r="CE235" s="69"/>
      <c r="CF235" s="69"/>
      <c r="CG235" s="69"/>
      <c r="CH235" s="69"/>
      <c r="CI235" s="69"/>
      <c r="CJ235" s="69"/>
      <c r="CK235" s="69"/>
      <c r="CL235" s="69"/>
      <c r="CM235" s="69"/>
      <c r="CN235" s="69"/>
      <c r="CO235" s="69"/>
    </row>
    <row r="236" spans="1:93" ht="12.75" customHeight="1">
      <c r="A236" s="784"/>
      <c r="B236" s="69"/>
      <c r="C236" s="69"/>
      <c r="D236" s="69"/>
      <c r="E236" s="69"/>
      <c r="F236" s="69"/>
      <c r="G236" s="77"/>
      <c r="H236" s="77"/>
      <c r="I236" s="77"/>
      <c r="J236" s="366"/>
      <c r="K236" s="77"/>
      <c r="L236" s="77"/>
      <c r="M236" s="77"/>
      <c r="N236" s="77"/>
      <c r="O236" s="69"/>
      <c r="P236" s="69"/>
      <c r="Q236" s="69"/>
      <c r="R236" s="69"/>
      <c r="S236" s="77"/>
      <c r="T236" s="77"/>
      <c r="U236" s="69"/>
      <c r="V236" s="69"/>
      <c r="W236" s="69"/>
      <c r="X236" s="69"/>
      <c r="Y236" s="69"/>
      <c r="Z236" s="69"/>
      <c r="AA236" s="69"/>
      <c r="AB236" s="69"/>
      <c r="AC236" s="207"/>
      <c r="AD236" s="207"/>
      <c r="AE236" s="207"/>
      <c r="AF236" s="207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Q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  <c r="BP236" s="69"/>
      <c r="BQ236" s="69"/>
      <c r="BR236" s="69"/>
      <c r="BS236" s="69"/>
      <c r="BT236" s="69"/>
      <c r="BU236" s="69"/>
      <c r="BV236" s="69"/>
      <c r="BW236" s="69"/>
      <c r="BX236" s="69"/>
      <c r="BY236" s="69"/>
      <c r="BZ236" s="69"/>
      <c r="CA236" s="69"/>
      <c r="CB236" s="69"/>
      <c r="CC236" s="69"/>
      <c r="CD236" s="69"/>
      <c r="CE236" s="69"/>
      <c r="CF236" s="69"/>
      <c r="CG236" s="69"/>
      <c r="CH236" s="69"/>
      <c r="CI236" s="69"/>
      <c r="CJ236" s="69"/>
      <c r="CK236" s="69"/>
      <c r="CL236" s="69"/>
      <c r="CM236" s="69"/>
      <c r="CN236" s="69"/>
      <c r="CO236" s="69"/>
    </row>
    <row r="237" spans="1:93" ht="12.75" customHeight="1">
      <c r="A237" s="784"/>
      <c r="B237" s="69"/>
      <c r="C237" s="69"/>
      <c r="D237" s="69"/>
      <c r="E237" s="69"/>
      <c r="F237" s="69"/>
      <c r="G237" s="77"/>
      <c r="H237" s="77"/>
      <c r="I237" s="77"/>
      <c r="J237" s="366"/>
      <c r="K237" s="77"/>
      <c r="L237" s="77"/>
      <c r="M237" s="77"/>
      <c r="N237" s="77"/>
      <c r="O237" s="69"/>
      <c r="P237" s="69"/>
      <c r="Q237" s="69"/>
      <c r="R237" s="69"/>
      <c r="S237" s="77"/>
      <c r="T237" s="77"/>
      <c r="U237" s="69"/>
      <c r="V237" s="69"/>
      <c r="W237" s="69"/>
      <c r="X237" s="69"/>
      <c r="Y237" s="69"/>
      <c r="Z237" s="69"/>
      <c r="AA237" s="69"/>
      <c r="AB237" s="69"/>
      <c r="AC237" s="207"/>
      <c r="AD237" s="207"/>
      <c r="AE237" s="207"/>
      <c r="AF237" s="207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Q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  <c r="BP237" s="69"/>
      <c r="BQ237" s="69"/>
      <c r="BR237" s="69"/>
      <c r="BS237" s="69"/>
      <c r="BT237" s="69"/>
      <c r="BU237" s="69"/>
      <c r="BV237" s="69"/>
      <c r="BW237" s="69"/>
      <c r="BX237" s="69"/>
      <c r="BY237" s="69"/>
      <c r="BZ237" s="69"/>
      <c r="CA237" s="69"/>
      <c r="CB237" s="69"/>
      <c r="CC237" s="69"/>
      <c r="CD237" s="69"/>
      <c r="CE237" s="69"/>
      <c r="CF237" s="69"/>
      <c r="CG237" s="69"/>
      <c r="CH237" s="69"/>
      <c r="CI237" s="69"/>
      <c r="CJ237" s="69"/>
      <c r="CK237" s="69"/>
      <c r="CL237" s="69"/>
      <c r="CM237" s="69"/>
      <c r="CN237" s="69"/>
      <c r="CO237" s="69"/>
    </row>
    <row r="238" spans="1:93" ht="12.75" customHeight="1">
      <c r="A238" s="784"/>
      <c r="B238" s="69"/>
      <c r="C238" s="69"/>
      <c r="D238" s="69"/>
      <c r="E238" s="69"/>
      <c r="F238" s="69"/>
      <c r="G238" s="77"/>
      <c r="H238" s="77"/>
      <c r="I238" s="77"/>
      <c r="J238" s="366"/>
      <c r="K238" s="77"/>
      <c r="L238" s="77"/>
      <c r="M238" s="77"/>
      <c r="N238" s="77"/>
      <c r="O238" s="69"/>
      <c r="P238" s="69"/>
      <c r="Q238" s="69"/>
      <c r="R238" s="69"/>
      <c r="S238" s="77"/>
      <c r="T238" s="77"/>
      <c r="U238" s="69"/>
      <c r="V238" s="69"/>
      <c r="W238" s="69"/>
      <c r="X238" s="69"/>
      <c r="Y238" s="69"/>
      <c r="Z238" s="69"/>
      <c r="AA238" s="69"/>
      <c r="AB238" s="69"/>
      <c r="AC238" s="207"/>
      <c r="AD238" s="207"/>
      <c r="AE238" s="207"/>
      <c r="AF238" s="207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Q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  <c r="BP238" s="69"/>
      <c r="BQ238" s="69"/>
      <c r="BR238" s="69"/>
      <c r="BS238" s="69"/>
      <c r="BT238" s="69"/>
      <c r="BU238" s="69"/>
      <c r="BV238" s="69"/>
      <c r="BW238" s="69"/>
      <c r="BX238" s="69"/>
      <c r="BY238" s="69"/>
      <c r="BZ238" s="69"/>
      <c r="CA238" s="69"/>
      <c r="CB238" s="69"/>
      <c r="CC238" s="69"/>
      <c r="CD238" s="69"/>
      <c r="CE238" s="69"/>
      <c r="CF238" s="69"/>
      <c r="CG238" s="69"/>
      <c r="CH238" s="69"/>
      <c r="CI238" s="69"/>
      <c r="CJ238" s="69"/>
      <c r="CK238" s="69"/>
      <c r="CL238" s="69"/>
      <c r="CM238" s="69"/>
      <c r="CN238" s="69"/>
      <c r="CO238" s="69"/>
    </row>
    <row r="239" spans="1:93" ht="12.75" customHeight="1">
      <c r="A239" s="784"/>
      <c r="B239" s="69"/>
      <c r="C239" s="69"/>
      <c r="D239" s="69"/>
      <c r="E239" s="69"/>
      <c r="F239" s="69"/>
      <c r="G239" s="77"/>
      <c r="H239" s="77"/>
      <c r="I239" s="77"/>
      <c r="J239" s="366"/>
      <c r="K239" s="77"/>
      <c r="L239" s="77"/>
      <c r="M239" s="77"/>
      <c r="N239" s="77"/>
      <c r="O239" s="69"/>
      <c r="P239" s="69"/>
      <c r="Q239" s="69"/>
      <c r="R239" s="69"/>
      <c r="S239" s="77"/>
      <c r="T239" s="77"/>
      <c r="U239" s="69"/>
      <c r="V239" s="69"/>
      <c r="W239" s="69"/>
      <c r="X239" s="69"/>
      <c r="Y239" s="69"/>
      <c r="Z239" s="69"/>
      <c r="AA239" s="69"/>
      <c r="AB239" s="69"/>
      <c r="AC239" s="207"/>
      <c r="AD239" s="207"/>
      <c r="AE239" s="207"/>
      <c r="AF239" s="207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Q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  <c r="BP239" s="69"/>
      <c r="BQ239" s="69"/>
      <c r="BR239" s="69"/>
      <c r="BS239" s="69"/>
      <c r="BT239" s="69"/>
      <c r="BU239" s="69"/>
      <c r="BV239" s="69"/>
      <c r="BW239" s="69"/>
      <c r="BX239" s="69"/>
      <c r="BY239" s="69"/>
      <c r="BZ239" s="69"/>
      <c r="CA239" s="69"/>
      <c r="CB239" s="69"/>
      <c r="CC239" s="69"/>
      <c r="CD239" s="69"/>
      <c r="CE239" s="69"/>
      <c r="CF239" s="69"/>
      <c r="CG239" s="69"/>
      <c r="CH239" s="69"/>
      <c r="CI239" s="69"/>
      <c r="CJ239" s="69"/>
      <c r="CK239" s="69"/>
      <c r="CL239" s="69"/>
      <c r="CM239" s="69"/>
      <c r="CN239" s="69"/>
      <c r="CO239" s="69"/>
    </row>
    <row r="240" spans="1:93" ht="12.75" customHeight="1">
      <c r="A240" s="784"/>
      <c r="B240" s="69"/>
      <c r="C240" s="69"/>
      <c r="D240" s="69"/>
      <c r="E240" s="69"/>
      <c r="F240" s="69"/>
      <c r="G240" s="77"/>
      <c r="H240" s="77"/>
      <c r="I240" s="77"/>
      <c r="J240" s="366"/>
      <c r="K240" s="77"/>
      <c r="L240" s="77"/>
      <c r="M240" s="77"/>
      <c r="N240" s="77"/>
      <c r="O240" s="69"/>
      <c r="P240" s="69"/>
      <c r="Q240" s="69"/>
      <c r="R240" s="69"/>
      <c r="S240" s="77"/>
      <c r="T240" s="77"/>
      <c r="U240" s="69"/>
      <c r="V240" s="69"/>
      <c r="W240" s="69"/>
      <c r="X240" s="69"/>
      <c r="Y240" s="69"/>
      <c r="Z240" s="69"/>
      <c r="AA240" s="69"/>
      <c r="AB240" s="69"/>
      <c r="AC240" s="207"/>
      <c r="AD240" s="207"/>
      <c r="AE240" s="207"/>
      <c r="AF240" s="207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Q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  <c r="BP240" s="69"/>
      <c r="BQ240" s="69"/>
      <c r="BR240" s="69"/>
      <c r="BS240" s="69"/>
      <c r="BT240" s="69"/>
      <c r="BU240" s="69"/>
      <c r="BV240" s="69"/>
      <c r="BW240" s="69"/>
      <c r="BX240" s="69"/>
      <c r="BY240" s="69"/>
      <c r="BZ240" s="69"/>
      <c r="CA240" s="69"/>
      <c r="CB240" s="69"/>
      <c r="CC240" s="69"/>
      <c r="CD240" s="69"/>
      <c r="CE240" s="69"/>
      <c r="CF240" s="69"/>
      <c r="CG240" s="69"/>
      <c r="CH240" s="69"/>
      <c r="CI240" s="69"/>
      <c r="CJ240" s="69"/>
      <c r="CK240" s="69"/>
      <c r="CL240" s="69"/>
      <c r="CM240" s="69"/>
      <c r="CN240" s="69"/>
      <c r="CO240" s="69"/>
    </row>
    <row r="241" spans="1:93" ht="12.75" customHeight="1">
      <c r="A241" s="784"/>
      <c r="B241" s="69"/>
      <c r="C241" s="69"/>
      <c r="D241" s="69"/>
      <c r="E241" s="69"/>
      <c r="F241" s="69"/>
      <c r="G241" s="77"/>
      <c r="H241" s="77"/>
      <c r="I241" s="77"/>
      <c r="J241" s="366"/>
      <c r="K241" s="77"/>
      <c r="L241" s="77"/>
      <c r="M241" s="77"/>
      <c r="N241" s="77"/>
      <c r="O241" s="69"/>
      <c r="P241" s="69"/>
      <c r="Q241" s="69"/>
      <c r="R241" s="69"/>
      <c r="S241" s="77"/>
      <c r="T241" s="77"/>
      <c r="U241" s="69"/>
      <c r="V241" s="69"/>
      <c r="W241" s="69"/>
      <c r="X241" s="69"/>
      <c r="Y241" s="69"/>
      <c r="Z241" s="69"/>
      <c r="AA241" s="69"/>
      <c r="AB241" s="69"/>
      <c r="AC241" s="207"/>
      <c r="AD241" s="207"/>
      <c r="AE241" s="207"/>
      <c r="AF241" s="207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Q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  <c r="BP241" s="69"/>
      <c r="BQ241" s="69"/>
      <c r="BR241" s="69"/>
      <c r="BS241" s="69"/>
      <c r="BT241" s="69"/>
      <c r="BU241" s="69"/>
      <c r="BV241" s="69"/>
      <c r="BW241" s="69"/>
      <c r="BX241" s="69"/>
      <c r="BY241" s="69"/>
      <c r="BZ241" s="69"/>
      <c r="CA241" s="69"/>
      <c r="CB241" s="69"/>
      <c r="CC241" s="69"/>
      <c r="CD241" s="69"/>
      <c r="CE241" s="69"/>
      <c r="CF241" s="69"/>
      <c r="CG241" s="69"/>
      <c r="CH241" s="69"/>
      <c r="CI241" s="69"/>
      <c r="CJ241" s="69"/>
      <c r="CK241" s="69"/>
      <c r="CL241" s="69"/>
      <c r="CM241" s="69"/>
      <c r="CN241" s="69"/>
      <c r="CO241" s="69"/>
    </row>
    <row r="242" spans="1:93" ht="12.75" customHeight="1">
      <c r="A242" s="784"/>
      <c r="B242" s="69"/>
      <c r="C242" s="69"/>
      <c r="D242" s="69"/>
      <c r="E242" s="69"/>
      <c r="F242" s="69"/>
      <c r="G242" s="77"/>
      <c r="H242" s="77"/>
      <c r="I242" s="77"/>
      <c r="J242" s="366"/>
      <c r="K242" s="77"/>
      <c r="L242" s="77"/>
      <c r="M242" s="77"/>
      <c r="N242" s="77"/>
      <c r="O242" s="69"/>
      <c r="P242" s="69"/>
      <c r="Q242" s="69"/>
      <c r="R242" s="69"/>
      <c r="S242" s="77"/>
      <c r="T242" s="77"/>
      <c r="U242" s="69"/>
      <c r="V242" s="69"/>
      <c r="W242" s="69"/>
      <c r="X242" s="69"/>
      <c r="Y242" s="69"/>
      <c r="Z242" s="69"/>
      <c r="AA242" s="69"/>
      <c r="AB242" s="69"/>
      <c r="AC242" s="207"/>
      <c r="AD242" s="207"/>
      <c r="AE242" s="207"/>
      <c r="AF242" s="207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Q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  <c r="BP242" s="69"/>
      <c r="BQ242" s="69"/>
      <c r="BR242" s="69"/>
      <c r="BS242" s="69"/>
      <c r="BT242" s="69"/>
      <c r="BU242" s="69"/>
      <c r="BV242" s="69"/>
      <c r="BW242" s="69"/>
      <c r="BX242" s="69"/>
      <c r="BY242" s="69"/>
      <c r="BZ242" s="69"/>
      <c r="CA242" s="69"/>
      <c r="CB242" s="69"/>
      <c r="CC242" s="69"/>
      <c r="CD242" s="69"/>
      <c r="CE242" s="69"/>
      <c r="CF242" s="69"/>
      <c r="CG242" s="69"/>
      <c r="CH242" s="69"/>
      <c r="CI242" s="69"/>
      <c r="CJ242" s="69"/>
      <c r="CK242" s="69"/>
      <c r="CL242" s="69"/>
      <c r="CM242" s="69"/>
      <c r="CN242" s="69"/>
      <c r="CO242" s="69"/>
    </row>
    <row r="243" spans="1:93" ht="12.75" customHeight="1">
      <c r="A243" s="784"/>
      <c r="B243" s="69"/>
      <c r="C243" s="69"/>
      <c r="D243" s="69"/>
      <c r="E243" s="69"/>
      <c r="F243" s="69"/>
      <c r="G243" s="77"/>
      <c r="H243" s="77"/>
      <c r="I243" s="77"/>
      <c r="J243" s="366"/>
      <c r="K243" s="77"/>
      <c r="L243" s="77"/>
      <c r="M243" s="77"/>
      <c r="N243" s="77"/>
      <c r="O243" s="69"/>
      <c r="P243" s="69"/>
      <c r="Q243" s="69"/>
      <c r="R243" s="69"/>
      <c r="S243" s="77"/>
      <c r="T243" s="77"/>
      <c r="U243" s="69"/>
      <c r="V243" s="69"/>
      <c r="W243" s="69"/>
      <c r="X243" s="69"/>
      <c r="Y243" s="69"/>
      <c r="Z243" s="69"/>
      <c r="AA243" s="69"/>
      <c r="AB243" s="69"/>
      <c r="AC243" s="207"/>
      <c r="AD243" s="207"/>
      <c r="AE243" s="207"/>
      <c r="AF243" s="207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Q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  <c r="BP243" s="69"/>
      <c r="BQ243" s="69"/>
      <c r="BR243" s="69"/>
      <c r="BS243" s="69"/>
      <c r="BT243" s="69"/>
      <c r="BU243" s="69"/>
      <c r="BV243" s="69"/>
      <c r="BW243" s="69"/>
      <c r="BX243" s="69"/>
      <c r="BY243" s="69"/>
      <c r="BZ243" s="69"/>
      <c r="CA243" s="69"/>
      <c r="CB243" s="69"/>
      <c r="CC243" s="69"/>
      <c r="CD243" s="69"/>
      <c r="CE243" s="69"/>
      <c r="CF243" s="69"/>
      <c r="CG243" s="69"/>
      <c r="CH243" s="69"/>
      <c r="CI243" s="69"/>
      <c r="CJ243" s="69"/>
      <c r="CK243" s="69"/>
      <c r="CL243" s="69"/>
      <c r="CM243" s="69"/>
      <c r="CN243" s="69"/>
      <c r="CO243" s="69"/>
    </row>
    <row r="244" spans="1:93" ht="12.75" customHeight="1">
      <c r="A244" s="784"/>
      <c r="B244" s="69"/>
      <c r="C244" s="69"/>
      <c r="D244" s="69"/>
      <c r="E244" s="69"/>
      <c r="F244" s="69"/>
      <c r="G244" s="77"/>
      <c r="H244" s="77"/>
      <c r="I244" s="77"/>
      <c r="J244" s="366"/>
      <c r="K244" s="77"/>
      <c r="L244" s="77"/>
      <c r="M244" s="77"/>
      <c r="N244" s="77"/>
      <c r="O244" s="69"/>
      <c r="P244" s="69"/>
      <c r="Q244" s="69"/>
      <c r="R244" s="69"/>
      <c r="S244" s="77"/>
      <c r="T244" s="77"/>
      <c r="U244" s="69"/>
      <c r="V244" s="69"/>
      <c r="W244" s="69"/>
      <c r="X244" s="69"/>
      <c r="Y244" s="69"/>
      <c r="Z244" s="69"/>
      <c r="AA244" s="69"/>
      <c r="AB244" s="69"/>
      <c r="AC244" s="207"/>
      <c r="AD244" s="207"/>
      <c r="AE244" s="207"/>
      <c r="AF244" s="207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Q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9"/>
      <c r="BP244" s="69"/>
      <c r="BQ244" s="69"/>
      <c r="BR244" s="69"/>
      <c r="BS244" s="69"/>
      <c r="BT244" s="69"/>
      <c r="BU244" s="69"/>
      <c r="BV244" s="69"/>
      <c r="BW244" s="69"/>
      <c r="BX244" s="69"/>
      <c r="BY244" s="69"/>
      <c r="BZ244" s="69"/>
      <c r="CA244" s="69"/>
      <c r="CB244" s="69"/>
      <c r="CC244" s="69"/>
      <c r="CD244" s="69"/>
      <c r="CE244" s="69"/>
      <c r="CF244" s="69"/>
      <c r="CG244" s="69"/>
      <c r="CH244" s="69"/>
      <c r="CI244" s="69"/>
      <c r="CJ244" s="69"/>
      <c r="CK244" s="69"/>
      <c r="CL244" s="69"/>
      <c r="CM244" s="69"/>
      <c r="CN244" s="69"/>
      <c r="CO244" s="69"/>
    </row>
    <row r="245" spans="1:93" ht="12.75" customHeight="1">
      <c r="A245" s="784"/>
      <c r="B245" s="69"/>
      <c r="C245" s="69"/>
      <c r="D245" s="69"/>
      <c r="E245" s="69"/>
      <c r="F245" s="69"/>
      <c r="G245" s="77"/>
      <c r="H245" s="77"/>
      <c r="I245" s="77"/>
      <c r="J245" s="366"/>
      <c r="K245" s="77"/>
      <c r="L245" s="77"/>
      <c r="M245" s="77"/>
      <c r="N245" s="77"/>
      <c r="O245" s="69"/>
      <c r="P245" s="69"/>
      <c r="Q245" s="69"/>
      <c r="R245" s="69"/>
      <c r="S245" s="77"/>
      <c r="T245" s="77"/>
      <c r="U245" s="69"/>
      <c r="V245" s="69"/>
      <c r="W245" s="69"/>
      <c r="X245" s="69"/>
      <c r="Y245" s="69"/>
      <c r="Z245" s="69"/>
      <c r="AA245" s="69"/>
      <c r="AB245" s="69"/>
      <c r="AC245" s="207"/>
      <c r="AD245" s="207"/>
      <c r="AE245" s="207"/>
      <c r="AF245" s="207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Q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9"/>
      <c r="BP245" s="69"/>
      <c r="BQ245" s="69"/>
      <c r="BR245" s="69"/>
      <c r="BS245" s="69"/>
      <c r="BT245" s="69"/>
      <c r="BU245" s="69"/>
      <c r="BV245" s="69"/>
      <c r="BW245" s="69"/>
      <c r="BX245" s="69"/>
      <c r="BY245" s="69"/>
      <c r="BZ245" s="69"/>
      <c r="CA245" s="69"/>
      <c r="CB245" s="69"/>
      <c r="CC245" s="69"/>
      <c r="CD245" s="69"/>
      <c r="CE245" s="69"/>
      <c r="CF245" s="69"/>
      <c r="CG245" s="69"/>
      <c r="CH245" s="69"/>
      <c r="CI245" s="69"/>
      <c r="CJ245" s="69"/>
      <c r="CK245" s="69"/>
      <c r="CL245" s="69"/>
      <c r="CM245" s="69"/>
      <c r="CN245" s="69"/>
      <c r="CO245" s="69"/>
    </row>
    <row r="246" spans="1:93" ht="12.75" customHeight="1">
      <c r="A246" s="784"/>
      <c r="B246" s="69"/>
      <c r="C246" s="69"/>
      <c r="D246" s="69"/>
      <c r="E246" s="69"/>
      <c r="F246" s="69"/>
      <c r="G246" s="77"/>
      <c r="H246" s="77"/>
      <c r="I246" s="77"/>
      <c r="J246" s="366"/>
      <c r="K246" s="77"/>
      <c r="L246" s="77"/>
      <c r="M246" s="77"/>
      <c r="N246" s="77"/>
      <c r="O246" s="69"/>
      <c r="P246" s="69"/>
      <c r="Q246" s="69"/>
      <c r="R246" s="69"/>
      <c r="S246" s="77"/>
      <c r="T246" s="77"/>
      <c r="U246" s="69"/>
      <c r="V246" s="69"/>
      <c r="W246" s="69"/>
      <c r="X246" s="69"/>
      <c r="Y246" s="69"/>
      <c r="Z246" s="69"/>
      <c r="AA246" s="69"/>
      <c r="AB246" s="69"/>
      <c r="AC246" s="207"/>
      <c r="AD246" s="207"/>
      <c r="AE246" s="207"/>
      <c r="AF246" s="207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Q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9"/>
      <c r="BP246" s="69"/>
      <c r="BQ246" s="69"/>
      <c r="BR246" s="69"/>
      <c r="BS246" s="69"/>
      <c r="BT246" s="69"/>
      <c r="BU246" s="69"/>
      <c r="BV246" s="69"/>
      <c r="BW246" s="69"/>
      <c r="BX246" s="69"/>
      <c r="BY246" s="69"/>
      <c r="BZ246" s="69"/>
      <c r="CA246" s="69"/>
      <c r="CB246" s="69"/>
      <c r="CC246" s="69"/>
      <c r="CD246" s="69"/>
      <c r="CE246" s="69"/>
      <c r="CF246" s="69"/>
      <c r="CG246" s="69"/>
      <c r="CH246" s="69"/>
      <c r="CI246" s="69"/>
      <c r="CJ246" s="69"/>
      <c r="CK246" s="69"/>
      <c r="CL246" s="69"/>
      <c r="CM246" s="69"/>
      <c r="CN246" s="69"/>
      <c r="CO246" s="69"/>
    </row>
    <row r="247" spans="1:93" ht="12.75" customHeight="1">
      <c r="A247" s="784"/>
      <c r="B247" s="69"/>
      <c r="C247" s="69"/>
      <c r="D247" s="69"/>
      <c r="E247" s="69"/>
      <c r="F247" s="69"/>
      <c r="G247" s="77"/>
      <c r="H247" s="77"/>
      <c r="I247" s="77"/>
      <c r="J247" s="366"/>
      <c r="K247" s="77"/>
      <c r="L247" s="77"/>
      <c r="M247" s="77"/>
      <c r="N247" s="77"/>
      <c r="O247" s="69"/>
      <c r="P247" s="69"/>
      <c r="Q247" s="69"/>
      <c r="R247" s="69"/>
      <c r="S247" s="77"/>
      <c r="T247" s="77"/>
      <c r="U247" s="69"/>
      <c r="V247" s="69"/>
      <c r="W247" s="69"/>
      <c r="X247" s="69"/>
      <c r="Y247" s="69"/>
      <c r="Z247" s="69"/>
      <c r="AA247" s="69"/>
      <c r="AB247" s="69"/>
      <c r="AC247" s="207"/>
      <c r="AD247" s="207"/>
      <c r="AE247" s="207"/>
      <c r="AF247" s="207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Q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  <c r="BP247" s="69"/>
      <c r="BQ247" s="69"/>
      <c r="BR247" s="69"/>
      <c r="BS247" s="69"/>
      <c r="BT247" s="69"/>
      <c r="BU247" s="69"/>
      <c r="BV247" s="69"/>
      <c r="BW247" s="69"/>
      <c r="BX247" s="69"/>
      <c r="BY247" s="69"/>
      <c r="BZ247" s="69"/>
      <c r="CA247" s="69"/>
      <c r="CB247" s="69"/>
      <c r="CC247" s="69"/>
      <c r="CD247" s="69"/>
      <c r="CE247" s="69"/>
      <c r="CF247" s="69"/>
      <c r="CG247" s="69"/>
      <c r="CH247" s="69"/>
      <c r="CI247" s="69"/>
      <c r="CJ247" s="69"/>
      <c r="CK247" s="69"/>
      <c r="CL247" s="69"/>
      <c r="CM247" s="69"/>
      <c r="CN247" s="69"/>
      <c r="CO247" s="69"/>
    </row>
    <row r="248" spans="1:93" ht="12.75" customHeight="1">
      <c r="A248" s="784"/>
      <c r="B248" s="69"/>
      <c r="C248" s="69"/>
      <c r="D248" s="69"/>
      <c r="E248" s="69"/>
      <c r="F248" s="69"/>
      <c r="G248" s="77"/>
      <c r="H248" s="77"/>
      <c r="I248" s="77"/>
      <c r="J248" s="366"/>
      <c r="K248" s="77"/>
      <c r="L248" s="77"/>
      <c r="M248" s="77"/>
      <c r="N248" s="77"/>
      <c r="O248" s="69"/>
      <c r="P248" s="69"/>
      <c r="Q248" s="69"/>
      <c r="R248" s="69"/>
      <c r="S248" s="77"/>
      <c r="T248" s="77"/>
      <c r="U248" s="69"/>
      <c r="V248" s="69"/>
      <c r="W248" s="69"/>
      <c r="X248" s="69"/>
      <c r="Y248" s="69"/>
      <c r="Z248" s="69"/>
      <c r="AA248" s="69"/>
      <c r="AB248" s="69"/>
      <c r="AC248" s="207"/>
      <c r="AD248" s="207"/>
      <c r="AE248" s="207"/>
      <c r="AF248" s="207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Q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  <c r="BP248" s="69"/>
      <c r="BQ248" s="69"/>
      <c r="BR248" s="69"/>
      <c r="BS248" s="69"/>
      <c r="BT248" s="69"/>
      <c r="BU248" s="69"/>
      <c r="BV248" s="69"/>
      <c r="BW248" s="69"/>
      <c r="BX248" s="69"/>
      <c r="BY248" s="69"/>
      <c r="BZ248" s="69"/>
      <c r="CA248" s="69"/>
      <c r="CB248" s="69"/>
      <c r="CC248" s="69"/>
      <c r="CD248" s="69"/>
      <c r="CE248" s="69"/>
      <c r="CF248" s="69"/>
      <c r="CG248" s="69"/>
      <c r="CH248" s="69"/>
      <c r="CI248" s="69"/>
      <c r="CJ248" s="69"/>
      <c r="CK248" s="69"/>
      <c r="CL248" s="69"/>
      <c r="CM248" s="69"/>
      <c r="CN248" s="69"/>
      <c r="CO248" s="69"/>
    </row>
    <row r="249" spans="1:93" ht="12.75" customHeight="1">
      <c r="A249" s="784"/>
      <c r="B249" s="69"/>
      <c r="C249" s="69"/>
      <c r="D249" s="69"/>
      <c r="E249" s="69"/>
      <c r="F249" s="69"/>
      <c r="G249" s="77"/>
      <c r="H249" s="77"/>
      <c r="I249" s="77"/>
      <c r="J249" s="366"/>
      <c r="K249" s="77"/>
      <c r="L249" s="77"/>
      <c r="M249" s="77"/>
      <c r="N249" s="77"/>
      <c r="O249" s="69"/>
      <c r="P249" s="69"/>
      <c r="Q249" s="69"/>
      <c r="R249" s="69"/>
      <c r="S249" s="77"/>
      <c r="T249" s="77"/>
      <c r="U249" s="69"/>
      <c r="V249" s="69"/>
      <c r="W249" s="69"/>
      <c r="X249" s="69"/>
      <c r="Y249" s="69"/>
      <c r="Z249" s="69"/>
      <c r="AA249" s="69"/>
      <c r="AB249" s="69"/>
      <c r="AC249" s="207"/>
      <c r="AD249" s="207"/>
      <c r="AE249" s="207"/>
      <c r="AF249" s="207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9"/>
      <c r="BP249" s="69"/>
      <c r="BQ249" s="69"/>
      <c r="BR249" s="69"/>
      <c r="BS249" s="69"/>
      <c r="BT249" s="69"/>
      <c r="BU249" s="69"/>
      <c r="BV249" s="69"/>
      <c r="BW249" s="69"/>
      <c r="BX249" s="69"/>
      <c r="BY249" s="69"/>
      <c r="BZ249" s="69"/>
      <c r="CA249" s="69"/>
      <c r="CB249" s="69"/>
      <c r="CC249" s="69"/>
      <c r="CD249" s="69"/>
      <c r="CE249" s="69"/>
      <c r="CF249" s="69"/>
      <c r="CG249" s="69"/>
      <c r="CH249" s="69"/>
      <c r="CI249" s="69"/>
      <c r="CJ249" s="69"/>
      <c r="CK249" s="69"/>
      <c r="CL249" s="69"/>
      <c r="CM249" s="69"/>
      <c r="CN249" s="69"/>
      <c r="CO249" s="69"/>
    </row>
    <row r="250" spans="1:93" ht="12.75" customHeight="1">
      <c r="A250" s="784"/>
      <c r="B250" s="69"/>
      <c r="C250" s="69"/>
      <c r="D250" s="69"/>
      <c r="E250" s="69"/>
      <c r="F250" s="69"/>
      <c r="G250" s="77"/>
      <c r="H250" s="77"/>
      <c r="I250" s="77"/>
      <c r="J250" s="366"/>
      <c r="K250" s="77"/>
      <c r="L250" s="77"/>
      <c r="M250" s="77"/>
      <c r="N250" s="77"/>
      <c r="O250" s="69"/>
      <c r="P250" s="69"/>
      <c r="Q250" s="69"/>
      <c r="R250" s="69"/>
      <c r="S250" s="77"/>
      <c r="T250" s="77"/>
      <c r="U250" s="69"/>
      <c r="V250" s="69"/>
      <c r="W250" s="69"/>
      <c r="X250" s="69"/>
      <c r="Y250" s="69"/>
      <c r="Z250" s="69"/>
      <c r="AA250" s="69"/>
      <c r="AB250" s="69"/>
      <c r="AC250" s="207"/>
      <c r="AD250" s="207"/>
      <c r="AE250" s="207"/>
      <c r="AF250" s="207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Q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9"/>
      <c r="BP250" s="69"/>
      <c r="BQ250" s="69"/>
      <c r="BR250" s="69"/>
      <c r="BS250" s="69"/>
      <c r="BT250" s="69"/>
      <c r="BU250" s="69"/>
      <c r="BV250" s="69"/>
      <c r="BW250" s="69"/>
      <c r="BX250" s="69"/>
      <c r="BY250" s="69"/>
      <c r="BZ250" s="69"/>
      <c r="CA250" s="69"/>
      <c r="CB250" s="69"/>
      <c r="CC250" s="69"/>
      <c r="CD250" s="69"/>
      <c r="CE250" s="69"/>
      <c r="CF250" s="69"/>
      <c r="CG250" s="69"/>
      <c r="CH250" s="69"/>
      <c r="CI250" s="69"/>
      <c r="CJ250" s="69"/>
      <c r="CK250" s="69"/>
      <c r="CL250" s="69"/>
      <c r="CM250" s="69"/>
      <c r="CN250" s="69"/>
      <c r="CO250" s="69"/>
    </row>
    <row r="251" spans="1:93" ht="12.75" customHeight="1">
      <c r="A251" s="784"/>
      <c r="B251" s="69"/>
      <c r="C251" s="69"/>
      <c r="D251" s="69"/>
      <c r="E251" s="69"/>
      <c r="F251" s="69"/>
      <c r="G251" s="77"/>
      <c r="H251" s="77"/>
      <c r="I251" s="77"/>
      <c r="J251" s="366"/>
      <c r="K251" s="77"/>
      <c r="L251" s="77"/>
      <c r="M251" s="77"/>
      <c r="N251" s="77"/>
      <c r="O251" s="69"/>
      <c r="P251" s="69"/>
      <c r="Q251" s="69"/>
      <c r="R251" s="69"/>
      <c r="S251" s="77"/>
      <c r="T251" s="77"/>
      <c r="U251" s="69"/>
      <c r="V251" s="69"/>
      <c r="W251" s="69"/>
      <c r="X251" s="69"/>
      <c r="Y251" s="69"/>
      <c r="Z251" s="69"/>
      <c r="AA251" s="69"/>
      <c r="AB251" s="69"/>
      <c r="AC251" s="207"/>
      <c r="AD251" s="207"/>
      <c r="AE251" s="207"/>
      <c r="AF251" s="207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Q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69"/>
      <c r="BP251" s="69"/>
      <c r="BQ251" s="69"/>
      <c r="BR251" s="69"/>
      <c r="BS251" s="69"/>
      <c r="BT251" s="69"/>
      <c r="BU251" s="69"/>
      <c r="BV251" s="69"/>
      <c r="BW251" s="69"/>
      <c r="BX251" s="69"/>
      <c r="BY251" s="69"/>
      <c r="BZ251" s="69"/>
      <c r="CA251" s="69"/>
      <c r="CB251" s="69"/>
      <c r="CC251" s="69"/>
      <c r="CD251" s="69"/>
      <c r="CE251" s="69"/>
      <c r="CF251" s="69"/>
      <c r="CG251" s="69"/>
      <c r="CH251" s="69"/>
      <c r="CI251" s="69"/>
      <c r="CJ251" s="69"/>
      <c r="CK251" s="69"/>
      <c r="CL251" s="69"/>
      <c r="CM251" s="69"/>
      <c r="CN251" s="69"/>
      <c r="CO251" s="69"/>
    </row>
    <row r="252" spans="1:93" ht="12.75" customHeight="1">
      <c r="A252" s="784"/>
      <c r="B252" s="69"/>
      <c r="C252" s="69"/>
      <c r="D252" s="69"/>
      <c r="E252" s="69"/>
      <c r="F252" s="69"/>
      <c r="G252" s="77"/>
      <c r="H252" s="77"/>
      <c r="I252" s="77"/>
      <c r="J252" s="366"/>
      <c r="K252" s="77"/>
      <c r="L252" s="77"/>
      <c r="M252" s="77"/>
      <c r="N252" s="77"/>
      <c r="O252" s="69"/>
      <c r="P252" s="69"/>
      <c r="Q252" s="69"/>
      <c r="R252" s="69"/>
      <c r="S252" s="77"/>
      <c r="T252" s="77"/>
      <c r="U252" s="69"/>
      <c r="V252" s="69"/>
      <c r="W252" s="69"/>
      <c r="X252" s="69"/>
      <c r="Y252" s="69"/>
      <c r="Z252" s="69"/>
      <c r="AA252" s="69"/>
      <c r="AB252" s="69"/>
      <c r="AC252" s="207"/>
      <c r="AD252" s="207"/>
      <c r="AE252" s="207"/>
      <c r="AF252" s="207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Q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  <c r="BM252" s="69"/>
      <c r="BN252" s="69"/>
      <c r="BO252" s="69"/>
      <c r="BP252" s="69"/>
      <c r="BQ252" s="69"/>
      <c r="BR252" s="69"/>
      <c r="BS252" s="69"/>
      <c r="BT252" s="69"/>
      <c r="BU252" s="69"/>
      <c r="BV252" s="69"/>
      <c r="BW252" s="69"/>
      <c r="BX252" s="69"/>
      <c r="BY252" s="69"/>
      <c r="BZ252" s="69"/>
      <c r="CA252" s="69"/>
      <c r="CB252" s="69"/>
      <c r="CC252" s="69"/>
      <c r="CD252" s="69"/>
      <c r="CE252" s="69"/>
      <c r="CF252" s="69"/>
      <c r="CG252" s="69"/>
      <c r="CH252" s="69"/>
      <c r="CI252" s="69"/>
      <c r="CJ252" s="69"/>
      <c r="CK252" s="69"/>
      <c r="CL252" s="69"/>
      <c r="CM252" s="69"/>
      <c r="CN252" s="69"/>
      <c r="CO252" s="69"/>
    </row>
    <row r="253" spans="1:93" ht="12.75" customHeight="1">
      <c r="A253" s="784"/>
      <c r="B253" s="69"/>
      <c r="C253" s="69"/>
      <c r="D253" s="69"/>
      <c r="E253" s="69"/>
      <c r="F253" s="69"/>
      <c r="G253" s="77"/>
      <c r="H253" s="77"/>
      <c r="I253" s="77"/>
      <c r="J253" s="366"/>
      <c r="K253" s="77"/>
      <c r="L253" s="77"/>
      <c r="M253" s="77"/>
      <c r="N253" s="77"/>
      <c r="O253" s="69"/>
      <c r="P253" s="69"/>
      <c r="Q253" s="69"/>
      <c r="R253" s="69"/>
      <c r="S253" s="77"/>
      <c r="T253" s="77"/>
      <c r="U253" s="69"/>
      <c r="V253" s="69"/>
      <c r="W253" s="69"/>
      <c r="X253" s="69"/>
      <c r="Y253" s="69"/>
      <c r="Z253" s="69"/>
      <c r="AA253" s="69"/>
      <c r="AB253" s="69"/>
      <c r="AC253" s="207"/>
      <c r="AD253" s="207"/>
      <c r="AE253" s="207"/>
      <c r="AF253" s="207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  <c r="BP253" s="69"/>
      <c r="BQ253" s="69"/>
      <c r="BR253" s="69"/>
      <c r="BS253" s="69"/>
      <c r="BT253" s="69"/>
      <c r="BU253" s="69"/>
      <c r="BV253" s="69"/>
      <c r="BW253" s="69"/>
      <c r="BX253" s="69"/>
      <c r="BY253" s="69"/>
      <c r="BZ253" s="69"/>
      <c r="CA253" s="69"/>
      <c r="CB253" s="69"/>
      <c r="CC253" s="69"/>
      <c r="CD253" s="69"/>
      <c r="CE253" s="69"/>
      <c r="CF253" s="69"/>
      <c r="CG253" s="69"/>
      <c r="CH253" s="69"/>
      <c r="CI253" s="69"/>
      <c r="CJ253" s="69"/>
      <c r="CK253" s="69"/>
      <c r="CL253" s="69"/>
      <c r="CM253" s="69"/>
      <c r="CN253" s="69"/>
      <c r="CO253" s="69"/>
    </row>
    <row r="254" spans="1:93" ht="12.75" customHeight="1">
      <c r="A254" s="784"/>
      <c r="B254" s="69"/>
      <c r="C254" s="69"/>
      <c r="D254" s="69"/>
      <c r="E254" s="69"/>
      <c r="F254" s="69"/>
      <c r="G254" s="77"/>
      <c r="H254" s="77"/>
      <c r="I254" s="77"/>
      <c r="J254" s="366"/>
      <c r="K254" s="77"/>
      <c r="L254" s="77"/>
      <c r="M254" s="77"/>
      <c r="N254" s="77"/>
      <c r="O254" s="69"/>
      <c r="P254" s="69"/>
      <c r="Q254" s="69"/>
      <c r="R254" s="69"/>
      <c r="S254" s="77"/>
      <c r="T254" s="77"/>
      <c r="U254" s="69"/>
      <c r="V254" s="69"/>
      <c r="W254" s="69"/>
      <c r="X254" s="69"/>
      <c r="Y254" s="69"/>
      <c r="Z254" s="69"/>
      <c r="AA254" s="69"/>
      <c r="AB254" s="69"/>
      <c r="AC254" s="207"/>
      <c r="AD254" s="207"/>
      <c r="AE254" s="207"/>
      <c r="AF254" s="207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Q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  <c r="BP254" s="69"/>
      <c r="BQ254" s="69"/>
      <c r="BR254" s="69"/>
      <c r="BS254" s="69"/>
      <c r="BT254" s="69"/>
      <c r="BU254" s="69"/>
      <c r="BV254" s="69"/>
      <c r="BW254" s="69"/>
      <c r="BX254" s="69"/>
      <c r="BY254" s="69"/>
      <c r="BZ254" s="69"/>
      <c r="CA254" s="69"/>
      <c r="CB254" s="69"/>
      <c r="CC254" s="69"/>
      <c r="CD254" s="69"/>
      <c r="CE254" s="69"/>
      <c r="CF254" s="69"/>
      <c r="CG254" s="69"/>
      <c r="CH254" s="69"/>
      <c r="CI254" s="69"/>
      <c r="CJ254" s="69"/>
      <c r="CK254" s="69"/>
      <c r="CL254" s="69"/>
      <c r="CM254" s="69"/>
      <c r="CN254" s="69"/>
      <c r="CO254" s="69"/>
    </row>
    <row r="255" spans="1:93" ht="12.75" customHeight="1">
      <c r="A255" s="784"/>
      <c r="B255" s="69"/>
      <c r="C255" s="69"/>
      <c r="D255" s="69"/>
      <c r="E255" s="69"/>
      <c r="F255" s="69"/>
      <c r="G255" s="77"/>
      <c r="H255" s="77"/>
      <c r="I255" s="77"/>
      <c r="J255" s="366"/>
      <c r="K255" s="77"/>
      <c r="L255" s="77"/>
      <c r="M255" s="77"/>
      <c r="N255" s="77"/>
      <c r="O255" s="69"/>
      <c r="P255" s="69"/>
      <c r="Q255" s="69"/>
      <c r="R255" s="69"/>
      <c r="S255" s="77"/>
      <c r="T255" s="77"/>
      <c r="U255" s="69"/>
      <c r="V255" s="69"/>
      <c r="W255" s="69"/>
      <c r="X255" s="69"/>
      <c r="Y255" s="69"/>
      <c r="Z255" s="69"/>
      <c r="AA255" s="69"/>
      <c r="AB255" s="69"/>
      <c r="AC255" s="207"/>
      <c r="AD255" s="207"/>
      <c r="AE255" s="207"/>
      <c r="AF255" s="207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Q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  <c r="BP255" s="69"/>
      <c r="BQ255" s="69"/>
      <c r="BR255" s="69"/>
      <c r="BS255" s="69"/>
      <c r="BT255" s="69"/>
      <c r="BU255" s="69"/>
      <c r="BV255" s="69"/>
      <c r="BW255" s="69"/>
      <c r="BX255" s="69"/>
      <c r="BY255" s="69"/>
      <c r="BZ255" s="69"/>
      <c r="CA255" s="69"/>
      <c r="CB255" s="69"/>
      <c r="CC255" s="69"/>
      <c r="CD255" s="69"/>
      <c r="CE255" s="69"/>
      <c r="CF255" s="69"/>
      <c r="CG255" s="69"/>
      <c r="CH255" s="69"/>
      <c r="CI255" s="69"/>
      <c r="CJ255" s="69"/>
      <c r="CK255" s="69"/>
      <c r="CL255" s="69"/>
      <c r="CM255" s="69"/>
      <c r="CN255" s="69"/>
      <c r="CO255" s="69"/>
    </row>
    <row r="256" spans="1:93" ht="12.75" customHeight="1">
      <c r="A256" s="784"/>
      <c r="B256" s="69"/>
      <c r="C256" s="69"/>
      <c r="D256" s="69"/>
      <c r="E256" s="69"/>
      <c r="F256" s="69"/>
      <c r="G256" s="77"/>
      <c r="H256" s="77"/>
      <c r="I256" s="77"/>
      <c r="J256" s="366"/>
      <c r="K256" s="77"/>
      <c r="L256" s="77"/>
      <c r="M256" s="77"/>
      <c r="N256" s="77"/>
      <c r="O256" s="69"/>
      <c r="P256" s="69"/>
      <c r="Q256" s="69"/>
      <c r="R256" s="69"/>
      <c r="S256" s="77"/>
      <c r="T256" s="77"/>
      <c r="U256" s="69"/>
      <c r="V256" s="69"/>
      <c r="W256" s="69"/>
      <c r="X256" s="69"/>
      <c r="Y256" s="69"/>
      <c r="Z256" s="69"/>
      <c r="AA256" s="69"/>
      <c r="AB256" s="69"/>
      <c r="AC256" s="207"/>
      <c r="AD256" s="207"/>
      <c r="AE256" s="207"/>
      <c r="AF256" s="207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Q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  <c r="BP256" s="69"/>
      <c r="BQ256" s="69"/>
      <c r="BR256" s="69"/>
      <c r="BS256" s="69"/>
      <c r="BT256" s="69"/>
      <c r="BU256" s="69"/>
      <c r="BV256" s="69"/>
      <c r="BW256" s="69"/>
      <c r="BX256" s="69"/>
      <c r="BY256" s="69"/>
      <c r="BZ256" s="69"/>
      <c r="CA256" s="69"/>
      <c r="CB256" s="69"/>
      <c r="CC256" s="69"/>
      <c r="CD256" s="69"/>
      <c r="CE256" s="69"/>
      <c r="CF256" s="69"/>
      <c r="CG256" s="69"/>
      <c r="CH256" s="69"/>
      <c r="CI256" s="69"/>
      <c r="CJ256" s="69"/>
      <c r="CK256" s="69"/>
      <c r="CL256" s="69"/>
      <c r="CM256" s="69"/>
      <c r="CN256" s="69"/>
      <c r="CO256" s="69"/>
    </row>
    <row r="257" spans="1:93" ht="12.75" customHeight="1">
      <c r="A257" s="784"/>
      <c r="B257" s="69"/>
      <c r="C257" s="69"/>
      <c r="D257" s="69"/>
      <c r="E257" s="69"/>
      <c r="F257" s="69"/>
      <c r="G257" s="77"/>
      <c r="H257" s="77"/>
      <c r="I257" s="77"/>
      <c r="J257" s="366"/>
      <c r="K257" s="77"/>
      <c r="L257" s="77"/>
      <c r="M257" s="77"/>
      <c r="N257" s="77"/>
      <c r="O257" s="69"/>
      <c r="P257" s="69"/>
      <c r="Q257" s="69"/>
      <c r="R257" s="69"/>
      <c r="S257" s="77"/>
      <c r="T257" s="77"/>
      <c r="U257" s="69"/>
      <c r="V257" s="69"/>
      <c r="W257" s="69"/>
      <c r="X257" s="69"/>
      <c r="Y257" s="69"/>
      <c r="Z257" s="69"/>
      <c r="AA257" s="69"/>
      <c r="AB257" s="69"/>
      <c r="AC257" s="207"/>
      <c r="AD257" s="207"/>
      <c r="AE257" s="207"/>
      <c r="AF257" s="207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Q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9"/>
      <c r="BQ257" s="69"/>
      <c r="BR257" s="69"/>
      <c r="BS257" s="69"/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  <c r="CD257" s="69"/>
      <c r="CE257" s="69"/>
      <c r="CF257" s="69"/>
      <c r="CG257" s="69"/>
      <c r="CH257" s="69"/>
      <c r="CI257" s="69"/>
      <c r="CJ257" s="69"/>
      <c r="CK257" s="69"/>
      <c r="CL257" s="69"/>
      <c r="CM257" s="69"/>
      <c r="CN257" s="69"/>
      <c r="CO257" s="69"/>
    </row>
    <row r="258" spans="1:93" ht="12.75" customHeight="1">
      <c r="A258" s="784"/>
      <c r="B258" s="69"/>
      <c r="C258" s="69"/>
      <c r="D258" s="69"/>
      <c r="E258" s="69"/>
      <c r="F258" s="69"/>
      <c r="G258" s="77"/>
      <c r="H258" s="77"/>
      <c r="I258" s="77"/>
      <c r="J258" s="366"/>
      <c r="K258" s="77"/>
      <c r="L258" s="77"/>
      <c r="M258" s="77"/>
      <c r="N258" s="77"/>
      <c r="O258" s="69"/>
      <c r="P258" s="69"/>
      <c r="Q258" s="69"/>
      <c r="R258" s="69"/>
      <c r="S258" s="77"/>
      <c r="T258" s="77"/>
      <c r="U258" s="69"/>
      <c r="V258" s="69"/>
      <c r="W258" s="69"/>
      <c r="X258" s="69"/>
      <c r="Y258" s="69"/>
      <c r="Z258" s="69"/>
      <c r="AA258" s="69"/>
      <c r="AB258" s="69"/>
      <c r="AC258" s="207"/>
      <c r="AD258" s="207"/>
      <c r="AE258" s="207"/>
      <c r="AF258" s="207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Q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  <c r="BP258" s="69"/>
      <c r="BQ258" s="69"/>
      <c r="BR258" s="69"/>
      <c r="BS258" s="69"/>
      <c r="BT258" s="69"/>
      <c r="BU258" s="69"/>
      <c r="BV258" s="69"/>
      <c r="BW258" s="69"/>
      <c r="BX258" s="69"/>
      <c r="BY258" s="69"/>
      <c r="BZ258" s="69"/>
      <c r="CA258" s="69"/>
      <c r="CB258" s="69"/>
      <c r="CC258" s="69"/>
      <c r="CD258" s="69"/>
      <c r="CE258" s="69"/>
      <c r="CF258" s="69"/>
      <c r="CG258" s="69"/>
      <c r="CH258" s="69"/>
      <c r="CI258" s="69"/>
      <c r="CJ258" s="69"/>
      <c r="CK258" s="69"/>
      <c r="CL258" s="69"/>
      <c r="CM258" s="69"/>
      <c r="CN258" s="69"/>
      <c r="CO258" s="69"/>
    </row>
    <row r="259" spans="1:93" ht="12.75" customHeight="1">
      <c r="A259" s="784"/>
      <c r="B259" s="69"/>
      <c r="C259" s="69"/>
      <c r="D259" s="69"/>
      <c r="E259" s="69"/>
      <c r="F259" s="69"/>
      <c r="G259" s="77"/>
      <c r="H259" s="77"/>
      <c r="I259" s="77"/>
      <c r="J259" s="366"/>
      <c r="K259" s="77"/>
      <c r="L259" s="77"/>
      <c r="M259" s="77"/>
      <c r="N259" s="77"/>
      <c r="O259" s="69"/>
      <c r="P259" s="69"/>
      <c r="Q259" s="69"/>
      <c r="R259" s="69"/>
      <c r="S259" s="77"/>
      <c r="T259" s="77"/>
      <c r="U259" s="69"/>
      <c r="V259" s="69"/>
      <c r="W259" s="69"/>
      <c r="X259" s="69"/>
      <c r="Y259" s="69"/>
      <c r="Z259" s="69"/>
      <c r="AA259" s="69"/>
      <c r="AB259" s="69"/>
      <c r="AC259" s="207"/>
      <c r="AD259" s="207"/>
      <c r="AE259" s="207"/>
      <c r="AF259" s="207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Q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  <c r="BP259" s="69"/>
      <c r="BQ259" s="69"/>
      <c r="BR259" s="69"/>
      <c r="BS259" s="69"/>
      <c r="BT259" s="69"/>
      <c r="BU259" s="69"/>
      <c r="BV259" s="69"/>
      <c r="BW259" s="69"/>
      <c r="BX259" s="69"/>
      <c r="BY259" s="69"/>
      <c r="BZ259" s="69"/>
      <c r="CA259" s="69"/>
      <c r="CB259" s="69"/>
      <c r="CC259" s="69"/>
      <c r="CD259" s="69"/>
      <c r="CE259" s="69"/>
      <c r="CF259" s="69"/>
      <c r="CG259" s="69"/>
      <c r="CH259" s="69"/>
      <c r="CI259" s="69"/>
      <c r="CJ259" s="69"/>
      <c r="CK259" s="69"/>
      <c r="CL259" s="69"/>
      <c r="CM259" s="69"/>
      <c r="CN259" s="69"/>
      <c r="CO259" s="69"/>
    </row>
    <row r="260" spans="1:93" ht="12.75" customHeight="1">
      <c r="A260" s="784"/>
      <c r="B260" s="69"/>
      <c r="C260" s="69"/>
      <c r="D260" s="69"/>
      <c r="E260" s="69"/>
      <c r="F260" s="69"/>
      <c r="G260" s="77"/>
      <c r="H260" s="77"/>
      <c r="I260" s="77"/>
      <c r="J260" s="366"/>
      <c r="K260" s="77"/>
      <c r="L260" s="77"/>
      <c r="M260" s="77"/>
      <c r="N260" s="77"/>
      <c r="O260" s="69"/>
      <c r="P260" s="69"/>
      <c r="Q260" s="69"/>
      <c r="R260" s="69"/>
      <c r="S260" s="77"/>
      <c r="T260" s="77"/>
      <c r="U260" s="69"/>
      <c r="V260" s="69"/>
      <c r="W260" s="69"/>
      <c r="X260" s="69"/>
      <c r="Y260" s="69"/>
      <c r="Z260" s="69"/>
      <c r="AA260" s="69"/>
      <c r="AB260" s="69"/>
      <c r="AC260" s="207"/>
      <c r="AD260" s="207"/>
      <c r="AE260" s="207"/>
      <c r="AF260" s="207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Q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  <c r="BV260" s="69"/>
      <c r="BW260" s="69"/>
      <c r="BX260" s="69"/>
      <c r="BY260" s="69"/>
      <c r="BZ260" s="69"/>
      <c r="CA260" s="69"/>
      <c r="CB260" s="69"/>
      <c r="CC260" s="69"/>
      <c r="CD260" s="69"/>
      <c r="CE260" s="69"/>
      <c r="CF260" s="69"/>
      <c r="CG260" s="69"/>
      <c r="CH260" s="69"/>
      <c r="CI260" s="69"/>
      <c r="CJ260" s="69"/>
      <c r="CK260" s="69"/>
      <c r="CL260" s="69"/>
      <c r="CM260" s="69"/>
      <c r="CN260" s="69"/>
      <c r="CO260" s="69"/>
    </row>
    <row r="261" spans="1:93" ht="12.75" customHeight="1">
      <c r="A261" s="784"/>
      <c r="B261" s="69"/>
      <c r="C261" s="69"/>
      <c r="D261" s="69"/>
      <c r="E261" s="69"/>
      <c r="F261" s="69"/>
      <c r="G261" s="77"/>
      <c r="H261" s="77"/>
      <c r="I261" s="77"/>
      <c r="J261" s="366"/>
      <c r="K261" s="77"/>
      <c r="L261" s="77"/>
      <c r="M261" s="77"/>
      <c r="N261" s="77"/>
      <c r="O261" s="69"/>
      <c r="P261" s="69"/>
      <c r="Q261" s="69"/>
      <c r="R261" s="69"/>
      <c r="S261" s="77"/>
      <c r="T261" s="77"/>
      <c r="U261" s="69"/>
      <c r="V261" s="69"/>
      <c r="W261" s="69"/>
      <c r="X261" s="69"/>
      <c r="Y261" s="69"/>
      <c r="Z261" s="69"/>
      <c r="AA261" s="69"/>
      <c r="AB261" s="69"/>
      <c r="AC261" s="207"/>
      <c r="AD261" s="207"/>
      <c r="AE261" s="207"/>
      <c r="AF261" s="207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Q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  <c r="BP261" s="69"/>
      <c r="BQ261" s="69"/>
      <c r="BR261" s="69"/>
      <c r="BS261" s="69"/>
      <c r="BT261" s="69"/>
      <c r="BU261" s="69"/>
      <c r="BV261" s="69"/>
      <c r="BW261" s="69"/>
      <c r="BX261" s="69"/>
      <c r="BY261" s="69"/>
      <c r="BZ261" s="69"/>
      <c r="CA261" s="69"/>
      <c r="CB261" s="69"/>
      <c r="CC261" s="69"/>
      <c r="CD261" s="69"/>
      <c r="CE261" s="69"/>
      <c r="CF261" s="69"/>
      <c r="CG261" s="69"/>
      <c r="CH261" s="69"/>
      <c r="CI261" s="69"/>
      <c r="CJ261" s="69"/>
      <c r="CK261" s="69"/>
      <c r="CL261" s="69"/>
      <c r="CM261" s="69"/>
      <c r="CN261" s="69"/>
      <c r="CO261" s="69"/>
    </row>
    <row r="262" spans="1:93" ht="12.75" customHeight="1">
      <c r="A262" s="784"/>
      <c r="B262" s="69"/>
      <c r="C262" s="69"/>
      <c r="D262" s="69"/>
      <c r="E262" s="69"/>
      <c r="F262" s="69"/>
      <c r="G262" s="77"/>
      <c r="H262" s="77"/>
      <c r="I262" s="77"/>
      <c r="J262" s="366"/>
      <c r="K262" s="77"/>
      <c r="L262" s="77"/>
      <c r="M262" s="77"/>
      <c r="N262" s="77"/>
      <c r="O262" s="69"/>
      <c r="P262" s="69"/>
      <c r="Q262" s="69"/>
      <c r="R262" s="69"/>
      <c r="S262" s="77"/>
      <c r="T262" s="77"/>
      <c r="U262" s="69"/>
      <c r="V262" s="69"/>
      <c r="W262" s="69"/>
      <c r="X262" s="69"/>
      <c r="Y262" s="69"/>
      <c r="Z262" s="69"/>
      <c r="AA262" s="69"/>
      <c r="AB262" s="69"/>
      <c r="AC262" s="207"/>
      <c r="AD262" s="207"/>
      <c r="AE262" s="207"/>
      <c r="AF262" s="207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Q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  <c r="BP262" s="69"/>
      <c r="BQ262" s="69"/>
      <c r="BR262" s="69"/>
      <c r="BS262" s="69"/>
      <c r="BT262" s="69"/>
      <c r="BU262" s="69"/>
      <c r="BV262" s="69"/>
      <c r="BW262" s="69"/>
      <c r="BX262" s="69"/>
      <c r="BY262" s="69"/>
      <c r="BZ262" s="69"/>
      <c r="CA262" s="69"/>
      <c r="CB262" s="69"/>
      <c r="CC262" s="69"/>
      <c r="CD262" s="69"/>
      <c r="CE262" s="69"/>
      <c r="CF262" s="69"/>
      <c r="CG262" s="69"/>
      <c r="CH262" s="69"/>
      <c r="CI262" s="69"/>
      <c r="CJ262" s="69"/>
      <c r="CK262" s="69"/>
      <c r="CL262" s="69"/>
      <c r="CM262" s="69"/>
      <c r="CN262" s="69"/>
      <c r="CO262" s="69"/>
    </row>
    <row r="263" spans="1:93" ht="12.75" customHeight="1">
      <c r="A263" s="784"/>
      <c r="B263" s="69"/>
      <c r="C263" s="69"/>
      <c r="D263" s="69"/>
      <c r="E263" s="69"/>
      <c r="F263" s="69"/>
      <c r="G263" s="77"/>
      <c r="H263" s="77"/>
      <c r="I263" s="77"/>
      <c r="J263" s="366"/>
      <c r="K263" s="77"/>
      <c r="L263" s="77"/>
      <c r="M263" s="77"/>
      <c r="N263" s="77"/>
      <c r="O263" s="69"/>
      <c r="P263" s="69"/>
      <c r="Q263" s="69"/>
      <c r="R263" s="69"/>
      <c r="S263" s="77"/>
      <c r="T263" s="77"/>
      <c r="U263" s="69"/>
      <c r="V263" s="69"/>
      <c r="W263" s="69"/>
      <c r="X263" s="69"/>
      <c r="Y263" s="69"/>
      <c r="Z263" s="69"/>
      <c r="AA263" s="69"/>
      <c r="AB263" s="69"/>
      <c r="AC263" s="207"/>
      <c r="AD263" s="207"/>
      <c r="AE263" s="207"/>
      <c r="AF263" s="207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Q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  <c r="BM263" s="69"/>
      <c r="BN263" s="69"/>
      <c r="BO263" s="69"/>
      <c r="BP263" s="69"/>
      <c r="BQ263" s="69"/>
      <c r="BR263" s="69"/>
      <c r="BS263" s="69"/>
      <c r="BT263" s="69"/>
      <c r="BU263" s="69"/>
      <c r="BV263" s="69"/>
      <c r="BW263" s="69"/>
      <c r="BX263" s="69"/>
      <c r="BY263" s="69"/>
      <c r="BZ263" s="69"/>
      <c r="CA263" s="69"/>
      <c r="CB263" s="69"/>
      <c r="CC263" s="69"/>
      <c r="CD263" s="69"/>
      <c r="CE263" s="69"/>
      <c r="CF263" s="69"/>
      <c r="CG263" s="69"/>
      <c r="CH263" s="69"/>
      <c r="CI263" s="69"/>
      <c r="CJ263" s="69"/>
      <c r="CK263" s="69"/>
      <c r="CL263" s="69"/>
      <c r="CM263" s="69"/>
      <c r="CN263" s="69"/>
      <c r="CO263" s="69"/>
    </row>
    <row r="264" spans="1:93" ht="12.75" customHeight="1">
      <c r="A264" s="784"/>
      <c r="B264" s="69"/>
      <c r="C264" s="69"/>
      <c r="D264" s="69"/>
      <c r="E264" s="69"/>
      <c r="F264" s="69"/>
      <c r="G264" s="77"/>
      <c r="H264" s="77"/>
      <c r="I264" s="77"/>
      <c r="J264" s="366"/>
      <c r="K264" s="77"/>
      <c r="L264" s="77"/>
      <c r="M264" s="77"/>
      <c r="N264" s="77"/>
      <c r="O264" s="69"/>
      <c r="P264" s="69"/>
      <c r="Q264" s="69"/>
      <c r="R264" s="69"/>
      <c r="S264" s="77"/>
      <c r="T264" s="77"/>
      <c r="U264" s="69"/>
      <c r="V264" s="69"/>
      <c r="W264" s="69"/>
      <c r="X264" s="69"/>
      <c r="Y264" s="69"/>
      <c r="Z264" s="69"/>
      <c r="AA264" s="69"/>
      <c r="AB264" s="69"/>
      <c r="AC264" s="207"/>
      <c r="AD264" s="207"/>
      <c r="AE264" s="207"/>
      <c r="AF264" s="207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Q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  <c r="BM264" s="69"/>
      <c r="BN264" s="69"/>
      <c r="BO264" s="69"/>
      <c r="BP264" s="69"/>
      <c r="BQ264" s="69"/>
      <c r="BR264" s="69"/>
      <c r="BS264" s="69"/>
      <c r="BT264" s="69"/>
      <c r="BU264" s="69"/>
      <c r="BV264" s="69"/>
      <c r="BW264" s="69"/>
      <c r="BX264" s="69"/>
      <c r="BY264" s="69"/>
      <c r="BZ264" s="69"/>
      <c r="CA264" s="69"/>
      <c r="CB264" s="69"/>
      <c r="CC264" s="69"/>
      <c r="CD264" s="69"/>
      <c r="CE264" s="69"/>
      <c r="CF264" s="69"/>
      <c r="CG264" s="69"/>
      <c r="CH264" s="69"/>
      <c r="CI264" s="69"/>
      <c r="CJ264" s="69"/>
      <c r="CK264" s="69"/>
      <c r="CL264" s="69"/>
      <c r="CM264" s="69"/>
      <c r="CN264" s="69"/>
      <c r="CO264" s="69"/>
    </row>
    <row r="265" spans="1:93" ht="12.75" customHeight="1">
      <c r="A265" s="784"/>
      <c r="B265" s="69"/>
      <c r="C265" s="69"/>
      <c r="D265" s="69"/>
      <c r="E265" s="69"/>
      <c r="F265" s="69"/>
      <c r="G265" s="77"/>
      <c r="H265" s="77"/>
      <c r="I265" s="77"/>
      <c r="J265" s="366"/>
      <c r="K265" s="77"/>
      <c r="L265" s="77"/>
      <c r="M265" s="77"/>
      <c r="N265" s="77"/>
      <c r="O265" s="69"/>
      <c r="P265" s="69"/>
      <c r="Q265" s="69"/>
      <c r="R265" s="69"/>
      <c r="S265" s="77"/>
      <c r="T265" s="77"/>
      <c r="U265" s="69"/>
      <c r="V265" s="69"/>
      <c r="W265" s="69"/>
      <c r="X265" s="69"/>
      <c r="Y265" s="69"/>
      <c r="Z265" s="69"/>
      <c r="AA265" s="69"/>
      <c r="AB265" s="69"/>
      <c r="AC265" s="207"/>
      <c r="AD265" s="207"/>
      <c r="AE265" s="207"/>
      <c r="AF265" s="207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Q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  <c r="BP265" s="69"/>
      <c r="BQ265" s="69"/>
      <c r="BR265" s="69"/>
      <c r="BS265" s="69"/>
      <c r="BT265" s="69"/>
      <c r="BU265" s="69"/>
      <c r="BV265" s="69"/>
      <c r="BW265" s="69"/>
      <c r="BX265" s="69"/>
      <c r="BY265" s="69"/>
      <c r="BZ265" s="69"/>
      <c r="CA265" s="69"/>
      <c r="CB265" s="69"/>
      <c r="CC265" s="69"/>
      <c r="CD265" s="69"/>
      <c r="CE265" s="69"/>
      <c r="CF265" s="69"/>
      <c r="CG265" s="69"/>
      <c r="CH265" s="69"/>
      <c r="CI265" s="69"/>
      <c r="CJ265" s="69"/>
      <c r="CK265" s="69"/>
      <c r="CL265" s="69"/>
      <c r="CM265" s="69"/>
      <c r="CN265" s="69"/>
      <c r="CO265" s="69"/>
    </row>
    <row r="266" spans="1:93" ht="12.75" customHeight="1">
      <c r="A266" s="784"/>
      <c r="B266" s="69"/>
      <c r="C266" s="69"/>
      <c r="D266" s="69"/>
      <c r="E266" s="69"/>
      <c r="F266" s="69"/>
      <c r="G266" s="77"/>
      <c r="H266" s="77"/>
      <c r="I266" s="77"/>
      <c r="J266" s="366"/>
      <c r="K266" s="77"/>
      <c r="L266" s="77"/>
      <c r="M266" s="77"/>
      <c r="N266" s="77"/>
      <c r="O266" s="69"/>
      <c r="P266" s="69"/>
      <c r="Q266" s="69"/>
      <c r="R266" s="69"/>
      <c r="S266" s="77"/>
      <c r="T266" s="77"/>
      <c r="U266" s="69"/>
      <c r="V266" s="69"/>
      <c r="W266" s="69"/>
      <c r="X266" s="69"/>
      <c r="Y266" s="69"/>
      <c r="Z266" s="69"/>
      <c r="AA266" s="69"/>
      <c r="AB266" s="69"/>
      <c r="AC266" s="207"/>
      <c r="AD266" s="207"/>
      <c r="AE266" s="207"/>
      <c r="AF266" s="207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Q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  <c r="BM266" s="69"/>
      <c r="BN266" s="69"/>
      <c r="BO266" s="69"/>
      <c r="BP266" s="69"/>
      <c r="BQ266" s="69"/>
      <c r="BR266" s="69"/>
      <c r="BS266" s="69"/>
      <c r="BT266" s="69"/>
      <c r="BU266" s="69"/>
      <c r="BV266" s="69"/>
      <c r="BW266" s="69"/>
      <c r="BX266" s="69"/>
      <c r="BY266" s="69"/>
      <c r="BZ266" s="69"/>
      <c r="CA266" s="69"/>
      <c r="CB266" s="69"/>
      <c r="CC266" s="69"/>
      <c r="CD266" s="69"/>
      <c r="CE266" s="69"/>
      <c r="CF266" s="69"/>
      <c r="CG266" s="69"/>
      <c r="CH266" s="69"/>
      <c r="CI266" s="69"/>
      <c r="CJ266" s="69"/>
      <c r="CK266" s="69"/>
      <c r="CL266" s="69"/>
      <c r="CM266" s="69"/>
      <c r="CN266" s="69"/>
      <c r="CO266" s="69"/>
    </row>
    <row r="267" spans="1:93" ht="12.75" customHeight="1">
      <c r="A267" s="784"/>
      <c r="B267" s="69"/>
      <c r="C267" s="69"/>
      <c r="D267" s="69"/>
      <c r="E267" s="69"/>
      <c r="F267" s="69"/>
      <c r="G267" s="77"/>
      <c r="H267" s="77"/>
      <c r="I267" s="77"/>
      <c r="J267" s="366"/>
      <c r="K267" s="77"/>
      <c r="L267" s="77"/>
      <c r="M267" s="77"/>
      <c r="N267" s="77"/>
      <c r="O267" s="69"/>
      <c r="P267" s="69"/>
      <c r="Q267" s="69"/>
      <c r="R267" s="69"/>
      <c r="S267" s="77"/>
      <c r="T267" s="77"/>
      <c r="U267" s="69"/>
      <c r="V267" s="69"/>
      <c r="W267" s="69"/>
      <c r="X267" s="69"/>
      <c r="Y267" s="69"/>
      <c r="Z267" s="69"/>
      <c r="AA267" s="69"/>
      <c r="AB267" s="69"/>
      <c r="AC267" s="207"/>
      <c r="AD267" s="207"/>
      <c r="AE267" s="207"/>
      <c r="AF267" s="207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Q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  <c r="BM267" s="69"/>
      <c r="BN267" s="69"/>
      <c r="BO267" s="69"/>
      <c r="BP267" s="69"/>
      <c r="BQ267" s="69"/>
      <c r="BR267" s="69"/>
      <c r="BS267" s="69"/>
      <c r="BT267" s="69"/>
      <c r="BU267" s="69"/>
      <c r="BV267" s="69"/>
      <c r="BW267" s="69"/>
      <c r="BX267" s="69"/>
      <c r="BY267" s="69"/>
      <c r="BZ267" s="69"/>
      <c r="CA267" s="69"/>
      <c r="CB267" s="69"/>
      <c r="CC267" s="69"/>
      <c r="CD267" s="69"/>
      <c r="CE267" s="69"/>
      <c r="CF267" s="69"/>
      <c r="CG267" s="69"/>
      <c r="CH267" s="69"/>
      <c r="CI267" s="69"/>
      <c r="CJ267" s="69"/>
      <c r="CK267" s="69"/>
      <c r="CL267" s="69"/>
      <c r="CM267" s="69"/>
      <c r="CN267" s="69"/>
      <c r="CO267" s="69"/>
    </row>
    <row r="268" spans="1:93" ht="12.75" customHeight="1">
      <c r="A268" s="784"/>
      <c r="B268" s="69"/>
      <c r="C268" s="69"/>
      <c r="D268" s="69"/>
      <c r="E268" s="69"/>
      <c r="F268" s="69"/>
      <c r="G268" s="77"/>
      <c r="H268" s="77"/>
      <c r="I268" s="77"/>
      <c r="J268" s="366"/>
      <c r="K268" s="77"/>
      <c r="L268" s="77"/>
      <c r="M268" s="77"/>
      <c r="N268" s="77"/>
      <c r="O268" s="69"/>
      <c r="P268" s="69"/>
      <c r="Q268" s="69"/>
      <c r="R268" s="69"/>
      <c r="S268" s="77"/>
      <c r="T268" s="77"/>
      <c r="U268" s="69"/>
      <c r="V268" s="69"/>
      <c r="W268" s="69"/>
      <c r="X268" s="69"/>
      <c r="Y268" s="69"/>
      <c r="Z268" s="69"/>
      <c r="AA268" s="69"/>
      <c r="AB268" s="69"/>
      <c r="AC268" s="207"/>
      <c r="AD268" s="207"/>
      <c r="AE268" s="207"/>
      <c r="AF268" s="207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Q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  <c r="BM268" s="69"/>
      <c r="BN268" s="69"/>
      <c r="BO268" s="69"/>
      <c r="BP268" s="69"/>
      <c r="BQ268" s="69"/>
      <c r="BR268" s="69"/>
      <c r="BS268" s="69"/>
      <c r="BT268" s="69"/>
      <c r="BU268" s="69"/>
      <c r="BV268" s="69"/>
      <c r="BW268" s="69"/>
      <c r="BX268" s="69"/>
      <c r="BY268" s="69"/>
      <c r="BZ268" s="69"/>
      <c r="CA268" s="69"/>
      <c r="CB268" s="69"/>
      <c r="CC268" s="69"/>
      <c r="CD268" s="69"/>
      <c r="CE268" s="69"/>
      <c r="CF268" s="69"/>
      <c r="CG268" s="69"/>
      <c r="CH268" s="69"/>
      <c r="CI268" s="69"/>
      <c r="CJ268" s="69"/>
      <c r="CK268" s="69"/>
      <c r="CL268" s="69"/>
      <c r="CM268" s="69"/>
      <c r="CN268" s="69"/>
      <c r="CO268" s="69"/>
    </row>
    <row r="269" spans="1:93" ht="12.75" customHeight="1">
      <c r="A269" s="784"/>
      <c r="B269" s="69"/>
      <c r="C269" s="69"/>
      <c r="D269" s="69"/>
      <c r="E269" s="69"/>
      <c r="F269" s="69"/>
      <c r="G269" s="77"/>
      <c r="H269" s="77"/>
      <c r="I269" s="77"/>
      <c r="J269" s="366"/>
      <c r="K269" s="77"/>
      <c r="L269" s="77"/>
      <c r="M269" s="77"/>
      <c r="N269" s="77"/>
      <c r="O269" s="69"/>
      <c r="P269" s="69"/>
      <c r="Q269" s="69"/>
      <c r="R269" s="69"/>
      <c r="S269" s="77"/>
      <c r="T269" s="77"/>
      <c r="U269" s="69"/>
      <c r="V269" s="69"/>
      <c r="W269" s="69"/>
      <c r="X269" s="69"/>
      <c r="Y269" s="69"/>
      <c r="Z269" s="69"/>
      <c r="AA269" s="69"/>
      <c r="AB269" s="69"/>
      <c r="AC269" s="207"/>
      <c r="AD269" s="207"/>
      <c r="AE269" s="207"/>
      <c r="AF269" s="207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Q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  <c r="BM269" s="69"/>
      <c r="BN269" s="69"/>
      <c r="BO269" s="69"/>
      <c r="BP269" s="69"/>
      <c r="BQ269" s="69"/>
      <c r="BR269" s="69"/>
      <c r="BS269" s="69"/>
      <c r="BT269" s="69"/>
      <c r="BU269" s="69"/>
      <c r="BV269" s="69"/>
      <c r="BW269" s="69"/>
      <c r="BX269" s="69"/>
      <c r="BY269" s="69"/>
      <c r="BZ269" s="69"/>
      <c r="CA269" s="69"/>
      <c r="CB269" s="69"/>
      <c r="CC269" s="69"/>
      <c r="CD269" s="69"/>
      <c r="CE269" s="69"/>
      <c r="CF269" s="69"/>
      <c r="CG269" s="69"/>
      <c r="CH269" s="69"/>
      <c r="CI269" s="69"/>
      <c r="CJ269" s="69"/>
      <c r="CK269" s="69"/>
      <c r="CL269" s="69"/>
      <c r="CM269" s="69"/>
      <c r="CN269" s="69"/>
      <c r="CO269" s="69"/>
    </row>
    <row r="270" spans="1:93" ht="12.75" customHeight="1">
      <c r="A270" s="784"/>
      <c r="B270" s="69"/>
      <c r="C270" s="69"/>
      <c r="D270" s="69"/>
      <c r="E270" s="69"/>
      <c r="F270" s="69"/>
      <c r="G270" s="77"/>
      <c r="H270" s="77"/>
      <c r="I270" s="77"/>
      <c r="J270" s="366"/>
      <c r="K270" s="77"/>
      <c r="L270" s="77"/>
      <c r="M270" s="77"/>
      <c r="N270" s="77"/>
      <c r="O270" s="69"/>
      <c r="P270" s="69"/>
      <c r="Q270" s="69"/>
      <c r="R270" s="69"/>
      <c r="S270" s="77"/>
      <c r="T270" s="77"/>
      <c r="U270" s="69"/>
      <c r="V270" s="69"/>
      <c r="W270" s="69"/>
      <c r="X270" s="69"/>
      <c r="Y270" s="69"/>
      <c r="Z270" s="69"/>
      <c r="AA270" s="69"/>
      <c r="AB270" s="69"/>
      <c r="AC270" s="207"/>
      <c r="AD270" s="207"/>
      <c r="AE270" s="207"/>
      <c r="AF270" s="207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Q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  <c r="BM270" s="69"/>
      <c r="BN270" s="69"/>
      <c r="BO270" s="69"/>
      <c r="BP270" s="69"/>
      <c r="BQ270" s="69"/>
      <c r="BR270" s="69"/>
      <c r="BS270" s="69"/>
      <c r="BT270" s="69"/>
      <c r="BU270" s="69"/>
      <c r="BV270" s="69"/>
      <c r="BW270" s="69"/>
      <c r="BX270" s="69"/>
      <c r="BY270" s="69"/>
      <c r="BZ270" s="69"/>
      <c r="CA270" s="69"/>
      <c r="CB270" s="69"/>
      <c r="CC270" s="69"/>
      <c r="CD270" s="69"/>
      <c r="CE270" s="69"/>
      <c r="CF270" s="69"/>
      <c r="CG270" s="69"/>
      <c r="CH270" s="69"/>
      <c r="CI270" s="69"/>
      <c r="CJ270" s="69"/>
      <c r="CK270" s="69"/>
      <c r="CL270" s="69"/>
      <c r="CM270" s="69"/>
      <c r="CN270" s="69"/>
      <c r="CO270" s="69"/>
    </row>
    <row r="271" spans="1:93" ht="12.75" customHeight="1">
      <c r="A271" s="784"/>
      <c r="B271" s="69"/>
      <c r="C271" s="69"/>
      <c r="D271" s="69"/>
      <c r="E271" s="69"/>
      <c r="F271" s="69"/>
      <c r="G271" s="77"/>
      <c r="H271" s="77"/>
      <c r="I271" s="77"/>
      <c r="J271" s="366"/>
      <c r="K271" s="77"/>
      <c r="L271" s="77"/>
      <c r="M271" s="77"/>
      <c r="N271" s="77"/>
      <c r="O271" s="69"/>
      <c r="P271" s="69"/>
      <c r="Q271" s="69"/>
      <c r="R271" s="69"/>
      <c r="S271" s="77"/>
      <c r="T271" s="77"/>
      <c r="U271" s="69"/>
      <c r="V271" s="69"/>
      <c r="W271" s="69"/>
      <c r="X271" s="69"/>
      <c r="Y271" s="69"/>
      <c r="Z271" s="69"/>
      <c r="AA271" s="69"/>
      <c r="AB271" s="69"/>
      <c r="AC271" s="207"/>
      <c r="AD271" s="207"/>
      <c r="AE271" s="207"/>
      <c r="AF271" s="207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Q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  <c r="BP271" s="69"/>
      <c r="BQ271" s="69"/>
      <c r="BR271" s="69"/>
      <c r="BS271" s="69"/>
      <c r="BT271" s="69"/>
      <c r="BU271" s="69"/>
      <c r="BV271" s="69"/>
      <c r="BW271" s="69"/>
      <c r="BX271" s="69"/>
      <c r="BY271" s="69"/>
      <c r="BZ271" s="69"/>
      <c r="CA271" s="69"/>
      <c r="CB271" s="69"/>
      <c r="CC271" s="69"/>
      <c r="CD271" s="69"/>
      <c r="CE271" s="69"/>
      <c r="CF271" s="69"/>
      <c r="CG271" s="69"/>
      <c r="CH271" s="69"/>
      <c r="CI271" s="69"/>
      <c r="CJ271" s="69"/>
      <c r="CK271" s="69"/>
      <c r="CL271" s="69"/>
      <c r="CM271" s="69"/>
      <c r="CN271" s="69"/>
      <c r="CO271" s="69"/>
    </row>
    <row r="272" spans="1:93" ht="12.75" customHeight="1">
      <c r="A272" s="784"/>
      <c r="B272" s="69"/>
      <c r="C272" s="69"/>
      <c r="D272" s="69"/>
      <c r="E272" s="69"/>
      <c r="F272" s="69"/>
      <c r="G272" s="77"/>
      <c r="H272" s="77"/>
      <c r="I272" s="77"/>
      <c r="J272" s="366"/>
      <c r="K272" s="77"/>
      <c r="L272" s="77"/>
      <c r="M272" s="77"/>
      <c r="N272" s="77"/>
      <c r="O272" s="69"/>
      <c r="P272" s="69"/>
      <c r="Q272" s="69"/>
      <c r="R272" s="69"/>
      <c r="S272" s="77"/>
      <c r="T272" s="77"/>
      <c r="U272" s="69"/>
      <c r="V272" s="69"/>
      <c r="W272" s="69"/>
      <c r="X272" s="69"/>
      <c r="Y272" s="69"/>
      <c r="Z272" s="69"/>
      <c r="AA272" s="69"/>
      <c r="AB272" s="69"/>
      <c r="AC272" s="207"/>
      <c r="AD272" s="207"/>
      <c r="AE272" s="207"/>
      <c r="AF272" s="207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Q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  <c r="BP272" s="69"/>
      <c r="BQ272" s="69"/>
      <c r="BR272" s="69"/>
      <c r="BS272" s="69"/>
      <c r="BT272" s="69"/>
      <c r="BU272" s="69"/>
      <c r="BV272" s="69"/>
      <c r="BW272" s="69"/>
      <c r="BX272" s="69"/>
      <c r="BY272" s="69"/>
      <c r="BZ272" s="69"/>
      <c r="CA272" s="69"/>
      <c r="CB272" s="69"/>
      <c r="CC272" s="69"/>
      <c r="CD272" s="69"/>
      <c r="CE272" s="69"/>
      <c r="CF272" s="69"/>
      <c r="CG272" s="69"/>
      <c r="CH272" s="69"/>
      <c r="CI272" s="69"/>
      <c r="CJ272" s="69"/>
      <c r="CK272" s="69"/>
      <c r="CL272" s="69"/>
      <c r="CM272" s="69"/>
      <c r="CN272" s="69"/>
      <c r="CO272" s="69"/>
    </row>
    <row r="273" spans="1:93" ht="12.75" customHeight="1">
      <c r="A273" s="784"/>
      <c r="B273" s="69"/>
      <c r="C273" s="69"/>
      <c r="D273" s="69"/>
      <c r="E273" s="69"/>
      <c r="F273" s="69"/>
      <c r="G273" s="77"/>
      <c r="H273" s="77"/>
      <c r="I273" s="77"/>
      <c r="J273" s="366"/>
      <c r="K273" s="77"/>
      <c r="L273" s="77"/>
      <c r="M273" s="77"/>
      <c r="N273" s="77"/>
      <c r="O273" s="69"/>
      <c r="P273" s="69"/>
      <c r="Q273" s="69"/>
      <c r="R273" s="69"/>
      <c r="S273" s="77"/>
      <c r="T273" s="77"/>
      <c r="U273" s="69"/>
      <c r="V273" s="69"/>
      <c r="W273" s="69"/>
      <c r="X273" s="69"/>
      <c r="Y273" s="69"/>
      <c r="Z273" s="69"/>
      <c r="AA273" s="69"/>
      <c r="AB273" s="69"/>
      <c r="AC273" s="207"/>
      <c r="AD273" s="207"/>
      <c r="AE273" s="207"/>
      <c r="AF273" s="207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Q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  <c r="BP273" s="69"/>
      <c r="BQ273" s="69"/>
      <c r="BR273" s="69"/>
      <c r="BS273" s="69"/>
      <c r="BT273" s="69"/>
      <c r="BU273" s="69"/>
      <c r="BV273" s="69"/>
      <c r="BW273" s="69"/>
      <c r="BX273" s="69"/>
      <c r="BY273" s="69"/>
      <c r="BZ273" s="69"/>
      <c r="CA273" s="69"/>
      <c r="CB273" s="69"/>
      <c r="CC273" s="69"/>
      <c r="CD273" s="69"/>
      <c r="CE273" s="69"/>
      <c r="CF273" s="69"/>
      <c r="CG273" s="69"/>
      <c r="CH273" s="69"/>
      <c r="CI273" s="69"/>
      <c r="CJ273" s="69"/>
      <c r="CK273" s="69"/>
      <c r="CL273" s="69"/>
      <c r="CM273" s="69"/>
      <c r="CN273" s="69"/>
      <c r="CO273" s="69"/>
    </row>
    <row r="274" spans="1:93" ht="12.75" customHeight="1">
      <c r="A274" s="784"/>
      <c r="B274" s="69"/>
      <c r="C274" s="69"/>
      <c r="D274" s="69"/>
      <c r="E274" s="69"/>
      <c r="F274" s="69"/>
      <c r="G274" s="77"/>
      <c r="H274" s="77"/>
      <c r="I274" s="77"/>
      <c r="J274" s="366"/>
      <c r="K274" s="77"/>
      <c r="L274" s="77"/>
      <c r="M274" s="77"/>
      <c r="N274" s="77"/>
      <c r="O274" s="69"/>
      <c r="P274" s="69"/>
      <c r="Q274" s="69"/>
      <c r="R274" s="69"/>
      <c r="S274" s="77"/>
      <c r="T274" s="77"/>
      <c r="U274" s="69"/>
      <c r="V274" s="69"/>
      <c r="W274" s="69"/>
      <c r="X274" s="69"/>
      <c r="Y274" s="69"/>
      <c r="Z274" s="69"/>
      <c r="AA274" s="69"/>
      <c r="AB274" s="69"/>
      <c r="AC274" s="207"/>
      <c r="AD274" s="207"/>
      <c r="AE274" s="207"/>
      <c r="AF274" s="207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Q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  <c r="BP274" s="69"/>
      <c r="BQ274" s="69"/>
      <c r="BR274" s="69"/>
      <c r="BS274" s="69"/>
      <c r="BT274" s="69"/>
      <c r="BU274" s="69"/>
      <c r="BV274" s="69"/>
      <c r="BW274" s="69"/>
      <c r="BX274" s="69"/>
      <c r="BY274" s="69"/>
      <c r="BZ274" s="69"/>
      <c r="CA274" s="69"/>
      <c r="CB274" s="69"/>
      <c r="CC274" s="69"/>
      <c r="CD274" s="69"/>
      <c r="CE274" s="69"/>
      <c r="CF274" s="69"/>
      <c r="CG274" s="69"/>
      <c r="CH274" s="69"/>
      <c r="CI274" s="69"/>
      <c r="CJ274" s="69"/>
      <c r="CK274" s="69"/>
      <c r="CL274" s="69"/>
      <c r="CM274" s="69"/>
      <c r="CN274" s="69"/>
      <c r="CO274" s="69"/>
    </row>
    <row r="275" spans="1:93" ht="12.75" customHeight="1">
      <c r="A275" s="784"/>
      <c r="B275" s="69"/>
      <c r="C275" s="69"/>
      <c r="D275" s="69"/>
      <c r="E275" s="69"/>
      <c r="F275" s="69"/>
      <c r="G275" s="77"/>
      <c r="H275" s="77"/>
      <c r="I275" s="77"/>
      <c r="J275" s="366"/>
      <c r="K275" s="77"/>
      <c r="L275" s="77"/>
      <c r="M275" s="77"/>
      <c r="N275" s="77"/>
      <c r="O275" s="69"/>
      <c r="P275" s="69"/>
      <c r="Q275" s="69"/>
      <c r="R275" s="69"/>
      <c r="S275" s="77"/>
      <c r="T275" s="77"/>
      <c r="U275" s="69"/>
      <c r="V275" s="69"/>
      <c r="W275" s="69"/>
      <c r="X275" s="69"/>
      <c r="Y275" s="69"/>
      <c r="Z275" s="69"/>
      <c r="AA275" s="69"/>
      <c r="AB275" s="69"/>
      <c r="AC275" s="207"/>
      <c r="AD275" s="207"/>
      <c r="AE275" s="207"/>
      <c r="AF275" s="207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Q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  <c r="BP275" s="69"/>
      <c r="BQ275" s="69"/>
      <c r="BR275" s="69"/>
      <c r="BS275" s="69"/>
      <c r="BT275" s="69"/>
      <c r="BU275" s="69"/>
      <c r="BV275" s="69"/>
      <c r="BW275" s="69"/>
      <c r="BX275" s="69"/>
      <c r="BY275" s="69"/>
      <c r="BZ275" s="69"/>
      <c r="CA275" s="69"/>
      <c r="CB275" s="69"/>
      <c r="CC275" s="69"/>
      <c r="CD275" s="69"/>
      <c r="CE275" s="69"/>
      <c r="CF275" s="69"/>
      <c r="CG275" s="69"/>
      <c r="CH275" s="69"/>
      <c r="CI275" s="69"/>
      <c r="CJ275" s="69"/>
      <c r="CK275" s="69"/>
      <c r="CL275" s="69"/>
      <c r="CM275" s="69"/>
      <c r="CN275" s="69"/>
      <c r="CO275" s="69"/>
    </row>
    <row r="276" spans="1:93" ht="12.75" customHeight="1">
      <c r="A276" s="784"/>
      <c r="B276" s="69"/>
      <c r="C276" s="69"/>
      <c r="D276" s="69"/>
      <c r="E276" s="69"/>
      <c r="F276" s="69"/>
      <c r="G276" s="77"/>
      <c r="H276" s="77"/>
      <c r="I276" s="77"/>
      <c r="J276" s="366"/>
      <c r="K276" s="77"/>
      <c r="L276" s="77"/>
      <c r="M276" s="77"/>
      <c r="N276" s="77"/>
      <c r="O276" s="69"/>
      <c r="P276" s="69"/>
      <c r="Q276" s="69"/>
      <c r="R276" s="69"/>
      <c r="S276" s="77"/>
      <c r="T276" s="77"/>
      <c r="U276" s="69"/>
      <c r="V276" s="69"/>
      <c r="W276" s="69"/>
      <c r="X276" s="69"/>
      <c r="Y276" s="69"/>
      <c r="Z276" s="69"/>
      <c r="AA276" s="69"/>
      <c r="AB276" s="69"/>
      <c r="AC276" s="207"/>
      <c r="AD276" s="207"/>
      <c r="AE276" s="207"/>
      <c r="AF276" s="207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Q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  <c r="BP276" s="69"/>
      <c r="BQ276" s="69"/>
      <c r="BR276" s="69"/>
      <c r="BS276" s="69"/>
      <c r="BT276" s="69"/>
      <c r="BU276" s="69"/>
      <c r="BV276" s="69"/>
      <c r="BW276" s="69"/>
      <c r="BX276" s="69"/>
      <c r="BY276" s="69"/>
      <c r="BZ276" s="69"/>
      <c r="CA276" s="69"/>
      <c r="CB276" s="69"/>
      <c r="CC276" s="69"/>
      <c r="CD276" s="69"/>
      <c r="CE276" s="69"/>
      <c r="CF276" s="69"/>
      <c r="CG276" s="69"/>
      <c r="CH276" s="69"/>
      <c r="CI276" s="69"/>
      <c r="CJ276" s="69"/>
      <c r="CK276" s="69"/>
      <c r="CL276" s="69"/>
      <c r="CM276" s="69"/>
      <c r="CN276" s="69"/>
      <c r="CO276" s="69"/>
    </row>
    <row r="277" spans="1:93" ht="12.75" customHeight="1">
      <c r="A277" s="784"/>
      <c r="B277" s="69"/>
      <c r="C277" s="69"/>
      <c r="D277" s="69"/>
      <c r="E277" s="69"/>
      <c r="F277" s="69"/>
      <c r="G277" s="77"/>
      <c r="H277" s="77"/>
      <c r="I277" s="77"/>
      <c r="J277" s="366"/>
      <c r="K277" s="77"/>
      <c r="L277" s="77"/>
      <c r="M277" s="77"/>
      <c r="N277" s="77"/>
      <c r="O277" s="69"/>
      <c r="P277" s="69"/>
      <c r="Q277" s="69"/>
      <c r="R277" s="69"/>
      <c r="S277" s="77"/>
      <c r="T277" s="77"/>
      <c r="U277" s="69"/>
      <c r="V277" s="69"/>
      <c r="W277" s="69"/>
      <c r="X277" s="69"/>
      <c r="Y277" s="69"/>
      <c r="Z277" s="69"/>
      <c r="AA277" s="69"/>
      <c r="AB277" s="69"/>
      <c r="AC277" s="207"/>
      <c r="AD277" s="207"/>
      <c r="AE277" s="207"/>
      <c r="AF277" s="207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Q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  <c r="BP277" s="69"/>
      <c r="BQ277" s="69"/>
      <c r="BR277" s="69"/>
      <c r="BS277" s="69"/>
      <c r="BT277" s="69"/>
      <c r="BU277" s="69"/>
      <c r="BV277" s="69"/>
      <c r="BW277" s="69"/>
      <c r="BX277" s="69"/>
      <c r="BY277" s="69"/>
      <c r="BZ277" s="69"/>
      <c r="CA277" s="69"/>
      <c r="CB277" s="69"/>
      <c r="CC277" s="69"/>
      <c r="CD277" s="69"/>
      <c r="CE277" s="69"/>
      <c r="CF277" s="69"/>
      <c r="CG277" s="69"/>
      <c r="CH277" s="69"/>
      <c r="CI277" s="69"/>
      <c r="CJ277" s="69"/>
      <c r="CK277" s="69"/>
      <c r="CL277" s="69"/>
      <c r="CM277" s="69"/>
      <c r="CN277" s="69"/>
      <c r="CO277" s="69"/>
    </row>
    <row r="278" spans="1:93" ht="12.75" customHeight="1">
      <c r="A278" s="784"/>
      <c r="B278" s="69"/>
      <c r="C278" s="69"/>
      <c r="D278" s="69"/>
      <c r="E278" s="69"/>
      <c r="F278" s="69"/>
      <c r="G278" s="77"/>
      <c r="H278" s="77"/>
      <c r="I278" s="77"/>
      <c r="J278" s="366"/>
      <c r="K278" s="77"/>
      <c r="L278" s="77"/>
      <c r="M278" s="77"/>
      <c r="N278" s="77"/>
      <c r="O278" s="69"/>
      <c r="P278" s="69"/>
      <c r="Q278" s="69"/>
      <c r="R278" s="69"/>
      <c r="S278" s="77"/>
      <c r="T278" s="77"/>
      <c r="U278" s="69"/>
      <c r="V278" s="69"/>
      <c r="W278" s="69"/>
      <c r="X278" s="69"/>
      <c r="Y278" s="69"/>
      <c r="Z278" s="69"/>
      <c r="AA278" s="69"/>
      <c r="AB278" s="69"/>
      <c r="AC278" s="207"/>
      <c r="AD278" s="207"/>
      <c r="AE278" s="207"/>
      <c r="AF278" s="207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Q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  <c r="BP278" s="69"/>
      <c r="BQ278" s="69"/>
      <c r="BR278" s="69"/>
      <c r="BS278" s="69"/>
      <c r="BT278" s="69"/>
      <c r="BU278" s="69"/>
      <c r="BV278" s="69"/>
      <c r="BW278" s="69"/>
      <c r="BX278" s="69"/>
      <c r="BY278" s="69"/>
      <c r="BZ278" s="69"/>
      <c r="CA278" s="69"/>
      <c r="CB278" s="69"/>
      <c r="CC278" s="69"/>
      <c r="CD278" s="69"/>
      <c r="CE278" s="69"/>
      <c r="CF278" s="69"/>
      <c r="CG278" s="69"/>
      <c r="CH278" s="69"/>
      <c r="CI278" s="69"/>
      <c r="CJ278" s="69"/>
      <c r="CK278" s="69"/>
      <c r="CL278" s="69"/>
      <c r="CM278" s="69"/>
      <c r="CN278" s="69"/>
      <c r="CO278" s="69"/>
    </row>
    <row r="279" spans="1:93" ht="12.75" customHeight="1">
      <c r="A279" s="784"/>
      <c r="B279" s="69"/>
      <c r="C279" s="69"/>
      <c r="D279" s="69"/>
      <c r="E279" s="69"/>
      <c r="F279" s="69"/>
      <c r="G279" s="77"/>
      <c r="H279" s="77"/>
      <c r="I279" s="77"/>
      <c r="J279" s="366"/>
      <c r="K279" s="77"/>
      <c r="L279" s="77"/>
      <c r="M279" s="77"/>
      <c r="N279" s="77"/>
      <c r="O279" s="69"/>
      <c r="P279" s="69"/>
      <c r="Q279" s="69"/>
      <c r="R279" s="69"/>
      <c r="S279" s="77"/>
      <c r="T279" s="77"/>
      <c r="U279" s="69"/>
      <c r="V279" s="69"/>
      <c r="W279" s="69"/>
      <c r="X279" s="69"/>
      <c r="Y279" s="69"/>
      <c r="Z279" s="69"/>
      <c r="AA279" s="69"/>
      <c r="AB279" s="69"/>
      <c r="AC279" s="207"/>
      <c r="AD279" s="207"/>
      <c r="AE279" s="207"/>
      <c r="AF279" s="207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Q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  <c r="BP279" s="69"/>
      <c r="BQ279" s="69"/>
      <c r="BR279" s="69"/>
      <c r="BS279" s="69"/>
      <c r="BT279" s="69"/>
      <c r="BU279" s="69"/>
      <c r="BV279" s="69"/>
      <c r="BW279" s="69"/>
      <c r="BX279" s="69"/>
      <c r="BY279" s="69"/>
      <c r="BZ279" s="69"/>
      <c r="CA279" s="69"/>
      <c r="CB279" s="69"/>
      <c r="CC279" s="69"/>
      <c r="CD279" s="69"/>
      <c r="CE279" s="69"/>
      <c r="CF279" s="69"/>
      <c r="CG279" s="69"/>
      <c r="CH279" s="69"/>
      <c r="CI279" s="69"/>
      <c r="CJ279" s="69"/>
      <c r="CK279" s="69"/>
      <c r="CL279" s="69"/>
      <c r="CM279" s="69"/>
      <c r="CN279" s="69"/>
      <c r="CO279" s="69"/>
    </row>
    <row r="280" spans="1:93" ht="12.75" customHeight="1">
      <c r="A280" s="784"/>
      <c r="B280" s="69"/>
      <c r="C280" s="69"/>
      <c r="D280" s="69"/>
      <c r="E280" s="69"/>
      <c r="F280" s="69"/>
      <c r="G280" s="77"/>
      <c r="H280" s="77"/>
      <c r="I280" s="77"/>
      <c r="J280" s="366"/>
      <c r="K280" s="77"/>
      <c r="L280" s="77"/>
      <c r="M280" s="77"/>
      <c r="N280" s="77"/>
      <c r="O280" s="69"/>
      <c r="P280" s="69"/>
      <c r="Q280" s="69"/>
      <c r="R280" s="69"/>
      <c r="S280" s="77"/>
      <c r="T280" s="77"/>
      <c r="U280" s="69"/>
      <c r="V280" s="69"/>
      <c r="W280" s="69"/>
      <c r="X280" s="69"/>
      <c r="Y280" s="69"/>
      <c r="Z280" s="69"/>
      <c r="AA280" s="69"/>
      <c r="AB280" s="69"/>
      <c r="AC280" s="207"/>
      <c r="AD280" s="207"/>
      <c r="AE280" s="207"/>
      <c r="AF280" s="207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Q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  <c r="BP280" s="69"/>
      <c r="BQ280" s="69"/>
      <c r="BR280" s="69"/>
      <c r="BS280" s="69"/>
      <c r="BT280" s="69"/>
      <c r="BU280" s="69"/>
      <c r="BV280" s="69"/>
      <c r="BW280" s="69"/>
      <c r="BX280" s="69"/>
      <c r="BY280" s="69"/>
      <c r="BZ280" s="69"/>
      <c r="CA280" s="69"/>
      <c r="CB280" s="69"/>
      <c r="CC280" s="69"/>
      <c r="CD280" s="69"/>
      <c r="CE280" s="69"/>
      <c r="CF280" s="69"/>
      <c r="CG280" s="69"/>
      <c r="CH280" s="69"/>
      <c r="CI280" s="69"/>
      <c r="CJ280" s="69"/>
      <c r="CK280" s="69"/>
      <c r="CL280" s="69"/>
      <c r="CM280" s="69"/>
      <c r="CN280" s="69"/>
      <c r="CO280" s="69"/>
    </row>
    <row r="281" spans="1:93" ht="12.75" customHeight="1">
      <c r="A281" s="784"/>
      <c r="B281" s="69"/>
      <c r="C281" s="69"/>
      <c r="D281" s="69"/>
      <c r="E281" s="69"/>
      <c r="F281" s="69"/>
      <c r="G281" s="77"/>
      <c r="H281" s="77"/>
      <c r="I281" s="77"/>
      <c r="J281" s="366"/>
      <c r="K281" s="77"/>
      <c r="L281" s="77"/>
      <c r="M281" s="77"/>
      <c r="N281" s="77"/>
      <c r="O281" s="69"/>
      <c r="P281" s="69"/>
      <c r="Q281" s="69"/>
      <c r="R281" s="69"/>
      <c r="S281" s="77"/>
      <c r="T281" s="77"/>
      <c r="U281" s="69"/>
      <c r="V281" s="69"/>
      <c r="W281" s="69"/>
      <c r="X281" s="69"/>
      <c r="Y281" s="69"/>
      <c r="Z281" s="69"/>
      <c r="AA281" s="69"/>
      <c r="AB281" s="69"/>
      <c r="AC281" s="207"/>
      <c r="AD281" s="207"/>
      <c r="AE281" s="207"/>
      <c r="AF281" s="207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Q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  <c r="BP281" s="69"/>
      <c r="BQ281" s="69"/>
      <c r="BR281" s="69"/>
      <c r="BS281" s="69"/>
      <c r="BT281" s="69"/>
      <c r="BU281" s="69"/>
      <c r="BV281" s="69"/>
      <c r="BW281" s="69"/>
      <c r="BX281" s="69"/>
      <c r="BY281" s="69"/>
      <c r="BZ281" s="69"/>
      <c r="CA281" s="69"/>
      <c r="CB281" s="69"/>
      <c r="CC281" s="69"/>
      <c r="CD281" s="69"/>
      <c r="CE281" s="69"/>
      <c r="CF281" s="69"/>
      <c r="CG281" s="69"/>
      <c r="CH281" s="69"/>
      <c r="CI281" s="69"/>
      <c r="CJ281" s="69"/>
      <c r="CK281" s="69"/>
      <c r="CL281" s="69"/>
      <c r="CM281" s="69"/>
      <c r="CN281" s="69"/>
      <c r="CO281" s="69"/>
    </row>
    <row r="282" spans="1:93" ht="12.75" customHeight="1">
      <c r="A282" s="784"/>
      <c r="B282" s="69"/>
      <c r="C282" s="69"/>
      <c r="D282" s="69"/>
      <c r="E282" s="69"/>
      <c r="F282" s="69"/>
      <c r="G282" s="77"/>
      <c r="H282" s="77"/>
      <c r="I282" s="77"/>
      <c r="J282" s="366"/>
      <c r="K282" s="77"/>
      <c r="L282" s="77"/>
      <c r="M282" s="77"/>
      <c r="N282" s="77"/>
      <c r="O282" s="69"/>
      <c r="P282" s="69"/>
      <c r="Q282" s="69"/>
      <c r="R282" s="69"/>
      <c r="S282" s="77"/>
      <c r="T282" s="77"/>
      <c r="U282" s="69"/>
      <c r="V282" s="69"/>
      <c r="W282" s="69"/>
      <c r="X282" s="69"/>
      <c r="Y282" s="69"/>
      <c r="Z282" s="69"/>
      <c r="AA282" s="69"/>
      <c r="AB282" s="69"/>
      <c r="AC282" s="207"/>
      <c r="AD282" s="207"/>
      <c r="AE282" s="207"/>
      <c r="AF282" s="207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Q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  <c r="BP282" s="69"/>
      <c r="BQ282" s="69"/>
      <c r="BR282" s="69"/>
      <c r="BS282" s="69"/>
      <c r="BT282" s="69"/>
      <c r="BU282" s="69"/>
      <c r="BV282" s="69"/>
      <c r="BW282" s="69"/>
      <c r="BX282" s="69"/>
      <c r="BY282" s="69"/>
      <c r="BZ282" s="69"/>
      <c r="CA282" s="69"/>
      <c r="CB282" s="69"/>
      <c r="CC282" s="69"/>
      <c r="CD282" s="69"/>
      <c r="CE282" s="69"/>
      <c r="CF282" s="69"/>
      <c r="CG282" s="69"/>
      <c r="CH282" s="69"/>
      <c r="CI282" s="69"/>
      <c r="CJ282" s="69"/>
      <c r="CK282" s="69"/>
      <c r="CL282" s="69"/>
      <c r="CM282" s="69"/>
      <c r="CN282" s="69"/>
      <c r="CO282" s="69"/>
    </row>
    <row r="283" spans="1:93" ht="12.75" customHeight="1">
      <c r="A283" s="784"/>
      <c r="B283" s="69"/>
      <c r="C283" s="69"/>
      <c r="D283" s="69"/>
      <c r="E283" s="69"/>
      <c r="F283" s="69"/>
      <c r="G283" s="77"/>
      <c r="H283" s="77"/>
      <c r="I283" s="77"/>
      <c r="J283" s="366"/>
      <c r="K283" s="77"/>
      <c r="L283" s="77"/>
      <c r="M283" s="77"/>
      <c r="N283" s="77"/>
      <c r="O283" s="69"/>
      <c r="P283" s="69"/>
      <c r="Q283" s="69"/>
      <c r="R283" s="69"/>
      <c r="S283" s="77"/>
      <c r="T283" s="77"/>
      <c r="U283" s="69"/>
      <c r="V283" s="69"/>
      <c r="W283" s="69"/>
      <c r="X283" s="69"/>
      <c r="Y283" s="69"/>
      <c r="Z283" s="69"/>
      <c r="AA283" s="69"/>
      <c r="AB283" s="69"/>
      <c r="AC283" s="207"/>
      <c r="AD283" s="207"/>
      <c r="AE283" s="207"/>
      <c r="AF283" s="207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Q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  <c r="BP283" s="69"/>
      <c r="BQ283" s="69"/>
      <c r="BR283" s="69"/>
      <c r="BS283" s="69"/>
      <c r="BT283" s="69"/>
      <c r="BU283" s="69"/>
      <c r="BV283" s="69"/>
      <c r="BW283" s="69"/>
      <c r="BX283" s="69"/>
      <c r="BY283" s="69"/>
      <c r="BZ283" s="69"/>
      <c r="CA283" s="69"/>
      <c r="CB283" s="69"/>
      <c r="CC283" s="69"/>
      <c r="CD283" s="69"/>
      <c r="CE283" s="69"/>
      <c r="CF283" s="69"/>
      <c r="CG283" s="69"/>
      <c r="CH283" s="69"/>
      <c r="CI283" s="69"/>
      <c r="CJ283" s="69"/>
      <c r="CK283" s="69"/>
      <c r="CL283" s="69"/>
      <c r="CM283" s="69"/>
      <c r="CN283" s="69"/>
      <c r="CO283" s="69"/>
    </row>
    <row r="284" spans="1:93" ht="12.75" customHeight="1">
      <c r="A284" s="784"/>
      <c r="B284" s="69"/>
      <c r="C284" s="69"/>
      <c r="D284" s="69"/>
      <c r="E284" s="69"/>
      <c r="F284" s="69"/>
      <c r="G284" s="77"/>
      <c r="H284" s="77"/>
      <c r="I284" s="77"/>
      <c r="J284" s="366"/>
      <c r="K284" s="77"/>
      <c r="L284" s="77"/>
      <c r="M284" s="77"/>
      <c r="N284" s="77"/>
      <c r="O284" s="69"/>
      <c r="P284" s="69"/>
      <c r="Q284" s="69"/>
      <c r="R284" s="69"/>
      <c r="S284" s="77"/>
      <c r="T284" s="77"/>
      <c r="U284" s="69"/>
      <c r="V284" s="69"/>
      <c r="W284" s="69"/>
      <c r="X284" s="69"/>
      <c r="Y284" s="69"/>
      <c r="Z284" s="69"/>
      <c r="AA284" s="69"/>
      <c r="AB284" s="69"/>
      <c r="AC284" s="207"/>
      <c r="AD284" s="207"/>
      <c r="AE284" s="207"/>
      <c r="AF284" s="207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Q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  <c r="BP284" s="69"/>
      <c r="BQ284" s="69"/>
      <c r="BR284" s="69"/>
      <c r="BS284" s="69"/>
      <c r="BT284" s="69"/>
      <c r="BU284" s="69"/>
      <c r="BV284" s="69"/>
      <c r="BW284" s="69"/>
      <c r="BX284" s="69"/>
      <c r="BY284" s="69"/>
      <c r="BZ284" s="69"/>
      <c r="CA284" s="69"/>
      <c r="CB284" s="69"/>
      <c r="CC284" s="69"/>
      <c r="CD284" s="69"/>
      <c r="CE284" s="69"/>
      <c r="CF284" s="69"/>
      <c r="CG284" s="69"/>
      <c r="CH284" s="69"/>
      <c r="CI284" s="69"/>
      <c r="CJ284" s="69"/>
      <c r="CK284" s="69"/>
      <c r="CL284" s="69"/>
      <c r="CM284" s="69"/>
      <c r="CN284" s="69"/>
      <c r="CO284" s="69"/>
    </row>
    <row r="285" spans="1:93" ht="12.75" customHeight="1">
      <c r="A285" s="784"/>
      <c r="B285" s="69"/>
      <c r="C285" s="69"/>
      <c r="D285" s="69"/>
      <c r="E285" s="69"/>
      <c r="F285" s="69"/>
      <c r="G285" s="77"/>
      <c r="H285" s="77"/>
      <c r="I285" s="77"/>
      <c r="J285" s="366"/>
      <c r="K285" s="77"/>
      <c r="L285" s="77"/>
      <c r="M285" s="77"/>
      <c r="N285" s="77"/>
      <c r="O285" s="69"/>
      <c r="P285" s="69"/>
      <c r="Q285" s="69"/>
      <c r="R285" s="69"/>
      <c r="S285" s="77"/>
      <c r="T285" s="77"/>
      <c r="U285" s="69"/>
      <c r="V285" s="69"/>
      <c r="W285" s="69"/>
      <c r="X285" s="69"/>
      <c r="Y285" s="69"/>
      <c r="Z285" s="69"/>
      <c r="AA285" s="69"/>
      <c r="AB285" s="69"/>
      <c r="AC285" s="207"/>
      <c r="AD285" s="207"/>
      <c r="AE285" s="207"/>
      <c r="AF285" s="207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Q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  <c r="BP285" s="69"/>
      <c r="BQ285" s="69"/>
      <c r="BR285" s="69"/>
      <c r="BS285" s="69"/>
      <c r="BT285" s="69"/>
      <c r="BU285" s="69"/>
      <c r="BV285" s="69"/>
      <c r="BW285" s="69"/>
      <c r="BX285" s="69"/>
      <c r="BY285" s="69"/>
      <c r="BZ285" s="69"/>
      <c r="CA285" s="69"/>
      <c r="CB285" s="69"/>
      <c r="CC285" s="69"/>
      <c r="CD285" s="69"/>
      <c r="CE285" s="69"/>
      <c r="CF285" s="69"/>
      <c r="CG285" s="69"/>
      <c r="CH285" s="69"/>
      <c r="CI285" s="69"/>
      <c r="CJ285" s="69"/>
      <c r="CK285" s="69"/>
      <c r="CL285" s="69"/>
      <c r="CM285" s="69"/>
      <c r="CN285" s="69"/>
      <c r="CO285" s="69"/>
    </row>
    <row r="286" spans="1:93" ht="12.75" customHeight="1">
      <c r="A286" s="784"/>
      <c r="B286" s="69"/>
      <c r="C286" s="69"/>
      <c r="D286" s="69"/>
      <c r="E286" s="69"/>
      <c r="F286" s="69"/>
      <c r="G286" s="77"/>
      <c r="H286" s="77"/>
      <c r="I286" s="77"/>
      <c r="J286" s="366"/>
      <c r="K286" s="77"/>
      <c r="L286" s="77"/>
      <c r="M286" s="77"/>
      <c r="N286" s="77"/>
      <c r="O286" s="69"/>
      <c r="P286" s="69"/>
      <c r="Q286" s="69"/>
      <c r="R286" s="69"/>
      <c r="S286" s="77"/>
      <c r="T286" s="77"/>
      <c r="U286" s="69"/>
      <c r="V286" s="69"/>
      <c r="W286" s="69"/>
      <c r="X286" s="69"/>
      <c r="Y286" s="69"/>
      <c r="Z286" s="69"/>
      <c r="AA286" s="69"/>
      <c r="AB286" s="69"/>
      <c r="AC286" s="207"/>
      <c r="AD286" s="207"/>
      <c r="AE286" s="207"/>
      <c r="AF286" s="207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Q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  <c r="BP286" s="69"/>
      <c r="BQ286" s="69"/>
      <c r="BR286" s="69"/>
      <c r="BS286" s="69"/>
      <c r="BT286" s="69"/>
      <c r="BU286" s="69"/>
      <c r="BV286" s="69"/>
      <c r="BW286" s="69"/>
      <c r="BX286" s="69"/>
      <c r="BY286" s="69"/>
      <c r="BZ286" s="69"/>
      <c r="CA286" s="69"/>
      <c r="CB286" s="69"/>
      <c r="CC286" s="69"/>
      <c r="CD286" s="69"/>
      <c r="CE286" s="69"/>
      <c r="CF286" s="69"/>
      <c r="CG286" s="69"/>
      <c r="CH286" s="69"/>
      <c r="CI286" s="69"/>
      <c r="CJ286" s="69"/>
      <c r="CK286" s="69"/>
      <c r="CL286" s="69"/>
      <c r="CM286" s="69"/>
      <c r="CN286" s="69"/>
      <c r="CO286" s="69"/>
    </row>
    <row r="287" spans="1:93" ht="12.75" customHeight="1">
      <c r="A287" s="784"/>
      <c r="B287" s="69"/>
      <c r="C287" s="69"/>
      <c r="D287" s="69"/>
      <c r="E287" s="69"/>
      <c r="F287" s="69"/>
      <c r="G287" s="77"/>
      <c r="H287" s="77"/>
      <c r="I287" s="77"/>
      <c r="J287" s="366"/>
      <c r="K287" s="77"/>
      <c r="L287" s="77"/>
      <c r="M287" s="77"/>
      <c r="N287" s="77"/>
      <c r="O287" s="69"/>
      <c r="P287" s="69"/>
      <c r="Q287" s="69"/>
      <c r="R287" s="69"/>
      <c r="S287" s="77"/>
      <c r="T287" s="77"/>
      <c r="U287" s="69"/>
      <c r="V287" s="69"/>
      <c r="W287" s="69"/>
      <c r="X287" s="69"/>
      <c r="Y287" s="69"/>
      <c r="Z287" s="69"/>
      <c r="AA287" s="69"/>
      <c r="AB287" s="69"/>
      <c r="AC287" s="207"/>
      <c r="AD287" s="207"/>
      <c r="AE287" s="207"/>
      <c r="AF287" s="207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Q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  <c r="BP287" s="69"/>
      <c r="BQ287" s="69"/>
      <c r="BR287" s="69"/>
      <c r="BS287" s="69"/>
      <c r="BT287" s="69"/>
      <c r="BU287" s="69"/>
      <c r="BV287" s="69"/>
      <c r="BW287" s="69"/>
      <c r="BX287" s="69"/>
      <c r="BY287" s="69"/>
      <c r="BZ287" s="69"/>
      <c r="CA287" s="69"/>
      <c r="CB287" s="69"/>
      <c r="CC287" s="69"/>
      <c r="CD287" s="69"/>
      <c r="CE287" s="69"/>
      <c r="CF287" s="69"/>
      <c r="CG287" s="69"/>
      <c r="CH287" s="69"/>
      <c r="CI287" s="69"/>
      <c r="CJ287" s="69"/>
      <c r="CK287" s="69"/>
      <c r="CL287" s="69"/>
      <c r="CM287" s="69"/>
      <c r="CN287" s="69"/>
      <c r="CO287" s="69"/>
    </row>
    <row r="288" spans="1:93" ht="12.75" customHeight="1">
      <c r="A288" s="784"/>
      <c r="B288" s="69"/>
      <c r="C288" s="69"/>
      <c r="D288" s="69"/>
      <c r="E288" s="69"/>
      <c r="F288" s="69"/>
      <c r="G288" s="77"/>
      <c r="H288" s="77"/>
      <c r="I288" s="77"/>
      <c r="J288" s="366"/>
      <c r="K288" s="77"/>
      <c r="L288" s="77"/>
      <c r="M288" s="77"/>
      <c r="N288" s="77"/>
      <c r="O288" s="69"/>
      <c r="P288" s="69"/>
      <c r="Q288" s="69"/>
      <c r="R288" s="69"/>
      <c r="S288" s="77"/>
      <c r="T288" s="77"/>
      <c r="U288" s="69"/>
      <c r="V288" s="69"/>
      <c r="W288" s="69"/>
      <c r="X288" s="69"/>
      <c r="Y288" s="69"/>
      <c r="Z288" s="69"/>
      <c r="AA288" s="69"/>
      <c r="AB288" s="69"/>
      <c r="AC288" s="207"/>
      <c r="AD288" s="207"/>
      <c r="AE288" s="207"/>
      <c r="AF288" s="207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Q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  <c r="BP288" s="69"/>
      <c r="BQ288" s="69"/>
      <c r="BR288" s="69"/>
      <c r="BS288" s="69"/>
      <c r="BT288" s="69"/>
      <c r="BU288" s="69"/>
      <c r="BV288" s="69"/>
      <c r="BW288" s="69"/>
      <c r="BX288" s="69"/>
      <c r="BY288" s="69"/>
      <c r="BZ288" s="69"/>
      <c r="CA288" s="69"/>
      <c r="CB288" s="69"/>
      <c r="CC288" s="69"/>
      <c r="CD288" s="69"/>
      <c r="CE288" s="69"/>
      <c r="CF288" s="69"/>
      <c r="CG288" s="69"/>
      <c r="CH288" s="69"/>
      <c r="CI288" s="69"/>
      <c r="CJ288" s="69"/>
      <c r="CK288" s="69"/>
      <c r="CL288" s="69"/>
      <c r="CM288" s="69"/>
      <c r="CN288" s="69"/>
      <c r="CO288" s="69"/>
    </row>
    <row r="289" spans="1:93" ht="12.75" customHeight="1">
      <c r="A289" s="784"/>
      <c r="B289" s="69"/>
      <c r="C289" s="69"/>
      <c r="D289" s="69"/>
      <c r="E289" s="69"/>
      <c r="F289" s="69"/>
      <c r="G289" s="77"/>
      <c r="H289" s="77"/>
      <c r="I289" s="77"/>
      <c r="J289" s="366"/>
      <c r="K289" s="77"/>
      <c r="L289" s="77"/>
      <c r="M289" s="77"/>
      <c r="N289" s="77"/>
      <c r="O289" s="69"/>
      <c r="P289" s="69"/>
      <c r="Q289" s="69"/>
      <c r="R289" s="69"/>
      <c r="S289" s="77"/>
      <c r="T289" s="77"/>
      <c r="U289" s="69"/>
      <c r="V289" s="69"/>
      <c r="W289" s="69"/>
      <c r="X289" s="69"/>
      <c r="Y289" s="69"/>
      <c r="Z289" s="69"/>
      <c r="AA289" s="69"/>
      <c r="AB289" s="69"/>
      <c r="AC289" s="207"/>
      <c r="AD289" s="207"/>
      <c r="AE289" s="207"/>
      <c r="AF289" s="207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Q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  <c r="BP289" s="69"/>
      <c r="BQ289" s="69"/>
      <c r="BR289" s="69"/>
      <c r="BS289" s="69"/>
      <c r="BT289" s="69"/>
      <c r="BU289" s="69"/>
      <c r="BV289" s="69"/>
      <c r="BW289" s="69"/>
      <c r="BX289" s="69"/>
      <c r="BY289" s="69"/>
      <c r="BZ289" s="69"/>
      <c r="CA289" s="69"/>
      <c r="CB289" s="69"/>
      <c r="CC289" s="69"/>
      <c r="CD289" s="69"/>
      <c r="CE289" s="69"/>
      <c r="CF289" s="69"/>
      <c r="CG289" s="69"/>
      <c r="CH289" s="69"/>
      <c r="CI289" s="69"/>
      <c r="CJ289" s="69"/>
      <c r="CK289" s="69"/>
      <c r="CL289" s="69"/>
      <c r="CM289" s="69"/>
      <c r="CN289" s="69"/>
      <c r="CO289" s="69"/>
    </row>
    <row r="290" spans="1:93" ht="12.75" customHeight="1">
      <c r="A290" s="784"/>
      <c r="B290" s="69"/>
      <c r="C290" s="69"/>
      <c r="D290" s="69"/>
      <c r="E290" s="69"/>
      <c r="F290" s="69"/>
      <c r="G290" s="77"/>
      <c r="H290" s="77"/>
      <c r="I290" s="77"/>
      <c r="J290" s="366"/>
      <c r="K290" s="77"/>
      <c r="L290" s="77"/>
      <c r="M290" s="77"/>
      <c r="N290" s="77"/>
      <c r="O290" s="69"/>
      <c r="P290" s="69"/>
      <c r="Q290" s="69"/>
      <c r="R290" s="69"/>
      <c r="S290" s="77"/>
      <c r="T290" s="77"/>
      <c r="U290" s="69"/>
      <c r="V290" s="69"/>
      <c r="W290" s="69"/>
      <c r="X290" s="69"/>
      <c r="Y290" s="69"/>
      <c r="Z290" s="69"/>
      <c r="AA290" s="69"/>
      <c r="AB290" s="69"/>
      <c r="AC290" s="207"/>
      <c r="AD290" s="207"/>
      <c r="AE290" s="207"/>
      <c r="AF290" s="207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Q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  <c r="BP290" s="69"/>
      <c r="BQ290" s="69"/>
      <c r="BR290" s="69"/>
      <c r="BS290" s="69"/>
      <c r="BT290" s="69"/>
      <c r="BU290" s="69"/>
      <c r="BV290" s="69"/>
      <c r="BW290" s="69"/>
      <c r="BX290" s="69"/>
      <c r="BY290" s="69"/>
      <c r="BZ290" s="69"/>
      <c r="CA290" s="69"/>
      <c r="CB290" s="69"/>
      <c r="CC290" s="69"/>
      <c r="CD290" s="69"/>
      <c r="CE290" s="69"/>
      <c r="CF290" s="69"/>
      <c r="CG290" s="69"/>
      <c r="CH290" s="69"/>
      <c r="CI290" s="69"/>
      <c r="CJ290" s="69"/>
      <c r="CK290" s="69"/>
      <c r="CL290" s="69"/>
      <c r="CM290" s="69"/>
      <c r="CN290" s="69"/>
      <c r="CO290" s="69"/>
    </row>
    <row r="291" spans="1:93" ht="12.75" customHeight="1">
      <c r="A291" s="784"/>
      <c r="B291" s="69"/>
      <c r="C291" s="69"/>
      <c r="D291" s="69"/>
      <c r="E291" s="69"/>
      <c r="F291" s="69"/>
      <c r="G291" s="77"/>
      <c r="H291" s="77"/>
      <c r="I291" s="77"/>
      <c r="J291" s="366"/>
      <c r="K291" s="77"/>
      <c r="L291" s="77"/>
      <c r="M291" s="77"/>
      <c r="N291" s="77"/>
      <c r="O291" s="69"/>
      <c r="P291" s="69"/>
      <c r="Q291" s="69"/>
      <c r="R291" s="69"/>
      <c r="S291" s="77"/>
      <c r="T291" s="77"/>
      <c r="U291" s="69"/>
      <c r="V291" s="69"/>
      <c r="W291" s="69"/>
      <c r="X291" s="69"/>
      <c r="Y291" s="69"/>
      <c r="Z291" s="69"/>
      <c r="AA291" s="69"/>
      <c r="AB291" s="69"/>
      <c r="AC291" s="207"/>
      <c r="AD291" s="207"/>
      <c r="AE291" s="207"/>
      <c r="AF291" s="207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Q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  <c r="BP291" s="69"/>
      <c r="BQ291" s="69"/>
      <c r="BR291" s="69"/>
      <c r="BS291" s="69"/>
      <c r="BT291" s="69"/>
      <c r="BU291" s="69"/>
      <c r="BV291" s="69"/>
      <c r="BW291" s="69"/>
      <c r="BX291" s="69"/>
      <c r="BY291" s="69"/>
      <c r="BZ291" s="69"/>
      <c r="CA291" s="69"/>
      <c r="CB291" s="69"/>
      <c r="CC291" s="69"/>
      <c r="CD291" s="69"/>
      <c r="CE291" s="69"/>
      <c r="CF291" s="69"/>
      <c r="CG291" s="69"/>
      <c r="CH291" s="69"/>
      <c r="CI291" s="69"/>
      <c r="CJ291" s="69"/>
      <c r="CK291" s="69"/>
      <c r="CL291" s="69"/>
      <c r="CM291" s="69"/>
      <c r="CN291" s="69"/>
      <c r="CO291" s="69"/>
    </row>
    <row r="292" spans="1:93" ht="12.75" customHeight="1">
      <c r="A292" s="784"/>
      <c r="B292" s="69"/>
      <c r="C292" s="69"/>
      <c r="D292" s="69"/>
      <c r="E292" s="69"/>
      <c r="F292" s="69"/>
      <c r="G292" s="77"/>
      <c r="H292" s="77"/>
      <c r="I292" s="77"/>
      <c r="J292" s="366"/>
      <c r="K292" s="77"/>
      <c r="L292" s="77"/>
      <c r="M292" s="77"/>
      <c r="N292" s="77"/>
      <c r="O292" s="69"/>
      <c r="P292" s="69"/>
      <c r="Q292" s="69"/>
      <c r="R292" s="69"/>
      <c r="S292" s="77"/>
      <c r="T292" s="77"/>
      <c r="U292" s="69"/>
      <c r="V292" s="69"/>
      <c r="W292" s="69"/>
      <c r="X292" s="69"/>
      <c r="Y292" s="69"/>
      <c r="Z292" s="69"/>
      <c r="AA292" s="69"/>
      <c r="AB292" s="69"/>
      <c r="AC292" s="207"/>
      <c r="AD292" s="207"/>
      <c r="AE292" s="207"/>
      <c r="AF292" s="207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Q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  <c r="BP292" s="69"/>
      <c r="BQ292" s="69"/>
      <c r="BR292" s="69"/>
      <c r="BS292" s="69"/>
      <c r="BT292" s="69"/>
      <c r="BU292" s="69"/>
      <c r="BV292" s="69"/>
      <c r="BW292" s="69"/>
      <c r="BX292" s="69"/>
      <c r="BY292" s="69"/>
      <c r="BZ292" s="69"/>
      <c r="CA292" s="69"/>
      <c r="CB292" s="69"/>
      <c r="CC292" s="69"/>
      <c r="CD292" s="69"/>
      <c r="CE292" s="69"/>
      <c r="CF292" s="69"/>
      <c r="CG292" s="69"/>
      <c r="CH292" s="69"/>
      <c r="CI292" s="69"/>
      <c r="CJ292" s="69"/>
      <c r="CK292" s="69"/>
      <c r="CL292" s="69"/>
      <c r="CM292" s="69"/>
      <c r="CN292" s="69"/>
      <c r="CO292" s="69"/>
    </row>
    <row r="293" spans="1:93" ht="12.75" customHeight="1">
      <c r="A293" s="784"/>
      <c r="B293" s="69"/>
      <c r="C293" s="69"/>
      <c r="D293" s="69"/>
      <c r="E293" s="69"/>
      <c r="F293" s="69"/>
      <c r="G293" s="77"/>
      <c r="H293" s="77"/>
      <c r="I293" s="77"/>
      <c r="J293" s="366"/>
      <c r="K293" s="77"/>
      <c r="L293" s="77"/>
      <c r="M293" s="77"/>
      <c r="N293" s="77"/>
      <c r="O293" s="69"/>
      <c r="P293" s="69"/>
      <c r="Q293" s="69"/>
      <c r="R293" s="69"/>
      <c r="S293" s="77"/>
      <c r="T293" s="77"/>
      <c r="U293" s="69"/>
      <c r="V293" s="69"/>
      <c r="W293" s="69"/>
      <c r="X293" s="69"/>
      <c r="Y293" s="69"/>
      <c r="Z293" s="69"/>
      <c r="AA293" s="69"/>
      <c r="AB293" s="69"/>
      <c r="AC293" s="207"/>
      <c r="AD293" s="207"/>
      <c r="AE293" s="207"/>
      <c r="AF293" s="207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Q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  <c r="BP293" s="69"/>
      <c r="BQ293" s="69"/>
      <c r="BR293" s="69"/>
      <c r="BS293" s="69"/>
      <c r="BT293" s="69"/>
      <c r="BU293" s="69"/>
      <c r="BV293" s="69"/>
      <c r="BW293" s="69"/>
      <c r="BX293" s="69"/>
      <c r="BY293" s="69"/>
      <c r="BZ293" s="69"/>
      <c r="CA293" s="69"/>
      <c r="CB293" s="69"/>
      <c r="CC293" s="69"/>
      <c r="CD293" s="69"/>
      <c r="CE293" s="69"/>
      <c r="CF293" s="69"/>
      <c r="CG293" s="69"/>
      <c r="CH293" s="69"/>
      <c r="CI293" s="69"/>
      <c r="CJ293" s="69"/>
      <c r="CK293" s="69"/>
      <c r="CL293" s="69"/>
      <c r="CM293" s="69"/>
      <c r="CN293" s="69"/>
      <c r="CO293" s="69"/>
    </row>
    <row r="294" spans="1:93" ht="12.75" customHeight="1">
      <c r="A294" s="784"/>
      <c r="B294" s="69"/>
      <c r="C294" s="69"/>
      <c r="D294" s="69"/>
      <c r="E294" s="69"/>
      <c r="F294" s="69"/>
      <c r="G294" s="77"/>
      <c r="H294" s="77"/>
      <c r="I294" s="77"/>
      <c r="J294" s="366"/>
      <c r="K294" s="77"/>
      <c r="L294" s="77"/>
      <c r="M294" s="77"/>
      <c r="N294" s="77"/>
      <c r="O294" s="69"/>
      <c r="P294" s="69"/>
      <c r="Q294" s="69"/>
      <c r="R294" s="69"/>
      <c r="S294" s="77"/>
      <c r="T294" s="77"/>
      <c r="U294" s="69"/>
      <c r="V294" s="69"/>
      <c r="W294" s="69"/>
      <c r="X294" s="69"/>
      <c r="Y294" s="69"/>
      <c r="Z294" s="69"/>
      <c r="AA294" s="69"/>
      <c r="AB294" s="69"/>
      <c r="AC294" s="207"/>
      <c r="AD294" s="207"/>
      <c r="AE294" s="207"/>
      <c r="AF294" s="207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Q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  <c r="BP294" s="69"/>
      <c r="BQ294" s="69"/>
      <c r="BR294" s="69"/>
      <c r="BS294" s="69"/>
      <c r="BT294" s="69"/>
      <c r="BU294" s="69"/>
      <c r="BV294" s="69"/>
      <c r="BW294" s="69"/>
      <c r="BX294" s="69"/>
      <c r="BY294" s="69"/>
      <c r="BZ294" s="69"/>
      <c r="CA294" s="69"/>
      <c r="CB294" s="69"/>
      <c r="CC294" s="69"/>
      <c r="CD294" s="69"/>
      <c r="CE294" s="69"/>
      <c r="CF294" s="69"/>
      <c r="CG294" s="69"/>
      <c r="CH294" s="69"/>
      <c r="CI294" s="69"/>
      <c r="CJ294" s="69"/>
      <c r="CK294" s="69"/>
      <c r="CL294" s="69"/>
      <c r="CM294" s="69"/>
      <c r="CN294" s="69"/>
      <c r="CO294" s="69"/>
    </row>
    <row r="295" spans="1:93" ht="12.75" customHeight="1">
      <c r="A295" s="784"/>
      <c r="B295" s="69"/>
      <c r="C295" s="69"/>
      <c r="D295" s="69"/>
      <c r="E295" s="69"/>
      <c r="F295" s="69"/>
      <c r="G295" s="77"/>
      <c r="H295" s="77"/>
      <c r="I295" s="77"/>
      <c r="J295" s="366"/>
      <c r="K295" s="77"/>
      <c r="L295" s="77"/>
      <c r="M295" s="77"/>
      <c r="N295" s="77"/>
      <c r="O295" s="69"/>
      <c r="P295" s="69"/>
      <c r="Q295" s="69"/>
      <c r="R295" s="69"/>
      <c r="S295" s="77"/>
      <c r="T295" s="77"/>
      <c r="U295" s="69"/>
      <c r="V295" s="69"/>
      <c r="W295" s="69"/>
      <c r="X295" s="69"/>
      <c r="Y295" s="69"/>
      <c r="Z295" s="69"/>
      <c r="AA295" s="69"/>
      <c r="AB295" s="69"/>
      <c r="AC295" s="207"/>
      <c r="AD295" s="207"/>
      <c r="AE295" s="207"/>
      <c r="AF295" s="207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  <c r="BP295" s="69"/>
      <c r="BQ295" s="69"/>
      <c r="BR295" s="69"/>
      <c r="BS295" s="69"/>
      <c r="BT295" s="69"/>
      <c r="BU295" s="69"/>
      <c r="BV295" s="69"/>
      <c r="BW295" s="69"/>
      <c r="BX295" s="69"/>
      <c r="BY295" s="69"/>
      <c r="BZ295" s="69"/>
      <c r="CA295" s="69"/>
      <c r="CB295" s="69"/>
      <c r="CC295" s="69"/>
      <c r="CD295" s="69"/>
      <c r="CE295" s="69"/>
      <c r="CF295" s="69"/>
      <c r="CG295" s="69"/>
      <c r="CH295" s="69"/>
      <c r="CI295" s="69"/>
      <c r="CJ295" s="69"/>
      <c r="CK295" s="69"/>
      <c r="CL295" s="69"/>
      <c r="CM295" s="69"/>
      <c r="CN295" s="69"/>
      <c r="CO295" s="69"/>
    </row>
    <row r="296" spans="1:93" ht="15.75" customHeight="1">
      <c r="A296" s="8"/>
      <c r="B296" s="8"/>
      <c r="C296" s="8"/>
      <c r="D296" s="8"/>
      <c r="E296" s="8"/>
      <c r="F296" s="8"/>
      <c r="G296" s="789"/>
      <c r="H296" s="789"/>
      <c r="I296" s="789"/>
      <c r="J296" s="790"/>
      <c r="K296" s="789"/>
      <c r="L296" s="789"/>
      <c r="M296" s="789"/>
      <c r="N296" s="789"/>
      <c r="O296" s="8"/>
      <c r="P296" s="8"/>
      <c r="Q296" s="8"/>
      <c r="R296" s="8"/>
      <c r="S296" s="789"/>
      <c r="T296" s="789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</row>
    <row r="297" spans="1:93" ht="15.75" customHeight="1">
      <c r="A297" s="8"/>
      <c r="B297" s="8"/>
      <c r="C297" s="8"/>
      <c r="D297" s="8"/>
      <c r="E297" s="8"/>
      <c r="F297" s="8"/>
      <c r="G297" s="789"/>
      <c r="H297" s="789"/>
      <c r="I297" s="789"/>
      <c r="J297" s="790"/>
      <c r="K297" s="789"/>
      <c r="L297" s="789"/>
      <c r="M297" s="789"/>
      <c r="N297" s="789"/>
      <c r="O297" s="8"/>
      <c r="P297" s="8"/>
      <c r="Q297" s="8"/>
      <c r="R297" s="8"/>
      <c r="S297" s="789"/>
      <c r="T297" s="789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</row>
    <row r="298" spans="1:93" ht="15.75" customHeight="1">
      <c r="A298" s="8"/>
      <c r="B298" s="8"/>
      <c r="C298" s="8"/>
      <c r="D298" s="8"/>
      <c r="E298" s="8"/>
      <c r="F298" s="8"/>
      <c r="G298" s="789"/>
      <c r="H298" s="789"/>
      <c r="I298" s="789"/>
      <c r="J298" s="790"/>
      <c r="K298" s="789"/>
      <c r="L298" s="789"/>
      <c r="M298" s="789"/>
      <c r="N298" s="789"/>
      <c r="O298" s="8"/>
      <c r="P298" s="8"/>
      <c r="Q298" s="8"/>
      <c r="R298" s="8"/>
      <c r="S298" s="789"/>
      <c r="T298" s="789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</row>
    <row r="299" spans="1:93" ht="15.75" customHeight="1">
      <c r="A299" s="8"/>
      <c r="B299" s="8"/>
      <c r="C299" s="8"/>
      <c r="D299" s="8"/>
      <c r="E299" s="8"/>
      <c r="F299" s="8"/>
      <c r="G299" s="789"/>
      <c r="H299" s="789"/>
      <c r="I299" s="789"/>
      <c r="J299" s="790"/>
      <c r="K299" s="789"/>
      <c r="L299" s="789"/>
      <c r="M299" s="789"/>
      <c r="N299" s="789"/>
      <c r="O299" s="8"/>
      <c r="P299" s="8"/>
      <c r="Q299" s="8"/>
      <c r="R299" s="8"/>
      <c r="S299" s="789"/>
      <c r="T299" s="789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</row>
    <row r="300" spans="1:93" ht="15.75" customHeight="1">
      <c r="A300" s="8"/>
      <c r="B300" s="8"/>
      <c r="C300" s="8"/>
      <c r="D300" s="8"/>
      <c r="E300" s="8"/>
      <c r="F300" s="8"/>
      <c r="G300" s="789"/>
      <c r="H300" s="789"/>
      <c r="I300" s="789"/>
      <c r="J300" s="790"/>
      <c r="K300" s="789"/>
      <c r="L300" s="789"/>
      <c r="M300" s="789"/>
      <c r="N300" s="789"/>
      <c r="O300" s="8"/>
      <c r="P300" s="8"/>
      <c r="Q300" s="8"/>
      <c r="R300" s="8"/>
      <c r="S300" s="789"/>
      <c r="T300" s="789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</row>
    <row r="301" spans="1:93" ht="15.75" customHeight="1">
      <c r="A301" s="8"/>
      <c r="B301" s="8"/>
      <c r="C301" s="8"/>
      <c r="D301" s="8"/>
      <c r="E301" s="8"/>
      <c r="F301" s="8"/>
      <c r="G301" s="789"/>
      <c r="H301" s="789"/>
      <c r="I301" s="789"/>
      <c r="J301" s="790"/>
      <c r="K301" s="789"/>
      <c r="L301" s="789"/>
      <c r="M301" s="789"/>
      <c r="N301" s="789"/>
      <c r="O301" s="8"/>
      <c r="P301" s="8"/>
      <c r="Q301" s="8"/>
      <c r="R301" s="8"/>
      <c r="S301" s="789"/>
      <c r="T301" s="789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</row>
    <row r="302" spans="1:93" ht="15.75" customHeight="1">
      <c r="A302" s="8"/>
      <c r="B302" s="8"/>
      <c r="C302" s="8"/>
      <c r="D302" s="8"/>
      <c r="E302" s="8"/>
      <c r="F302" s="8"/>
      <c r="G302" s="789"/>
      <c r="H302" s="789"/>
      <c r="I302" s="789"/>
      <c r="J302" s="790"/>
      <c r="K302" s="789"/>
      <c r="L302" s="789"/>
      <c r="M302" s="789"/>
      <c r="N302" s="789"/>
      <c r="O302" s="8"/>
      <c r="P302" s="8"/>
      <c r="Q302" s="8"/>
      <c r="R302" s="8"/>
      <c r="S302" s="789"/>
      <c r="T302" s="789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</row>
    <row r="303" spans="1:93" ht="15.75" customHeight="1">
      <c r="A303" s="8"/>
      <c r="B303" s="8"/>
      <c r="C303" s="8"/>
      <c r="D303" s="8"/>
      <c r="E303" s="8"/>
      <c r="F303" s="8"/>
      <c r="G303" s="789"/>
      <c r="H303" s="789"/>
      <c r="I303" s="789"/>
      <c r="J303" s="790"/>
      <c r="K303" s="789"/>
      <c r="L303" s="789"/>
      <c r="M303" s="789"/>
      <c r="N303" s="789"/>
      <c r="O303" s="8"/>
      <c r="P303" s="8"/>
      <c r="Q303" s="8"/>
      <c r="R303" s="8"/>
      <c r="S303" s="789"/>
      <c r="T303" s="789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</row>
    <row r="304" spans="1:93" ht="15.75" customHeight="1">
      <c r="A304" s="8"/>
      <c r="B304" s="8"/>
      <c r="C304" s="8"/>
      <c r="D304" s="8"/>
      <c r="E304" s="8"/>
      <c r="F304" s="8"/>
      <c r="G304" s="789"/>
      <c r="H304" s="789"/>
      <c r="I304" s="789"/>
      <c r="J304" s="790"/>
      <c r="K304" s="789"/>
      <c r="L304" s="789"/>
      <c r="M304" s="789"/>
      <c r="N304" s="789"/>
      <c r="O304" s="8"/>
      <c r="P304" s="8"/>
      <c r="Q304" s="8"/>
      <c r="R304" s="8"/>
      <c r="S304" s="789"/>
      <c r="T304" s="789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</row>
    <row r="305" spans="1:93" ht="15.75" customHeight="1">
      <c r="A305" s="8"/>
      <c r="B305" s="8"/>
      <c r="C305" s="8"/>
      <c r="D305" s="8"/>
      <c r="E305" s="8"/>
      <c r="F305" s="8"/>
      <c r="G305" s="789"/>
      <c r="H305" s="789"/>
      <c r="I305" s="789"/>
      <c r="J305" s="790"/>
      <c r="K305" s="789"/>
      <c r="L305" s="789"/>
      <c r="M305" s="789"/>
      <c r="N305" s="789"/>
      <c r="O305" s="8"/>
      <c r="P305" s="8"/>
      <c r="Q305" s="8"/>
      <c r="R305" s="8"/>
      <c r="S305" s="789"/>
      <c r="T305" s="789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</row>
    <row r="306" spans="1:93" ht="15.75" customHeight="1">
      <c r="A306" s="8"/>
      <c r="B306" s="8"/>
      <c r="C306" s="8"/>
      <c r="D306" s="8"/>
      <c r="E306" s="8"/>
      <c r="F306" s="8"/>
      <c r="G306" s="789"/>
      <c r="H306" s="789"/>
      <c r="I306" s="789"/>
      <c r="J306" s="790"/>
      <c r="K306" s="789"/>
      <c r="L306" s="789"/>
      <c r="M306" s="789"/>
      <c r="N306" s="789"/>
      <c r="O306" s="8"/>
      <c r="P306" s="8"/>
      <c r="Q306" s="8"/>
      <c r="R306" s="8"/>
      <c r="S306" s="789"/>
      <c r="T306" s="789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</row>
    <row r="307" spans="1:93" ht="15.75" customHeight="1">
      <c r="A307" s="8"/>
      <c r="B307" s="8"/>
      <c r="C307" s="8"/>
      <c r="D307" s="8"/>
      <c r="E307" s="8"/>
      <c r="F307" s="8"/>
      <c r="G307" s="789"/>
      <c r="H307" s="789"/>
      <c r="I307" s="789"/>
      <c r="J307" s="790"/>
      <c r="K307" s="789"/>
      <c r="L307" s="789"/>
      <c r="M307" s="789"/>
      <c r="N307" s="789"/>
      <c r="O307" s="8"/>
      <c r="P307" s="8"/>
      <c r="Q307" s="8"/>
      <c r="R307" s="8"/>
      <c r="S307" s="789"/>
      <c r="T307" s="789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</row>
    <row r="308" spans="1:93" ht="15.75" customHeight="1">
      <c r="A308" s="8"/>
      <c r="B308" s="8"/>
      <c r="C308" s="8"/>
      <c r="D308" s="8"/>
      <c r="E308" s="8"/>
      <c r="F308" s="8"/>
      <c r="G308" s="789"/>
      <c r="H308" s="789"/>
      <c r="I308" s="789"/>
      <c r="J308" s="790"/>
      <c r="K308" s="789"/>
      <c r="L308" s="789"/>
      <c r="M308" s="789"/>
      <c r="N308" s="789"/>
      <c r="O308" s="8"/>
      <c r="P308" s="8"/>
      <c r="Q308" s="8"/>
      <c r="R308" s="8"/>
      <c r="S308" s="789"/>
      <c r="T308" s="789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</row>
    <row r="309" spans="1:93" ht="15.75" customHeight="1">
      <c r="A309" s="8"/>
      <c r="B309" s="8"/>
      <c r="C309" s="8"/>
      <c r="D309" s="8"/>
      <c r="E309" s="8"/>
      <c r="F309" s="8"/>
      <c r="G309" s="789"/>
      <c r="H309" s="789"/>
      <c r="I309" s="789"/>
      <c r="J309" s="790"/>
      <c r="K309" s="789"/>
      <c r="L309" s="789"/>
      <c r="M309" s="789"/>
      <c r="N309" s="789"/>
      <c r="O309" s="8"/>
      <c r="P309" s="8"/>
      <c r="Q309" s="8"/>
      <c r="R309" s="8"/>
      <c r="S309" s="789"/>
      <c r="T309" s="789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</row>
    <row r="310" spans="1:93" ht="15.75" customHeight="1">
      <c r="A310" s="8"/>
      <c r="B310" s="8"/>
      <c r="C310" s="8"/>
      <c r="D310" s="8"/>
      <c r="E310" s="8"/>
      <c r="F310" s="8"/>
      <c r="G310" s="789"/>
      <c r="H310" s="789"/>
      <c r="I310" s="789"/>
      <c r="J310" s="790"/>
      <c r="K310" s="789"/>
      <c r="L310" s="789"/>
      <c r="M310" s="789"/>
      <c r="N310" s="789"/>
      <c r="O310" s="8"/>
      <c r="P310" s="8"/>
      <c r="Q310" s="8"/>
      <c r="R310" s="8"/>
      <c r="S310" s="789"/>
      <c r="T310" s="789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</row>
    <row r="311" spans="1:93" ht="15.75" customHeight="1">
      <c r="A311" s="8"/>
      <c r="B311" s="8"/>
      <c r="C311" s="8"/>
      <c r="D311" s="8"/>
      <c r="E311" s="8"/>
      <c r="F311" s="8"/>
      <c r="G311" s="789"/>
      <c r="H311" s="789"/>
      <c r="I311" s="789"/>
      <c r="J311" s="790"/>
      <c r="K311" s="789"/>
      <c r="L311" s="789"/>
      <c r="M311" s="789"/>
      <c r="N311" s="789"/>
      <c r="O311" s="8"/>
      <c r="P311" s="8"/>
      <c r="Q311" s="8"/>
      <c r="R311" s="8"/>
      <c r="S311" s="789"/>
      <c r="T311" s="789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</row>
    <row r="312" spans="1:93" ht="15.75" customHeight="1">
      <c r="A312" s="8"/>
      <c r="B312" s="8"/>
      <c r="C312" s="8"/>
      <c r="D312" s="8"/>
      <c r="E312" s="8"/>
      <c r="F312" s="8"/>
      <c r="G312" s="789"/>
      <c r="H312" s="789"/>
      <c r="I312" s="789"/>
      <c r="J312" s="790"/>
      <c r="K312" s="789"/>
      <c r="L312" s="789"/>
      <c r="M312" s="789"/>
      <c r="N312" s="789"/>
      <c r="O312" s="8"/>
      <c r="P312" s="8"/>
      <c r="Q312" s="8"/>
      <c r="R312" s="8"/>
      <c r="S312" s="789"/>
      <c r="T312" s="789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</row>
    <row r="313" spans="1:93" ht="15.75" customHeight="1">
      <c r="A313" s="8"/>
      <c r="B313" s="8"/>
      <c r="C313" s="8"/>
      <c r="D313" s="8"/>
      <c r="E313" s="8"/>
      <c r="F313" s="8"/>
      <c r="G313" s="789"/>
      <c r="H313" s="789"/>
      <c r="I313" s="789"/>
      <c r="J313" s="790"/>
      <c r="K313" s="789"/>
      <c r="L313" s="789"/>
      <c r="M313" s="789"/>
      <c r="N313" s="789"/>
      <c r="O313" s="8"/>
      <c r="P313" s="8"/>
      <c r="Q313" s="8"/>
      <c r="R313" s="8"/>
      <c r="S313" s="789"/>
      <c r="T313" s="789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</row>
    <row r="314" spans="1:93" ht="15.75" customHeight="1">
      <c r="A314" s="8"/>
      <c r="B314" s="8"/>
      <c r="C314" s="8"/>
      <c r="D314" s="8"/>
      <c r="E314" s="8"/>
      <c r="F314" s="8"/>
      <c r="G314" s="789"/>
      <c r="H314" s="789"/>
      <c r="I314" s="789"/>
      <c r="J314" s="790"/>
      <c r="K314" s="789"/>
      <c r="L314" s="789"/>
      <c r="M314" s="789"/>
      <c r="N314" s="789"/>
      <c r="O314" s="8"/>
      <c r="P314" s="8"/>
      <c r="Q314" s="8"/>
      <c r="R314" s="8"/>
      <c r="S314" s="789"/>
      <c r="T314" s="789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</row>
    <row r="315" spans="1:93" ht="15.75" customHeight="1">
      <c r="A315" s="8"/>
      <c r="B315" s="8"/>
      <c r="C315" s="8"/>
      <c r="D315" s="8"/>
      <c r="E315" s="8"/>
      <c r="F315" s="8"/>
      <c r="G315" s="789"/>
      <c r="H315" s="789"/>
      <c r="I315" s="789"/>
      <c r="J315" s="790"/>
      <c r="K315" s="789"/>
      <c r="L315" s="789"/>
      <c r="M315" s="789"/>
      <c r="N315" s="789"/>
      <c r="O315" s="8"/>
      <c r="P315" s="8"/>
      <c r="Q315" s="8"/>
      <c r="R315" s="8"/>
      <c r="S315" s="789"/>
      <c r="T315" s="789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</row>
    <row r="316" spans="1:93" ht="15.75" customHeight="1">
      <c r="A316" s="8"/>
      <c r="B316" s="8"/>
      <c r="C316" s="8"/>
      <c r="D316" s="8"/>
      <c r="E316" s="8"/>
      <c r="F316" s="8"/>
      <c r="G316" s="789"/>
      <c r="H316" s="789"/>
      <c r="I316" s="789"/>
      <c r="J316" s="790"/>
      <c r="K316" s="789"/>
      <c r="L316" s="789"/>
      <c r="M316" s="789"/>
      <c r="N316" s="789"/>
      <c r="O316" s="8"/>
      <c r="P316" s="8"/>
      <c r="Q316" s="8"/>
      <c r="R316" s="8"/>
      <c r="S316" s="789"/>
      <c r="T316" s="789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</row>
    <row r="317" spans="1:93" ht="15.75" customHeight="1">
      <c r="A317" s="8"/>
      <c r="B317" s="8"/>
      <c r="C317" s="8"/>
      <c r="D317" s="8"/>
      <c r="E317" s="8"/>
      <c r="F317" s="8"/>
      <c r="G317" s="789"/>
      <c r="H317" s="789"/>
      <c r="I317" s="789"/>
      <c r="J317" s="790"/>
      <c r="K317" s="789"/>
      <c r="L317" s="789"/>
      <c r="M317" s="789"/>
      <c r="N317" s="789"/>
      <c r="O317" s="8"/>
      <c r="P317" s="8"/>
      <c r="Q317" s="8"/>
      <c r="R317" s="8"/>
      <c r="S317" s="789"/>
      <c r="T317" s="789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</row>
    <row r="318" spans="1:93" ht="15.75" customHeight="1">
      <c r="A318" s="8"/>
      <c r="B318" s="8"/>
      <c r="C318" s="8"/>
      <c r="D318" s="8"/>
      <c r="E318" s="8"/>
      <c r="F318" s="8"/>
      <c r="G318" s="789"/>
      <c r="H318" s="789"/>
      <c r="I318" s="789"/>
      <c r="J318" s="790"/>
      <c r="K318" s="789"/>
      <c r="L318" s="789"/>
      <c r="M318" s="789"/>
      <c r="N318" s="789"/>
      <c r="O318" s="8"/>
      <c r="P318" s="8"/>
      <c r="Q318" s="8"/>
      <c r="R318" s="8"/>
      <c r="S318" s="789"/>
      <c r="T318" s="789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</row>
    <row r="319" spans="1:93" ht="15.75" customHeight="1">
      <c r="A319" s="8"/>
      <c r="B319" s="8"/>
      <c r="C319" s="8"/>
      <c r="D319" s="8"/>
      <c r="E319" s="8"/>
      <c r="F319" s="8"/>
      <c r="G319" s="789"/>
      <c r="H319" s="789"/>
      <c r="I319" s="789"/>
      <c r="J319" s="790"/>
      <c r="K319" s="789"/>
      <c r="L319" s="789"/>
      <c r="M319" s="789"/>
      <c r="N319" s="789"/>
      <c r="O319" s="8"/>
      <c r="P319" s="8"/>
      <c r="Q319" s="8"/>
      <c r="R319" s="8"/>
      <c r="S319" s="789"/>
      <c r="T319" s="789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</row>
    <row r="320" spans="1:93" ht="15.75" customHeight="1">
      <c r="A320" s="8"/>
      <c r="B320" s="8"/>
      <c r="C320" s="8"/>
      <c r="D320" s="8"/>
      <c r="E320" s="8"/>
      <c r="F320" s="8"/>
      <c r="G320" s="789"/>
      <c r="H320" s="789"/>
      <c r="I320" s="789"/>
      <c r="J320" s="790"/>
      <c r="K320" s="789"/>
      <c r="L320" s="789"/>
      <c r="M320" s="789"/>
      <c r="N320" s="789"/>
      <c r="O320" s="8"/>
      <c r="P320" s="8"/>
      <c r="Q320" s="8"/>
      <c r="R320" s="8"/>
      <c r="S320" s="789"/>
      <c r="T320" s="789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</row>
    <row r="321" spans="1:93" ht="15.75" customHeight="1">
      <c r="A321" s="8"/>
      <c r="B321" s="8"/>
      <c r="C321" s="8"/>
      <c r="D321" s="8"/>
      <c r="E321" s="8"/>
      <c r="F321" s="8"/>
      <c r="G321" s="789"/>
      <c r="H321" s="789"/>
      <c r="I321" s="789"/>
      <c r="J321" s="790"/>
      <c r="K321" s="789"/>
      <c r="L321" s="789"/>
      <c r="M321" s="789"/>
      <c r="N321" s="789"/>
      <c r="O321" s="8"/>
      <c r="P321" s="8"/>
      <c r="Q321" s="8"/>
      <c r="R321" s="8"/>
      <c r="S321" s="789"/>
      <c r="T321" s="789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</row>
    <row r="322" spans="1:93" ht="15.75" customHeight="1">
      <c r="A322" s="8"/>
      <c r="B322" s="8"/>
      <c r="C322" s="8"/>
      <c r="D322" s="8"/>
      <c r="E322" s="8"/>
      <c r="F322" s="8"/>
      <c r="G322" s="789"/>
      <c r="H322" s="789"/>
      <c r="I322" s="789"/>
      <c r="J322" s="790"/>
      <c r="K322" s="789"/>
      <c r="L322" s="789"/>
      <c r="M322" s="789"/>
      <c r="N322" s="789"/>
      <c r="O322" s="8"/>
      <c r="P322" s="8"/>
      <c r="Q322" s="8"/>
      <c r="R322" s="8"/>
      <c r="S322" s="789"/>
      <c r="T322" s="789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</row>
    <row r="323" spans="1:93" ht="15.75" customHeight="1">
      <c r="A323" s="8"/>
      <c r="B323" s="8"/>
      <c r="C323" s="8"/>
      <c r="D323" s="8"/>
      <c r="E323" s="8"/>
      <c r="F323" s="8"/>
      <c r="G323" s="789"/>
      <c r="H323" s="789"/>
      <c r="I323" s="789"/>
      <c r="J323" s="790"/>
      <c r="K323" s="789"/>
      <c r="L323" s="789"/>
      <c r="M323" s="789"/>
      <c r="N323" s="789"/>
      <c r="O323" s="8"/>
      <c r="P323" s="8"/>
      <c r="Q323" s="8"/>
      <c r="R323" s="8"/>
      <c r="S323" s="789"/>
      <c r="T323" s="789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</row>
    <row r="324" spans="1:93" ht="15.75" customHeight="1">
      <c r="A324" s="8"/>
      <c r="B324" s="8"/>
      <c r="C324" s="8"/>
      <c r="D324" s="8"/>
      <c r="E324" s="8"/>
      <c r="F324" s="8"/>
      <c r="G324" s="789"/>
      <c r="H324" s="789"/>
      <c r="I324" s="789"/>
      <c r="J324" s="790"/>
      <c r="K324" s="789"/>
      <c r="L324" s="789"/>
      <c r="M324" s="789"/>
      <c r="N324" s="789"/>
      <c r="O324" s="8"/>
      <c r="P324" s="8"/>
      <c r="Q324" s="8"/>
      <c r="R324" s="8"/>
      <c r="S324" s="789"/>
      <c r="T324" s="789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</row>
    <row r="325" spans="1:93" ht="15.75" customHeight="1">
      <c r="A325" s="8"/>
      <c r="B325" s="8"/>
      <c r="C325" s="8"/>
      <c r="D325" s="8"/>
      <c r="E325" s="8"/>
      <c r="F325" s="8"/>
      <c r="G325" s="789"/>
      <c r="H325" s="789"/>
      <c r="I325" s="789"/>
      <c r="J325" s="790"/>
      <c r="K325" s="789"/>
      <c r="L325" s="789"/>
      <c r="M325" s="789"/>
      <c r="N325" s="789"/>
      <c r="O325" s="8"/>
      <c r="P325" s="8"/>
      <c r="Q325" s="8"/>
      <c r="R325" s="8"/>
      <c r="S325" s="789"/>
      <c r="T325" s="789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</row>
    <row r="326" spans="1:93" ht="15.75" customHeight="1">
      <c r="A326" s="8"/>
      <c r="B326" s="8"/>
      <c r="C326" s="8"/>
      <c r="D326" s="8"/>
      <c r="E326" s="8"/>
      <c r="F326" s="8"/>
      <c r="G326" s="789"/>
      <c r="H326" s="789"/>
      <c r="I326" s="789"/>
      <c r="J326" s="790"/>
      <c r="K326" s="789"/>
      <c r="L326" s="789"/>
      <c r="M326" s="789"/>
      <c r="N326" s="789"/>
      <c r="O326" s="8"/>
      <c r="P326" s="8"/>
      <c r="Q326" s="8"/>
      <c r="R326" s="8"/>
      <c r="S326" s="789"/>
      <c r="T326" s="789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</row>
    <row r="327" spans="1:93" ht="15.75" customHeight="1">
      <c r="A327" s="8"/>
      <c r="B327" s="8"/>
      <c r="C327" s="8"/>
      <c r="D327" s="8"/>
      <c r="E327" s="8"/>
      <c r="F327" s="8"/>
      <c r="G327" s="789"/>
      <c r="H327" s="789"/>
      <c r="I327" s="789"/>
      <c r="J327" s="790"/>
      <c r="K327" s="789"/>
      <c r="L327" s="789"/>
      <c r="M327" s="789"/>
      <c r="N327" s="789"/>
      <c r="O327" s="8"/>
      <c r="P327" s="8"/>
      <c r="Q327" s="8"/>
      <c r="R327" s="8"/>
      <c r="S327" s="789"/>
      <c r="T327" s="789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</row>
    <row r="328" spans="1:93" ht="15.75" customHeight="1">
      <c r="A328" s="8"/>
      <c r="B328" s="8"/>
      <c r="C328" s="8"/>
      <c r="D328" s="8"/>
      <c r="E328" s="8"/>
      <c r="F328" s="8"/>
      <c r="G328" s="789"/>
      <c r="H328" s="789"/>
      <c r="I328" s="789"/>
      <c r="J328" s="790"/>
      <c r="K328" s="789"/>
      <c r="L328" s="789"/>
      <c r="M328" s="789"/>
      <c r="N328" s="789"/>
      <c r="O328" s="8"/>
      <c r="P328" s="8"/>
      <c r="Q328" s="8"/>
      <c r="R328" s="8"/>
      <c r="S328" s="789"/>
      <c r="T328" s="789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</row>
    <row r="329" spans="1:93" ht="15.75" customHeight="1">
      <c r="A329" s="8"/>
      <c r="B329" s="8"/>
      <c r="C329" s="8"/>
      <c r="D329" s="8"/>
      <c r="E329" s="8"/>
      <c r="F329" s="8"/>
      <c r="G329" s="789"/>
      <c r="H329" s="789"/>
      <c r="I329" s="789"/>
      <c r="J329" s="790"/>
      <c r="K329" s="789"/>
      <c r="L329" s="789"/>
      <c r="M329" s="789"/>
      <c r="N329" s="789"/>
      <c r="O329" s="8"/>
      <c r="P329" s="8"/>
      <c r="Q329" s="8"/>
      <c r="R329" s="8"/>
      <c r="S329" s="789"/>
      <c r="T329" s="789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</row>
    <row r="330" spans="1:93" ht="15.75" customHeight="1">
      <c r="A330" s="8"/>
      <c r="B330" s="8"/>
      <c r="C330" s="8"/>
      <c r="D330" s="8"/>
      <c r="E330" s="8"/>
      <c r="F330" s="8"/>
      <c r="G330" s="789"/>
      <c r="H330" s="789"/>
      <c r="I330" s="789"/>
      <c r="J330" s="790"/>
      <c r="K330" s="789"/>
      <c r="L330" s="789"/>
      <c r="M330" s="789"/>
      <c r="N330" s="789"/>
      <c r="O330" s="8"/>
      <c r="P330" s="8"/>
      <c r="Q330" s="8"/>
      <c r="R330" s="8"/>
      <c r="S330" s="789"/>
      <c r="T330" s="789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</row>
    <row r="331" spans="1:93" ht="15.75" customHeight="1">
      <c r="A331" s="8"/>
      <c r="B331" s="8"/>
      <c r="C331" s="8"/>
      <c r="D331" s="8"/>
      <c r="E331" s="8"/>
      <c r="F331" s="8"/>
      <c r="G331" s="789"/>
      <c r="H331" s="789"/>
      <c r="I331" s="789"/>
      <c r="J331" s="790"/>
      <c r="K331" s="789"/>
      <c r="L331" s="789"/>
      <c r="M331" s="789"/>
      <c r="N331" s="789"/>
      <c r="O331" s="8"/>
      <c r="P331" s="8"/>
      <c r="Q331" s="8"/>
      <c r="R331" s="8"/>
      <c r="S331" s="789"/>
      <c r="T331" s="789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</row>
    <row r="332" spans="1:93" ht="15.75" customHeight="1">
      <c r="A332" s="8"/>
      <c r="B332" s="8"/>
      <c r="C332" s="8"/>
      <c r="D332" s="8"/>
      <c r="E332" s="8"/>
      <c r="F332" s="8"/>
      <c r="G332" s="789"/>
      <c r="H332" s="789"/>
      <c r="I332" s="789"/>
      <c r="J332" s="790"/>
      <c r="K332" s="789"/>
      <c r="L332" s="789"/>
      <c r="M332" s="789"/>
      <c r="N332" s="789"/>
      <c r="O332" s="8"/>
      <c r="P332" s="8"/>
      <c r="Q332" s="8"/>
      <c r="R332" s="8"/>
      <c r="S332" s="789"/>
      <c r="T332" s="789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</row>
    <row r="333" spans="1:93" ht="15.75" customHeight="1">
      <c r="A333" s="8"/>
      <c r="B333" s="8"/>
      <c r="C333" s="8"/>
      <c r="D333" s="8"/>
      <c r="E333" s="8"/>
      <c r="F333" s="8"/>
      <c r="G333" s="789"/>
      <c r="H333" s="789"/>
      <c r="I333" s="789"/>
      <c r="J333" s="790"/>
      <c r="K333" s="789"/>
      <c r="L333" s="789"/>
      <c r="M333" s="789"/>
      <c r="N333" s="789"/>
      <c r="O333" s="8"/>
      <c r="P333" s="8"/>
      <c r="Q333" s="8"/>
      <c r="R333" s="8"/>
      <c r="S333" s="789"/>
      <c r="T333" s="789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</row>
    <row r="334" spans="1:93" ht="15.75" customHeight="1">
      <c r="A334" s="8"/>
      <c r="B334" s="8"/>
      <c r="C334" s="8"/>
      <c r="D334" s="8"/>
      <c r="E334" s="8"/>
      <c r="F334" s="8"/>
      <c r="G334" s="789"/>
      <c r="H334" s="789"/>
      <c r="I334" s="789"/>
      <c r="J334" s="790"/>
      <c r="K334" s="789"/>
      <c r="L334" s="789"/>
      <c r="M334" s="789"/>
      <c r="N334" s="789"/>
      <c r="O334" s="8"/>
      <c r="P334" s="8"/>
      <c r="Q334" s="8"/>
      <c r="R334" s="8"/>
      <c r="S334" s="789"/>
      <c r="T334" s="789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</row>
    <row r="335" spans="1:93" ht="15.75" customHeight="1">
      <c r="A335" s="8"/>
      <c r="B335" s="8"/>
      <c r="C335" s="8"/>
      <c r="D335" s="8"/>
      <c r="E335" s="8"/>
      <c r="F335" s="8"/>
      <c r="G335" s="789"/>
      <c r="H335" s="789"/>
      <c r="I335" s="789"/>
      <c r="J335" s="790"/>
      <c r="K335" s="789"/>
      <c r="L335" s="789"/>
      <c r="M335" s="789"/>
      <c r="N335" s="789"/>
      <c r="O335" s="8"/>
      <c r="P335" s="8"/>
      <c r="Q335" s="8"/>
      <c r="R335" s="8"/>
      <c r="S335" s="789"/>
      <c r="T335" s="789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</row>
    <row r="336" spans="1:93" ht="15.75" customHeight="1">
      <c r="A336" s="8"/>
      <c r="B336" s="8"/>
      <c r="C336" s="8"/>
      <c r="D336" s="8"/>
      <c r="E336" s="8"/>
      <c r="F336" s="8"/>
      <c r="G336" s="789"/>
      <c r="H336" s="789"/>
      <c r="I336" s="789"/>
      <c r="J336" s="790"/>
      <c r="K336" s="789"/>
      <c r="L336" s="789"/>
      <c r="M336" s="789"/>
      <c r="N336" s="789"/>
      <c r="O336" s="8"/>
      <c r="P336" s="8"/>
      <c r="Q336" s="8"/>
      <c r="R336" s="8"/>
      <c r="S336" s="789"/>
      <c r="T336" s="789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</row>
    <row r="337" spans="1:93" ht="15.75" customHeight="1">
      <c r="A337" s="8"/>
      <c r="B337" s="8"/>
      <c r="C337" s="8"/>
      <c r="D337" s="8"/>
      <c r="E337" s="8"/>
      <c r="F337" s="8"/>
      <c r="G337" s="789"/>
      <c r="H337" s="789"/>
      <c r="I337" s="789"/>
      <c r="J337" s="790"/>
      <c r="K337" s="789"/>
      <c r="L337" s="789"/>
      <c r="M337" s="789"/>
      <c r="N337" s="789"/>
      <c r="O337" s="8"/>
      <c r="P337" s="8"/>
      <c r="Q337" s="8"/>
      <c r="R337" s="8"/>
      <c r="S337" s="789"/>
      <c r="T337" s="789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</row>
    <row r="338" spans="1:93" ht="15.75" customHeight="1">
      <c r="A338" s="8"/>
      <c r="B338" s="8"/>
      <c r="C338" s="8"/>
      <c r="D338" s="8"/>
      <c r="E338" s="8"/>
      <c r="F338" s="8"/>
      <c r="G338" s="789"/>
      <c r="H338" s="789"/>
      <c r="I338" s="789"/>
      <c r="J338" s="790"/>
      <c r="K338" s="789"/>
      <c r="L338" s="789"/>
      <c r="M338" s="789"/>
      <c r="N338" s="789"/>
      <c r="O338" s="8"/>
      <c r="P338" s="8"/>
      <c r="Q338" s="8"/>
      <c r="R338" s="8"/>
      <c r="S338" s="789"/>
      <c r="T338" s="789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</row>
    <row r="339" spans="1:93" ht="15.75" customHeight="1">
      <c r="A339" s="8"/>
      <c r="B339" s="8"/>
      <c r="C339" s="8"/>
      <c r="D339" s="8"/>
      <c r="E339" s="8"/>
      <c r="F339" s="8"/>
      <c r="G339" s="789"/>
      <c r="H339" s="789"/>
      <c r="I339" s="789"/>
      <c r="J339" s="790"/>
      <c r="K339" s="789"/>
      <c r="L339" s="789"/>
      <c r="M339" s="789"/>
      <c r="N339" s="789"/>
      <c r="O339" s="8"/>
      <c r="P339" s="8"/>
      <c r="Q339" s="8"/>
      <c r="R339" s="8"/>
      <c r="S339" s="789"/>
      <c r="T339" s="789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</row>
    <row r="340" spans="1:93" ht="15.75" customHeight="1">
      <c r="A340" s="8"/>
      <c r="B340" s="8"/>
      <c r="C340" s="8"/>
      <c r="D340" s="8"/>
      <c r="E340" s="8"/>
      <c r="F340" s="8"/>
      <c r="G340" s="789"/>
      <c r="H340" s="789"/>
      <c r="I340" s="789"/>
      <c r="J340" s="790"/>
      <c r="K340" s="789"/>
      <c r="L340" s="789"/>
      <c r="M340" s="789"/>
      <c r="N340" s="789"/>
      <c r="O340" s="8"/>
      <c r="P340" s="8"/>
      <c r="Q340" s="8"/>
      <c r="R340" s="8"/>
      <c r="S340" s="789"/>
      <c r="T340" s="789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</row>
    <row r="341" spans="1:93" ht="15.75" customHeight="1">
      <c r="A341" s="8"/>
      <c r="B341" s="8"/>
      <c r="C341" s="8"/>
      <c r="D341" s="8"/>
      <c r="E341" s="8"/>
      <c r="F341" s="8"/>
      <c r="G341" s="789"/>
      <c r="H341" s="789"/>
      <c r="I341" s="789"/>
      <c r="J341" s="790"/>
      <c r="K341" s="789"/>
      <c r="L341" s="789"/>
      <c r="M341" s="789"/>
      <c r="N341" s="789"/>
      <c r="O341" s="8"/>
      <c r="P341" s="8"/>
      <c r="Q341" s="8"/>
      <c r="R341" s="8"/>
      <c r="S341" s="789"/>
      <c r="T341" s="789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</row>
    <row r="342" spans="1:93" ht="15.75" customHeight="1">
      <c r="A342" s="8"/>
      <c r="B342" s="8"/>
      <c r="C342" s="8"/>
      <c r="D342" s="8"/>
      <c r="E342" s="8"/>
      <c r="F342" s="8"/>
      <c r="G342" s="789"/>
      <c r="H342" s="789"/>
      <c r="I342" s="789"/>
      <c r="J342" s="790"/>
      <c r="K342" s="789"/>
      <c r="L342" s="789"/>
      <c r="M342" s="789"/>
      <c r="N342" s="789"/>
      <c r="O342" s="8"/>
      <c r="P342" s="8"/>
      <c r="Q342" s="8"/>
      <c r="R342" s="8"/>
      <c r="S342" s="789"/>
      <c r="T342" s="789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</row>
    <row r="343" spans="1:93" ht="15.75" customHeight="1">
      <c r="A343" s="8"/>
      <c r="B343" s="8"/>
      <c r="C343" s="8"/>
      <c r="D343" s="8"/>
      <c r="E343" s="8"/>
      <c r="F343" s="8"/>
      <c r="G343" s="789"/>
      <c r="H343" s="789"/>
      <c r="I343" s="789"/>
      <c r="J343" s="790"/>
      <c r="K343" s="789"/>
      <c r="L343" s="789"/>
      <c r="M343" s="789"/>
      <c r="N343" s="789"/>
      <c r="O343" s="8"/>
      <c r="P343" s="8"/>
      <c r="Q343" s="8"/>
      <c r="R343" s="8"/>
      <c r="S343" s="789"/>
      <c r="T343" s="789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</row>
    <row r="344" spans="1:93" ht="15.75" customHeight="1">
      <c r="A344" s="8"/>
      <c r="B344" s="8"/>
      <c r="C344" s="8"/>
      <c r="D344" s="8"/>
      <c r="E344" s="8"/>
      <c r="F344" s="8"/>
      <c r="G344" s="789"/>
      <c r="H344" s="789"/>
      <c r="I344" s="789"/>
      <c r="J344" s="790"/>
      <c r="K344" s="789"/>
      <c r="L344" s="789"/>
      <c r="M344" s="789"/>
      <c r="N344" s="789"/>
      <c r="O344" s="8"/>
      <c r="P344" s="8"/>
      <c r="Q344" s="8"/>
      <c r="R344" s="8"/>
      <c r="S344" s="789"/>
      <c r="T344" s="789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</row>
    <row r="345" spans="1:93" ht="15.75" customHeight="1">
      <c r="A345" s="8"/>
      <c r="B345" s="8"/>
      <c r="C345" s="8"/>
      <c r="D345" s="8"/>
      <c r="E345" s="8"/>
      <c r="F345" s="8"/>
      <c r="G345" s="789"/>
      <c r="H345" s="789"/>
      <c r="I345" s="789"/>
      <c r="J345" s="790"/>
      <c r="K345" s="789"/>
      <c r="L345" s="789"/>
      <c r="M345" s="789"/>
      <c r="N345" s="789"/>
      <c r="O345" s="8"/>
      <c r="P345" s="8"/>
      <c r="Q345" s="8"/>
      <c r="R345" s="8"/>
      <c r="S345" s="789"/>
      <c r="T345" s="789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</row>
    <row r="346" spans="1:93" ht="15.75" customHeight="1">
      <c r="A346" s="8"/>
      <c r="B346" s="8"/>
      <c r="C346" s="8"/>
      <c r="D346" s="8"/>
      <c r="E346" s="8"/>
      <c r="F346" s="8"/>
      <c r="G346" s="789"/>
      <c r="H346" s="789"/>
      <c r="I346" s="789"/>
      <c r="J346" s="790"/>
      <c r="K346" s="789"/>
      <c r="L346" s="789"/>
      <c r="M346" s="789"/>
      <c r="N346" s="789"/>
      <c r="O346" s="8"/>
      <c r="P346" s="8"/>
      <c r="Q346" s="8"/>
      <c r="R346" s="8"/>
      <c r="S346" s="789"/>
      <c r="T346" s="789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</row>
    <row r="347" spans="1:93" ht="15.75" customHeight="1">
      <c r="A347" s="8"/>
      <c r="B347" s="8"/>
      <c r="C347" s="8"/>
      <c r="D347" s="8"/>
      <c r="E347" s="8"/>
      <c r="F347" s="8"/>
      <c r="G347" s="789"/>
      <c r="H347" s="789"/>
      <c r="I347" s="789"/>
      <c r="J347" s="790"/>
      <c r="K347" s="789"/>
      <c r="L347" s="789"/>
      <c r="M347" s="789"/>
      <c r="N347" s="789"/>
      <c r="O347" s="8"/>
      <c r="P347" s="8"/>
      <c r="Q347" s="8"/>
      <c r="R347" s="8"/>
      <c r="S347" s="789"/>
      <c r="T347" s="789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</row>
    <row r="348" spans="1:93" ht="15.75" customHeight="1">
      <c r="A348" s="8"/>
      <c r="B348" s="8"/>
      <c r="C348" s="8"/>
      <c r="D348" s="8"/>
      <c r="E348" s="8"/>
      <c r="F348" s="8"/>
      <c r="G348" s="789"/>
      <c r="H348" s="789"/>
      <c r="I348" s="789"/>
      <c r="J348" s="790"/>
      <c r="K348" s="789"/>
      <c r="L348" s="789"/>
      <c r="M348" s="789"/>
      <c r="N348" s="789"/>
      <c r="O348" s="8"/>
      <c r="P348" s="8"/>
      <c r="Q348" s="8"/>
      <c r="R348" s="8"/>
      <c r="S348" s="789"/>
      <c r="T348" s="789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</row>
    <row r="349" spans="1:93" ht="15.75" customHeight="1">
      <c r="A349" s="8"/>
      <c r="B349" s="8"/>
      <c r="C349" s="8"/>
      <c r="D349" s="8"/>
      <c r="E349" s="8"/>
      <c r="F349" s="8"/>
      <c r="G349" s="789"/>
      <c r="H349" s="789"/>
      <c r="I349" s="789"/>
      <c r="J349" s="790"/>
      <c r="K349" s="789"/>
      <c r="L349" s="789"/>
      <c r="M349" s="789"/>
      <c r="N349" s="789"/>
      <c r="O349" s="8"/>
      <c r="P349" s="8"/>
      <c r="Q349" s="8"/>
      <c r="R349" s="8"/>
      <c r="S349" s="789"/>
      <c r="T349" s="789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</row>
    <row r="350" spans="1:93" ht="15.75" customHeight="1">
      <c r="A350" s="8"/>
      <c r="B350" s="8"/>
      <c r="C350" s="8"/>
      <c r="D350" s="8"/>
      <c r="E350" s="8"/>
      <c r="F350" s="8"/>
      <c r="G350" s="789"/>
      <c r="H350" s="789"/>
      <c r="I350" s="789"/>
      <c r="J350" s="790"/>
      <c r="K350" s="789"/>
      <c r="L350" s="789"/>
      <c r="M350" s="789"/>
      <c r="N350" s="789"/>
      <c r="O350" s="8"/>
      <c r="P350" s="8"/>
      <c r="Q350" s="8"/>
      <c r="R350" s="8"/>
      <c r="S350" s="789"/>
      <c r="T350" s="789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</row>
    <row r="351" spans="1:93" ht="15.75" customHeight="1">
      <c r="A351" s="8"/>
      <c r="B351" s="8"/>
      <c r="C351" s="8"/>
      <c r="D351" s="8"/>
      <c r="E351" s="8"/>
      <c r="F351" s="8"/>
      <c r="G351" s="789"/>
      <c r="H351" s="789"/>
      <c r="I351" s="789"/>
      <c r="J351" s="790"/>
      <c r="K351" s="789"/>
      <c r="L351" s="789"/>
      <c r="M351" s="789"/>
      <c r="N351" s="789"/>
      <c r="O351" s="8"/>
      <c r="P351" s="8"/>
      <c r="Q351" s="8"/>
      <c r="R351" s="8"/>
      <c r="S351" s="789"/>
      <c r="T351" s="789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</row>
    <row r="352" spans="1:93" ht="15.75" customHeight="1">
      <c r="A352" s="8"/>
      <c r="B352" s="8"/>
      <c r="C352" s="8"/>
      <c r="D352" s="8"/>
      <c r="E352" s="8"/>
      <c r="F352" s="8"/>
      <c r="G352" s="789"/>
      <c r="H352" s="789"/>
      <c r="I352" s="789"/>
      <c r="J352" s="790"/>
      <c r="K352" s="789"/>
      <c r="L352" s="789"/>
      <c r="M352" s="789"/>
      <c r="N352" s="789"/>
      <c r="O352" s="8"/>
      <c r="P352" s="8"/>
      <c r="Q352" s="8"/>
      <c r="R352" s="8"/>
      <c r="S352" s="789"/>
      <c r="T352" s="789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</row>
    <row r="353" spans="1:93" ht="15.75" customHeight="1">
      <c r="A353" s="8"/>
      <c r="B353" s="8"/>
      <c r="C353" s="8"/>
      <c r="D353" s="8"/>
      <c r="E353" s="8"/>
      <c r="F353" s="8"/>
      <c r="G353" s="789"/>
      <c r="H353" s="789"/>
      <c r="I353" s="789"/>
      <c r="J353" s="790"/>
      <c r="K353" s="789"/>
      <c r="L353" s="789"/>
      <c r="M353" s="789"/>
      <c r="N353" s="789"/>
      <c r="O353" s="8"/>
      <c r="P353" s="8"/>
      <c r="Q353" s="8"/>
      <c r="R353" s="8"/>
      <c r="S353" s="789"/>
      <c r="T353" s="789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</row>
    <row r="354" spans="1:93" ht="15.75" customHeight="1">
      <c r="A354" s="8"/>
      <c r="B354" s="8"/>
      <c r="C354" s="8"/>
      <c r="D354" s="8"/>
      <c r="E354" s="8"/>
      <c r="F354" s="8"/>
      <c r="G354" s="789"/>
      <c r="H354" s="789"/>
      <c r="I354" s="789"/>
      <c r="J354" s="790"/>
      <c r="K354" s="789"/>
      <c r="L354" s="789"/>
      <c r="M354" s="789"/>
      <c r="N354" s="789"/>
      <c r="O354" s="8"/>
      <c r="P354" s="8"/>
      <c r="Q354" s="8"/>
      <c r="R354" s="8"/>
      <c r="S354" s="789"/>
      <c r="T354" s="789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</row>
    <row r="355" spans="1:93" ht="15.75" customHeight="1">
      <c r="A355" s="8"/>
      <c r="B355" s="8"/>
      <c r="C355" s="8"/>
      <c r="D355" s="8"/>
      <c r="E355" s="8"/>
      <c r="F355" s="8"/>
      <c r="G355" s="789"/>
      <c r="H355" s="789"/>
      <c r="I355" s="789"/>
      <c r="J355" s="790"/>
      <c r="K355" s="789"/>
      <c r="L355" s="789"/>
      <c r="M355" s="789"/>
      <c r="N355" s="789"/>
      <c r="O355" s="8"/>
      <c r="P355" s="8"/>
      <c r="Q355" s="8"/>
      <c r="R355" s="8"/>
      <c r="S355" s="789"/>
      <c r="T355" s="789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</row>
    <row r="356" spans="1:93" ht="15.75" customHeight="1">
      <c r="A356" s="8"/>
      <c r="B356" s="8"/>
      <c r="C356" s="8"/>
      <c r="D356" s="8"/>
      <c r="E356" s="8"/>
      <c r="F356" s="8"/>
      <c r="G356" s="789"/>
      <c r="H356" s="789"/>
      <c r="I356" s="789"/>
      <c r="J356" s="790"/>
      <c r="K356" s="789"/>
      <c r="L356" s="789"/>
      <c r="M356" s="789"/>
      <c r="N356" s="789"/>
      <c r="O356" s="8"/>
      <c r="P356" s="8"/>
      <c r="Q356" s="8"/>
      <c r="R356" s="8"/>
      <c r="S356" s="789"/>
      <c r="T356" s="789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</row>
    <row r="357" spans="1:93" ht="15.75" customHeight="1">
      <c r="A357" s="8"/>
      <c r="B357" s="8"/>
      <c r="C357" s="8"/>
      <c r="D357" s="8"/>
      <c r="E357" s="8"/>
      <c r="F357" s="8"/>
      <c r="G357" s="789"/>
      <c r="H357" s="789"/>
      <c r="I357" s="789"/>
      <c r="J357" s="790"/>
      <c r="K357" s="789"/>
      <c r="L357" s="789"/>
      <c r="M357" s="789"/>
      <c r="N357" s="789"/>
      <c r="O357" s="8"/>
      <c r="P357" s="8"/>
      <c r="Q357" s="8"/>
      <c r="R357" s="8"/>
      <c r="S357" s="789"/>
      <c r="T357" s="789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</row>
    <row r="358" spans="1:93" ht="15.75" customHeight="1">
      <c r="A358" s="8"/>
      <c r="B358" s="8"/>
      <c r="C358" s="8"/>
      <c r="D358" s="8"/>
      <c r="E358" s="8"/>
      <c r="F358" s="8"/>
      <c r="G358" s="789"/>
      <c r="H358" s="789"/>
      <c r="I358" s="789"/>
      <c r="J358" s="790"/>
      <c r="K358" s="789"/>
      <c r="L358" s="789"/>
      <c r="M358" s="789"/>
      <c r="N358" s="789"/>
      <c r="O358" s="8"/>
      <c r="P358" s="8"/>
      <c r="Q358" s="8"/>
      <c r="R358" s="8"/>
      <c r="S358" s="789"/>
      <c r="T358" s="789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</row>
    <row r="359" spans="1:93" ht="15.75" customHeight="1">
      <c r="A359" s="8"/>
      <c r="B359" s="8"/>
      <c r="C359" s="8"/>
      <c r="D359" s="8"/>
      <c r="E359" s="8"/>
      <c r="F359" s="8"/>
      <c r="G359" s="789"/>
      <c r="H359" s="789"/>
      <c r="I359" s="789"/>
      <c r="J359" s="790"/>
      <c r="K359" s="789"/>
      <c r="L359" s="789"/>
      <c r="M359" s="789"/>
      <c r="N359" s="789"/>
      <c r="O359" s="8"/>
      <c r="P359" s="8"/>
      <c r="Q359" s="8"/>
      <c r="R359" s="8"/>
      <c r="S359" s="789"/>
      <c r="T359" s="789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</row>
    <row r="360" spans="1:93" ht="15.75" customHeight="1">
      <c r="A360" s="8"/>
      <c r="B360" s="8"/>
      <c r="C360" s="8"/>
      <c r="D360" s="8"/>
      <c r="E360" s="8"/>
      <c r="F360" s="8"/>
      <c r="G360" s="789"/>
      <c r="H360" s="789"/>
      <c r="I360" s="789"/>
      <c r="J360" s="790"/>
      <c r="K360" s="789"/>
      <c r="L360" s="789"/>
      <c r="M360" s="789"/>
      <c r="N360" s="789"/>
      <c r="O360" s="8"/>
      <c r="P360" s="8"/>
      <c r="Q360" s="8"/>
      <c r="R360" s="8"/>
      <c r="S360" s="789"/>
      <c r="T360" s="789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</row>
    <row r="361" spans="1:93" ht="15.75" customHeight="1">
      <c r="A361" s="8"/>
      <c r="B361" s="8"/>
      <c r="C361" s="8"/>
      <c r="D361" s="8"/>
      <c r="E361" s="8"/>
      <c r="F361" s="8"/>
      <c r="G361" s="789"/>
      <c r="H361" s="789"/>
      <c r="I361" s="789"/>
      <c r="J361" s="790"/>
      <c r="K361" s="789"/>
      <c r="L361" s="789"/>
      <c r="M361" s="789"/>
      <c r="N361" s="789"/>
      <c r="O361" s="8"/>
      <c r="P361" s="8"/>
      <c r="Q361" s="8"/>
      <c r="R361" s="8"/>
      <c r="S361" s="789"/>
      <c r="T361" s="789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</row>
    <row r="362" spans="1:93" ht="15.75" customHeight="1">
      <c r="A362" s="8"/>
      <c r="B362" s="8"/>
      <c r="C362" s="8"/>
      <c r="D362" s="8"/>
      <c r="E362" s="8"/>
      <c r="F362" s="8"/>
      <c r="G362" s="789"/>
      <c r="H362" s="789"/>
      <c r="I362" s="789"/>
      <c r="J362" s="790"/>
      <c r="K362" s="789"/>
      <c r="L362" s="789"/>
      <c r="M362" s="789"/>
      <c r="N362" s="789"/>
      <c r="O362" s="8"/>
      <c r="P362" s="8"/>
      <c r="Q362" s="8"/>
      <c r="R362" s="8"/>
      <c r="S362" s="789"/>
      <c r="T362" s="789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</row>
    <row r="363" spans="1:93" ht="15.75" customHeight="1">
      <c r="A363" s="8"/>
      <c r="B363" s="8"/>
      <c r="C363" s="8"/>
      <c r="D363" s="8"/>
      <c r="E363" s="8"/>
      <c r="F363" s="8"/>
      <c r="G363" s="789"/>
      <c r="H363" s="789"/>
      <c r="I363" s="789"/>
      <c r="J363" s="790"/>
      <c r="K363" s="789"/>
      <c r="L363" s="789"/>
      <c r="M363" s="789"/>
      <c r="N363" s="789"/>
      <c r="O363" s="8"/>
      <c r="P363" s="8"/>
      <c r="Q363" s="8"/>
      <c r="R363" s="8"/>
      <c r="S363" s="789"/>
      <c r="T363" s="789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</row>
    <row r="364" spans="1:93" ht="15.75" customHeight="1">
      <c r="A364" s="8"/>
      <c r="B364" s="8"/>
      <c r="C364" s="8"/>
      <c r="D364" s="8"/>
      <c r="E364" s="8"/>
      <c r="F364" s="8"/>
      <c r="G364" s="789"/>
      <c r="H364" s="789"/>
      <c r="I364" s="789"/>
      <c r="J364" s="790"/>
      <c r="K364" s="789"/>
      <c r="L364" s="789"/>
      <c r="M364" s="789"/>
      <c r="N364" s="789"/>
      <c r="O364" s="8"/>
      <c r="P364" s="8"/>
      <c r="Q364" s="8"/>
      <c r="R364" s="8"/>
      <c r="S364" s="789"/>
      <c r="T364" s="789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</row>
    <row r="365" spans="1:93" ht="15.75" customHeight="1">
      <c r="A365" s="8"/>
      <c r="B365" s="8"/>
      <c r="C365" s="8"/>
      <c r="D365" s="8"/>
      <c r="E365" s="8"/>
      <c r="F365" s="8"/>
      <c r="G365" s="789"/>
      <c r="H365" s="789"/>
      <c r="I365" s="789"/>
      <c r="J365" s="790"/>
      <c r="K365" s="789"/>
      <c r="L365" s="789"/>
      <c r="M365" s="789"/>
      <c r="N365" s="789"/>
      <c r="O365" s="8"/>
      <c r="P365" s="8"/>
      <c r="Q365" s="8"/>
      <c r="R365" s="8"/>
      <c r="S365" s="789"/>
      <c r="T365" s="789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</row>
    <row r="366" spans="1:93" ht="15.75" customHeight="1">
      <c r="A366" s="8"/>
      <c r="B366" s="8"/>
      <c r="C366" s="8"/>
      <c r="D366" s="8"/>
      <c r="E366" s="8"/>
      <c r="F366" s="8"/>
      <c r="G366" s="789"/>
      <c r="H366" s="789"/>
      <c r="I366" s="789"/>
      <c r="J366" s="790"/>
      <c r="K366" s="789"/>
      <c r="L366" s="789"/>
      <c r="M366" s="789"/>
      <c r="N366" s="789"/>
      <c r="O366" s="8"/>
      <c r="P366" s="8"/>
      <c r="Q366" s="8"/>
      <c r="R366" s="8"/>
      <c r="S366" s="789"/>
      <c r="T366" s="789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</row>
    <row r="367" spans="1:93" ht="15.75" customHeight="1">
      <c r="A367" s="8"/>
      <c r="B367" s="8"/>
      <c r="C367" s="8"/>
      <c r="D367" s="8"/>
      <c r="E367" s="8"/>
      <c r="F367" s="8"/>
      <c r="G367" s="789"/>
      <c r="H367" s="789"/>
      <c r="I367" s="789"/>
      <c r="J367" s="790"/>
      <c r="K367" s="789"/>
      <c r="L367" s="789"/>
      <c r="M367" s="789"/>
      <c r="N367" s="789"/>
      <c r="O367" s="8"/>
      <c r="P367" s="8"/>
      <c r="Q367" s="8"/>
      <c r="R367" s="8"/>
      <c r="S367" s="789"/>
      <c r="T367" s="789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</row>
    <row r="368" spans="1:93" ht="15.75" customHeight="1">
      <c r="A368" s="8"/>
      <c r="B368" s="8"/>
      <c r="C368" s="8"/>
      <c r="D368" s="8"/>
      <c r="E368" s="8"/>
      <c r="F368" s="8"/>
      <c r="G368" s="789"/>
      <c r="H368" s="789"/>
      <c r="I368" s="789"/>
      <c r="J368" s="790"/>
      <c r="K368" s="789"/>
      <c r="L368" s="789"/>
      <c r="M368" s="789"/>
      <c r="N368" s="789"/>
      <c r="O368" s="8"/>
      <c r="P368" s="8"/>
      <c r="Q368" s="8"/>
      <c r="R368" s="8"/>
      <c r="S368" s="789"/>
      <c r="T368" s="789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</row>
    <row r="369" spans="1:93" ht="15.75" customHeight="1">
      <c r="A369" s="8"/>
      <c r="B369" s="8"/>
      <c r="C369" s="8"/>
      <c r="D369" s="8"/>
      <c r="E369" s="8"/>
      <c r="F369" s="8"/>
      <c r="G369" s="789"/>
      <c r="H369" s="789"/>
      <c r="I369" s="789"/>
      <c r="J369" s="790"/>
      <c r="K369" s="789"/>
      <c r="L369" s="789"/>
      <c r="M369" s="789"/>
      <c r="N369" s="789"/>
      <c r="O369" s="8"/>
      <c r="P369" s="8"/>
      <c r="Q369" s="8"/>
      <c r="R369" s="8"/>
      <c r="S369" s="789"/>
      <c r="T369" s="789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</row>
    <row r="370" spans="1:93" ht="15.75" customHeight="1">
      <c r="A370" s="8"/>
      <c r="B370" s="8"/>
      <c r="C370" s="8"/>
      <c r="D370" s="8"/>
      <c r="E370" s="8"/>
      <c r="F370" s="8"/>
      <c r="G370" s="789"/>
      <c r="H370" s="789"/>
      <c r="I370" s="789"/>
      <c r="J370" s="790"/>
      <c r="K370" s="789"/>
      <c r="L370" s="789"/>
      <c r="M370" s="789"/>
      <c r="N370" s="789"/>
      <c r="O370" s="8"/>
      <c r="P370" s="8"/>
      <c r="Q370" s="8"/>
      <c r="R370" s="8"/>
      <c r="S370" s="789"/>
      <c r="T370" s="789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</row>
    <row r="371" spans="1:93" ht="15.75" customHeight="1">
      <c r="A371" s="8"/>
      <c r="B371" s="8"/>
      <c r="C371" s="8"/>
      <c r="D371" s="8"/>
      <c r="E371" s="8"/>
      <c r="F371" s="8"/>
      <c r="G371" s="789"/>
      <c r="H371" s="789"/>
      <c r="I371" s="789"/>
      <c r="J371" s="790"/>
      <c r="K371" s="789"/>
      <c r="L371" s="789"/>
      <c r="M371" s="789"/>
      <c r="N371" s="789"/>
      <c r="O371" s="8"/>
      <c r="P371" s="8"/>
      <c r="Q371" s="8"/>
      <c r="R371" s="8"/>
      <c r="S371" s="789"/>
      <c r="T371" s="789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</row>
    <row r="372" spans="1:93" ht="15.75" customHeight="1">
      <c r="A372" s="8"/>
      <c r="B372" s="8"/>
      <c r="C372" s="8"/>
      <c r="D372" s="8"/>
      <c r="E372" s="8"/>
      <c r="F372" s="8"/>
      <c r="G372" s="789"/>
      <c r="H372" s="789"/>
      <c r="I372" s="789"/>
      <c r="J372" s="790"/>
      <c r="K372" s="789"/>
      <c r="L372" s="789"/>
      <c r="M372" s="789"/>
      <c r="N372" s="789"/>
      <c r="O372" s="8"/>
      <c r="P372" s="8"/>
      <c r="Q372" s="8"/>
      <c r="R372" s="8"/>
      <c r="S372" s="789"/>
      <c r="T372" s="789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</row>
    <row r="373" spans="1:93" ht="15.75" customHeight="1">
      <c r="A373" s="8"/>
      <c r="B373" s="8"/>
      <c r="C373" s="8"/>
      <c r="D373" s="8"/>
      <c r="E373" s="8"/>
      <c r="F373" s="8"/>
      <c r="G373" s="789"/>
      <c r="H373" s="789"/>
      <c r="I373" s="789"/>
      <c r="J373" s="790"/>
      <c r="K373" s="789"/>
      <c r="L373" s="789"/>
      <c r="M373" s="789"/>
      <c r="N373" s="789"/>
      <c r="O373" s="8"/>
      <c r="P373" s="8"/>
      <c r="Q373" s="8"/>
      <c r="R373" s="8"/>
      <c r="S373" s="789"/>
      <c r="T373" s="789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</row>
    <row r="374" spans="1:93" ht="15.75" customHeight="1">
      <c r="A374" s="8"/>
      <c r="B374" s="8"/>
      <c r="C374" s="8"/>
      <c r="D374" s="8"/>
      <c r="E374" s="8"/>
      <c r="F374" s="8"/>
      <c r="G374" s="789"/>
      <c r="H374" s="789"/>
      <c r="I374" s="789"/>
      <c r="J374" s="790"/>
      <c r="K374" s="789"/>
      <c r="L374" s="789"/>
      <c r="M374" s="789"/>
      <c r="N374" s="789"/>
      <c r="O374" s="8"/>
      <c r="P374" s="8"/>
      <c r="Q374" s="8"/>
      <c r="R374" s="8"/>
      <c r="S374" s="789"/>
      <c r="T374" s="789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</row>
    <row r="375" spans="1:93" ht="15.75" customHeight="1">
      <c r="A375" s="8"/>
      <c r="B375" s="8"/>
      <c r="C375" s="8"/>
      <c r="D375" s="8"/>
      <c r="E375" s="8"/>
      <c r="F375" s="8"/>
      <c r="G375" s="789"/>
      <c r="H375" s="789"/>
      <c r="I375" s="789"/>
      <c r="J375" s="790"/>
      <c r="K375" s="789"/>
      <c r="L375" s="789"/>
      <c r="M375" s="789"/>
      <c r="N375" s="789"/>
      <c r="O375" s="8"/>
      <c r="P375" s="8"/>
      <c r="Q375" s="8"/>
      <c r="R375" s="8"/>
      <c r="S375" s="789"/>
      <c r="T375" s="789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</row>
    <row r="376" spans="1:93" ht="15.75" customHeight="1">
      <c r="A376" s="8"/>
      <c r="B376" s="8"/>
      <c r="C376" s="8"/>
      <c r="D376" s="8"/>
      <c r="E376" s="8"/>
      <c r="F376" s="8"/>
      <c r="G376" s="789"/>
      <c r="H376" s="789"/>
      <c r="I376" s="789"/>
      <c r="J376" s="790"/>
      <c r="K376" s="789"/>
      <c r="L376" s="789"/>
      <c r="M376" s="789"/>
      <c r="N376" s="789"/>
      <c r="O376" s="8"/>
      <c r="P376" s="8"/>
      <c r="Q376" s="8"/>
      <c r="R376" s="8"/>
      <c r="S376" s="789"/>
      <c r="T376" s="789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</row>
    <row r="377" spans="1:93" ht="15.75" customHeight="1">
      <c r="A377" s="8"/>
      <c r="B377" s="8"/>
      <c r="C377" s="8"/>
      <c r="D377" s="8"/>
      <c r="E377" s="8"/>
      <c r="F377" s="8"/>
      <c r="G377" s="789"/>
      <c r="H377" s="789"/>
      <c r="I377" s="789"/>
      <c r="J377" s="790"/>
      <c r="K377" s="789"/>
      <c r="L377" s="789"/>
      <c r="M377" s="789"/>
      <c r="N377" s="789"/>
      <c r="O377" s="8"/>
      <c r="P377" s="8"/>
      <c r="Q377" s="8"/>
      <c r="R377" s="8"/>
      <c r="S377" s="789"/>
      <c r="T377" s="789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</row>
    <row r="378" spans="1:93" ht="15.75" customHeight="1">
      <c r="A378" s="8"/>
      <c r="B378" s="8"/>
      <c r="C378" s="8"/>
      <c r="D378" s="8"/>
      <c r="E378" s="8"/>
      <c r="F378" s="8"/>
      <c r="G378" s="789"/>
      <c r="H378" s="789"/>
      <c r="I378" s="789"/>
      <c r="J378" s="790"/>
      <c r="K378" s="789"/>
      <c r="L378" s="789"/>
      <c r="M378" s="789"/>
      <c r="N378" s="789"/>
      <c r="O378" s="8"/>
      <c r="P378" s="8"/>
      <c r="Q378" s="8"/>
      <c r="R378" s="8"/>
      <c r="S378" s="789"/>
      <c r="T378" s="789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</row>
    <row r="379" spans="1:93" ht="15.75" customHeight="1">
      <c r="A379" s="8"/>
      <c r="B379" s="8"/>
      <c r="C379" s="8"/>
      <c r="D379" s="8"/>
      <c r="E379" s="8"/>
      <c r="F379" s="8"/>
      <c r="G379" s="789"/>
      <c r="H379" s="789"/>
      <c r="I379" s="789"/>
      <c r="J379" s="790"/>
      <c r="K379" s="789"/>
      <c r="L379" s="789"/>
      <c r="M379" s="789"/>
      <c r="N379" s="789"/>
      <c r="O379" s="8"/>
      <c r="P379" s="8"/>
      <c r="Q379" s="8"/>
      <c r="R379" s="8"/>
      <c r="S379" s="789"/>
      <c r="T379" s="789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</row>
    <row r="380" spans="1:93" ht="15.75" customHeight="1">
      <c r="A380" s="8"/>
      <c r="B380" s="8"/>
      <c r="C380" s="8"/>
      <c r="D380" s="8"/>
      <c r="E380" s="8"/>
      <c r="F380" s="8"/>
      <c r="G380" s="789"/>
      <c r="H380" s="789"/>
      <c r="I380" s="789"/>
      <c r="J380" s="790"/>
      <c r="K380" s="789"/>
      <c r="L380" s="789"/>
      <c r="M380" s="789"/>
      <c r="N380" s="789"/>
      <c r="O380" s="8"/>
      <c r="P380" s="8"/>
      <c r="Q380" s="8"/>
      <c r="R380" s="8"/>
      <c r="S380" s="789"/>
      <c r="T380" s="789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</row>
    <row r="381" spans="1:93" ht="15.75" customHeight="1">
      <c r="A381" s="8"/>
      <c r="B381" s="8"/>
      <c r="C381" s="8"/>
      <c r="D381" s="8"/>
      <c r="E381" s="8"/>
      <c r="F381" s="8"/>
      <c r="G381" s="789"/>
      <c r="H381" s="789"/>
      <c r="I381" s="789"/>
      <c r="J381" s="790"/>
      <c r="K381" s="789"/>
      <c r="L381" s="789"/>
      <c r="M381" s="789"/>
      <c r="N381" s="789"/>
      <c r="O381" s="8"/>
      <c r="P381" s="8"/>
      <c r="Q381" s="8"/>
      <c r="R381" s="8"/>
      <c r="S381" s="789"/>
      <c r="T381" s="789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</row>
    <row r="382" spans="1:93" ht="15.75" customHeight="1">
      <c r="A382" s="8"/>
      <c r="B382" s="8"/>
      <c r="C382" s="8"/>
      <c r="D382" s="8"/>
      <c r="E382" s="8"/>
      <c r="F382" s="8"/>
      <c r="G382" s="789"/>
      <c r="H382" s="789"/>
      <c r="I382" s="789"/>
      <c r="J382" s="790"/>
      <c r="K382" s="789"/>
      <c r="L382" s="789"/>
      <c r="M382" s="789"/>
      <c r="N382" s="789"/>
      <c r="O382" s="8"/>
      <c r="P382" s="8"/>
      <c r="Q382" s="8"/>
      <c r="R382" s="8"/>
      <c r="S382" s="789"/>
      <c r="T382" s="789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</row>
    <row r="383" spans="1:93" ht="15.75" customHeight="1">
      <c r="A383" s="8"/>
      <c r="B383" s="8"/>
      <c r="C383" s="8"/>
      <c r="D383" s="8"/>
      <c r="E383" s="8"/>
      <c r="F383" s="8"/>
      <c r="G383" s="789"/>
      <c r="H383" s="789"/>
      <c r="I383" s="789"/>
      <c r="J383" s="790"/>
      <c r="K383" s="789"/>
      <c r="L383" s="789"/>
      <c r="M383" s="789"/>
      <c r="N383" s="789"/>
      <c r="O383" s="8"/>
      <c r="P383" s="8"/>
      <c r="Q383" s="8"/>
      <c r="R383" s="8"/>
      <c r="S383" s="789"/>
      <c r="T383" s="789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</row>
    <row r="384" spans="1:93" ht="15.75" customHeight="1">
      <c r="A384" s="8"/>
      <c r="B384" s="8"/>
      <c r="C384" s="8"/>
      <c r="D384" s="8"/>
      <c r="E384" s="8"/>
      <c r="F384" s="8"/>
      <c r="G384" s="789"/>
      <c r="H384" s="789"/>
      <c r="I384" s="789"/>
      <c r="J384" s="790"/>
      <c r="K384" s="789"/>
      <c r="L384" s="789"/>
      <c r="M384" s="789"/>
      <c r="N384" s="789"/>
      <c r="O384" s="8"/>
      <c r="P384" s="8"/>
      <c r="Q384" s="8"/>
      <c r="R384" s="8"/>
      <c r="S384" s="789"/>
      <c r="T384" s="789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</row>
    <row r="385" spans="1:93" ht="15.75" customHeight="1">
      <c r="A385" s="8"/>
      <c r="B385" s="8"/>
      <c r="C385" s="8"/>
      <c r="D385" s="8"/>
      <c r="E385" s="8"/>
      <c r="F385" s="8"/>
      <c r="G385" s="789"/>
      <c r="H385" s="789"/>
      <c r="I385" s="789"/>
      <c r="J385" s="790"/>
      <c r="K385" s="789"/>
      <c r="L385" s="789"/>
      <c r="M385" s="789"/>
      <c r="N385" s="789"/>
      <c r="O385" s="8"/>
      <c r="P385" s="8"/>
      <c r="Q385" s="8"/>
      <c r="R385" s="8"/>
      <c r="S385" s="789"/>
      <c r="T385" s="789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</row>
    <row r="386" spans="1:93" ht="15.75" customHeight="1">
      <c r="A386" s="8"/>
      <c r="B386" s="8"/>
      <c r="C386" s="8"/>
      <c r="D386" s="8"/>
      <c r="E386" s="8"/>
      <c r="F386" s="8"/>
      <c r="G386" s="789"/>
      <c r="H386" s="789"/>
      <c r="I386" s="789"/>
      <c r="J386" s="790"/>
      <c r="K386" s="789"/>
      <c r="L386" s="789"/>
      <c r="M386" s="789"/>
      <c r="N386" s="789"/>
      <c r="O386" s="8"/>
      <c r="P386" s="8"/>
      <c r="Q386" s="8"/>
      <c r="R386" s="8"/>
      <c r="S386" s="789"/>
      <c r="T386" s="789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</row>
    <row r="387" spans="1:93" ht="15.75" customHeight="1">
      <c r="A387" s="8"/>
      <c r="B387" s="8"/>
      <c r="C387" s="8"/>
      <c r="D387" s="8"/>
      <c r="E387" s="8"/>
      <c r="F387" s="8"/>
      <c r="G387" s="789"/>
      <c r="H387" s="789"/>
      <c r="I387" s="789"/>
      <c r="J387" s="790"/>
      <c r="K387" s="789"/>
      <c r="L387" s="789"/>
      <c r="M387" s="789"/>
      <c r="N387" s="789"/>
      <c r="O387" s="8"/>
      <c r="P387" s="8"/>
      <c r="Q387" s="8"/>
      <c r="R387" s="8"/>
      <c r="S387" s="789"/>
      <c r="T387" s="789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</row>
    <row r="388" spans="1:93" ht="15.75" customHeight="1">
      <c r="A388" s="8"/>
      <c r="B388" s="8"/>
      <c r="C388" s="8"/>
      <c r="D388" s="8"/>
      <c r="E388" s="8"/>
      <c r="F388" s="8"/>
      <c r="G388" s="789"/>
      <c r="H388" s="789"/>
      <c r="I388" s="789"/>
      <c r="J388" s="790"/>
      <c r="K388" s="789"/>
      <c r="L388" s="789"/>
      <c r="M388" s="789"/>
      <c r="N388" s="789"/>
      <c r="O388" s="8"/>
      <c r="P388" s="8"/>
      <c r="Q388" s="8"/>
      <c r="R388" s="8"/>
      <c r="S388" s="789"/>
      <c r="T388" s="789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</row>
    <row r="389" spans="1:93" ht="15.75" customHeight="1">
      <c r="A389" s="8"/>
      <c r="B389" s="8"/>
      <c r="C389" s="8"/>
      <c r="D389" s="8"/>
      <c r="E389" s="8"/>
      <c r="F389" s="8"/>
      <c r="G389" s="789"/>
      <c r="H389" s="789"/>
      <c r="I389" s="789"/>
      <c r="J389" s="790"/>
      <c r="K389" s="789"/>
      <c r="L389" s="789"/>
      <c r="M389" s="789"/>
      <c r="N389" s="789"/>
      <c r="O389" s="8"/>
      <c r="P389" s="8"/>
      <c r="Q389" s="8"/>
      <c r="R389" s="8"/>
      <c r="S389" s="789"/>
      <c r="T389" s="789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</row>
    <row r="390" spans="1:93" ht="15.75" customHeight="1">
      <c r="A390" s="8"/>
      <c r="B390" s="8"/>
      <c r="C390" s="8"/>
      <c r="D390" s="8"/>
      <c r="E390" s="8"/>
      <c r="F390" s="8"/>
      <c r="G390" s="789"/>
      <c r="H390" s="789"/>
      <c r="I390" s="789"/>
      <c r="J390" s="790"/>
      <c r="K390" s="789"/>
      <c r="L390" s="789"/>
      <c r="M390" s="789"/>
      <c r="N390" s="789"/>
      <c r="O390" s="8"/>
      <c r="P390" s="8"/>
      <c r="Q390" s="8"/>
      <c r="R390" s="8"/>
      <c r="S390" s="789"/>
      <c r="T390" s="789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</row>
    <row r="391" spans="1:93" ht="15.75" customHeight="1">
      <c r="A391" s="8"/>
      <c r="B391" s="8"/>
      <c r="C391" s="8"/>
      <c r="D391" s="8"/>
      <c r="E391" s="8"/>
      <c r="F391" s="8"/>
      <c r="G391" s="789"/>
      <c r="H391" s="789"/>
      <c r="I391" s="789"/>
      <c r="J391" s="790"/>
      <c r="K391" s="789"/>
      <c r="L391" s="789"/>
      <c r="M391" s="789"/>
      <c r="N391" s="789"/>
      <c r="O391" s="8"/>
      <c r="P391" s="8"/>
      <c r="Q391" s="8"/>
      <c r="R391" s="8"/>
      <c r="S391" s="789"/>
      <c r="T391" s="789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</row>
    <row r="392" spans="1:93" ht="15.75" customHeight="1">
      <c r="A392" s="8"/>
      <c r="B392" s="8"/>
      <c r="C392" s="8"/>
      <c r="D392" s="8"/>
      <c r="E392" s="8"/>
      <c r="F392" s="8"/>
      <c r="G392" s="789"/>
      <c r="H392" s="789"/>
      <c r="I392" s="789"/>
      <c r="J392" s="790"/>
      <c r="K392" s="789"/>
      <c r="L392" s="789"/>
      <c r="M392" s="789"/>
      <c r="N392" s="789"/>
      <c r="O392" s="8"/>
      <c r="P392" s="8"/>
      <c r="Q392" s="8"/>
      <c r="R392" s="8"/>
      <c r="S392" s="789"/>
      <c r="T392" s="789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</row>
    <row r="393" spans="1:93" ht="15.75" customHeight="1">
      <c r="A393" s="8"/>
      <c r="B393" s="8"/>
      <c r="C393" s="8"/>
      <c r="D393" s="8"/>
      <c r="E393" s="8"/>
      <c r="F393" s="8"/>
      <c r="G393" s="789"/>
      <c r="H393" s="789"/>
      <c r="I393" s="789"/>
      <c r="J393" s="790"/>
      <c r="K393" s="789"/>
      <c r="L393" s="789"/>
      <c r="M393" s="789"/>
      <c r="N393" s="789"/>
      <c r="O393" s="8"/>
      <c r="P393" s="8"/>
      <c r="Q393" s="8"/>
      <c r="R393" s="8"/>
      <c r="S393" s="789"/>
      <c r="T393" s="789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</row>
    <row r="394" spans="1:93" ht="15.75" customHeight="1">
      <c r="A394" s="8"/>
      <c r="B394" s="8"/>
      <c r="C394" s="8"/>
      <c r="D394" s="8"/>
      <c r="E394" s="8"/>
      <c r="F394" s="8"/>
      <c r="G394" s="789"/>
      <c r="H394" s="789"/>
      <c r="I394" s="789"/>
      <c r="J394" s="790"/>
      <c r="K394" s="789"/>
      <c r="L394" s="789"/>
      <c r="M394" s="789"/>
      <c r="N394" s="789"/>
      <c r="O394" s="8"/>
      <c r="P394" s="8"/>
      <c r="Q394" s="8"/>
      <c r="R394" s="8"/>
      <c r="S394" s="789"/>
      <c r="T394" s="789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</row>
    <row r="395" spans="1:93" ht="15.75" customHeight="1">
      <c r="A395" s="8"/>
      <c r="B395" s="8"/>
      <c r="C395" s="8"/>
      <c r="D395" s="8"/>
      <c r="E395" s="8"/>
      <c r="F395" s="8"/>
      <c r="G395" s="789"/>
      <c r="H395" s="789"/>
      <c r="I395" s="789"/>
      <c r="J395" s="790"/>
      <c r="K395" s="789"/>
      <c r="L395" s="789"/>
      <c r="M395" s="789"/>
      <c r="N395" s="789"/>
      <c r="O395" s="8"/>
      <c r="P395" s="8"/>
      <c r="Q395" s="8"/>
      <c r="R395" s="8"/>
      <c r="S395" s="789"/>
      <c r="T395" s="789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</row>
    <row r="396" spans="1:93" ht="15.75" customHeight="1">
      <c r="A396" s="8"/>
      <c r="B396" s="8"/>
      <c r="C396" s="8"/>
      <c r="D396" s="8"/>
      <c r="E396" s="8"/>
      <c r="F396" s="8"/>
      <c r="G396" s="789"/>
      <c r="H396" s="789"/>
      <c r="I396" s="789"/>
      <c r="J396" s="790"/>
      <c r="K396" s="789"/>
      <c r="L396" s="789"/>
      <c r="M396" s="789"/>
      <c r="N396" s="789"/>
      <c r="O396" s="8"/>
      <c r="P396" s="8"/>
      <c r="Q396" s="8"/>
      <c r="R396" s="8"/>
      <c r="S396" s="789"/>
      <c r="T396" s="789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</row>
    <row r="397" spans="1:93" ht="15.75" customHeight="1">
      <c r="A397" s="8"/>
      <c r="B397" s="8"/>
      <c r="C397" s="8"/>
      <c r="D397" s="8"/>
      <c r="E397" s="8"/>
      <c r="F397" s="8"/>
      <c r="G397" s="789"/>
      <c r="H397" s="789"/>
      <c r="I397" s="789"/>
      <c r="J397" s="790"/>
      <c r="K397" s="789"/>
      <c r="L397" s="789"/>
      <c r="M397" s="789"/>
      <c r="N397" s="789"/>
      <c r="O397" s="8"/>
      <c r="P397" s="8"/>
      <c r="Q397" s="8"/>
      <c r="R397" s="8"/>
      <c r="S397" s="789"/>
      <c r="T397" s="789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</row>
    <row r="398" spans="1:93" ht="15.75" customHeight="1">
      <c r="A398" s="8"/>
      <c r="B398" s="8"/>
      <c r="C398" s="8"/>
      <c r="D398" s="8"/>
      <c r="E398" s="8"/>
      <c r="F398" s="8"/>
      <c r="G398" s="789"/>
      <c r="H398" s="789"/>
      <c r="I398" s="789"/>
      <c r="J398" s="790"/>
      <c r="K398" s="789"/>
      <c r="L398" s="789"/>
      <c r="M398" s="789"/>
      <c r="N398" s="789"/>
      <c r="O398" s="8"/>
      <c r="P398" s="8"/>
      <c r="Q398" s="8"/>
      <c r="R398" s="8"/>
      <c r="S398" s="789"/>
      <c r="T398" s="789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</row>
    <row r="399" spans="1:93" ht="15.75" customHeight="1">
      <c r="A399" s="8"/>
      <c r="B399" s="8"/>
      <c r="C399" s="8"/>
      <c r="D399" s="8"/>
      <c r="E399" s="8"/>
      <c r="F399" s="8"/>
      <c r="G399" s="789"/>
      <c r="H399" s="789"/>
      <c r="I399" s="789"/>
      <c r="J399" s="790"/>
      <c r="K399" s="789"/>
      <c r="L399" s="789"/>
      <c r="M399" s="789"/>
      <c r="N399" s="789"/>
      <c r="O399" s="8"/>
      <c r="P399" s="8"/>
      <c r="Q399" s="8"/>
      <c r="R399" s="8"/>
      <c r="S399" s="789"/>
      <c r="T399" s="789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</row>
    <row r="400" spans="1:93" ht="15.75" customHeight="1">
      <c r="A400" s="8"/>
      <c r="B400" s="8"/>
      <c r="C400" s="8"/>
      <c r="D400" s="8"/>
      <c r="E400" s="8"/>
      <c r="F400" s="8"/>
      <c r="G400" s="789"/>
      <c r="H400" s="789"/>
      <c r="I400" s="789"/>
      <c r="J400" s="790"/>
      <c r="K400" s="789"/>
      <c r="L400" s="789"/>
      <c r="M400" s="789"/>
      <c r="N400" s="789"/>
      <c r="O400" s="8"/>
      <c r="P400" s="8"/>
      <c r="Q400" s="8"/>
      <c r="R400" s="8"/>
      <c r="S400" s="789"/>
      <c r="T400" s="789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</row>
    <row r="401" spans="1:93" ht="15.75" customHeight="1">
      <c r="A401" s="8"/>
      <c r="B401" s="8"/>
      <c r="C401" s="8"/>
      <c r="D401" s="8"/>
      <c r="E401" s="8"/>
      <c r="F401" s="8"/>
      <c r="G401" s="789"/>
      <c r="H401" s="789"/>
      <c r="I401" s="789"/>
      <c r="J401" s="790"/>
      <c r="K401" s="789"/>
      <c r="L401" s="789"/>
      <c r="M401" s="789"/>
      <c r="N401" s="789"/>
      <c r="O401" s="8"/>
      <c r="P401" s="8"/>
      <c r="Q401" s="8"/>
      <c r="R401" s="8"/>
      <c r="S401" s="789"/>
      <c r="T401" s="789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</row>
    <row r="402" spans="1:93" ht="15.75" customHeight="1">
      <c r="A402" s="8"/>
      <c r="B402" s="8"/>
      <c r="C402" s="8"/>
      <c r="D402" s="8"/>
      <c r="E402" s="8"/>
      <c r="F402" s="8"/>
      <c r="G402" s="789"/>
      <c r="H402" s="789"/>
      <c r="I402" s="789"/>
      <c r="J402" s="790"/>
      <c r="K402" s="789"/>
      <c r="L402" s="789"/>
      <c r="M402" s="789"/>
      <c r="N402" s="789"/>
      <c r="O402" s="8"/>
      <c r="P402" s="8"/>
      <c r="Q402" s="8"/>
      <c r="R402" s="8"/>
      <c r="S402" s="789"/>
      <c r="T402" s="789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</row>
    <row r="403" spans="1:93" ht="15.75" customHeight="1">
      <c r="A403" s="8"/>
      <c r="B403" s="8"/>
      <c r="C403" s="8"/>
      <c r="D403" s="8"/>
      <c r="E403" s="8"/>
      <c r="F403" s="8"/>
      <c r="G403" s="789"/>
      <c r="H403" s="789"/>
      <c r="I403" s="789"/>
      <c r="J403" s="790"/>
      <c r="K403" s="789"/>
      <c r="L403" s="789"/>
      <c r="M403" s="789"/>
      <c r="N403" s="789"/>
      <c r="O403" s="8"/>
      <c r="P403" s="8"/>
      <c r="Q403" s="8"/>
      <c r="R403" s="8"/>
      <c r="S403" s="789"/>
      <c r="T403" s="789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</row>
    <row r="404" spans="1:93" ht="15.75" customHeight="1">
      <c r="A404" s="8"/>
      <c r="B404" s="8"/>
      <c r="C404" s="8"/>
      <c r="D404" s="8"/>
      <c r="E404" s="8"/>
      <c r="F404" s="8"/>
      <c r="G404" s="789"/>
      <c r="H404" s="789"/>
      <c r="I404" s="789"/>
      <c r="J404" s="790"/>
      <c r="K404" s="789"/>
      <c r="L404" s="789"/>
      <c r="M404" s="789"/>
      <c r="N404" s="789"/>
      <c r="O404" s="8"/>
      <c r="P404" s="8"/>
      <c r="Q404" s="8"/>
      <c r="R404" s="8"/>
      <c r="S404" s="789"/>
      <c r="T404" s="789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</row>
    <row r="405" spans="1:93" ht="15.75" customHeight="1">
      <c r="A405" s="8"/>
      <c r="B405" s="8"/>
      <c r="C405" s="8"/>
      <c r="D405" s="8"/>
      <c r="E405" s="8"/>
      <c r="F405" s="8"/>
      <c r="G405" s="789"/>
      <c r="H405" s="789"/>
      <c r="I405" s="789"/>
      <c r="J405" s="790"/>
      <c r="K405" s="789"/>
      <c r="L405" s="789"/>
      <c r="M405" s="789"/>
      <c r="N405" s="789"/>
      <c r="O405" s="8"/>
      <c r="P405" s="8"/>
      <c r="Q405" s="8"/>
      <c r="R405" s="8"/>
      <c r="S405" s="789"/>
      <c r="T405" s="789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</row>
    <row r="406" spans="1:93" ht="15.75" customHeight="1">
      <c r="A406" s="8"/>
      <c r="B406" s="8"/>
      <c r="C406" s="8"/>
      <c r="D406" s="8"/>
      <c r="E406" s="8"/>
      <c r="F406" s="8"/>
      <c r="G406" s="789"/>
      <c r="H406" s="789"/>
      <c r="I406" s="789"/>
      <c r="J406" s="790"/>
      <c r="K406" s="789"/>
      <c r="L406" s="789"/>
      <c r="M406" s="789"/>
      <c r="N406" s="789"/>
      <c r="O406" s="8"/>
      <c r="P406" s="8"/>
      <c r="Q406" s="8"/>
      <c r="R406" s="8"/>
      <c r="S406" s="789"/>
      <c r="T406" s="789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</row>
    <row r="407" spans="1:93" ht="15.75" customHeight="1">
      <c r="A407" s="8"/>
      <c r="B407" s="8"/>
      <c r="C407" s="8"/>
      <c r="D407" s="8"/>
      <c r="E407" s="8"/>
      <c r="F407" s="8"/>
      <c r="G407" s="789"/>
      <c r="H407" s="789"/>
      <c r="I407" s="789"/>
      <c r="J407" s="790"/>
      <c r="K407" s="789"/>
      <c r="L407" s="789"/>
      <c r="M407" s="789"/>
      <c r="N407" s="789"/>
      <c r="O407" s="8"/>
      <c r="P407" s="8"/>
      <c r="Q407" s="8"/>
      <c r="R407" s="8"/>
      <c r="S407" s="789"/>
      <c r="T407" s="789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</row>
    <row r="408" spans="1:93" ht="15.75" customHeight="1">
      <c r="A408" s="8"/>
      <c r="B408" s="8"/>
      <c r="C408" s="8"/>
      <c r="D408" s="8"/>
      <c r="E408" s="8"/>
      <c r="F408" s="8"/>
      <c r="G408" s="789"/>
      <c r="H408" s="789"/>
      <c r="I408" s="789"/>
      <c r="J408" s="790"/>
      <c r="K408" s="789"/>
      <c r="L408" s="789"/>
      <c r="M408" s="789"/>
      <c r="N408" s="789"/>
      <c r="O408" s="8"/>
      <c r="P408" s="8"/>
      <c r="Q408" s="8"/>
      <c r="R408" s="8"/>
      <c r="S408" s="789"/>
      <c r="T408" s="789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</row>
    <row r="409" spans="1:93" ht="15.75" customHeight="1">
      <c r="A409" s="8"/>
      <c r="B409" s="8"/>
      <c r="C409" s="8"/>
      <c r="D409" s="8"/>
      <c r="E409" s="8"/>
      <c r="F409" s="8"/>
      <c r="G409" s="789"/>
      <c r="H409" s="789"/>
      <c r="I409" s="789"/>
      <c r="J409" s="790"/>
      <c r="K409" s="789"/>
      <c r="L409" s="789"/>
      <c r="M409" s="789"/>
      <c r="N409" s="789"/>
      <c r="O409" s="8"/>
      <c r="P409" s="8"/>
      <c r="Q409" s="8"/>
      <c r="R409" s="8"/>
      <c r="S409" s="789"/>
      <c r="T409" s="789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</row>
    <row r="410" spans="1:93" ht="15.75" customHeight="1">
      <c r="A410" s="8"/>
      <c r="B410" s="8"/>
      <c r="C410" s="8"/>
      <c r="D410" s="8"/>
      <c r="E410" s="8"/>
      <c r="F410" s="8"/>
      <c r="G410" s="789"/>
      <c r="H410" s="789"/>
      <c r="I410" s="789"/>
      <c r="J410" s="790"/>
      <c r="K410" s="789"/>
      <c r="L410" s="789"/>
      <c r="M410" s="789"/>
      <c r="N410" s="789"/>
      <c r="O410" s="8"/>
      <c r="P410" s="8"/>
      <c r="Q410" s="8"/>
      <c r="R410" s="8"/>
      <c r="S410" s="789"/>
      <c r="T410" s="789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</row>
    <row r="411" spans="1:93" ht="15.75" customHeight="1">
      <c r="A411" s="8"/>
      <c r="B411" s="8"/>
      <c r="C411" s="8"/>
      <c r="D411" s="8"/>
      <c r="E411" s="8"/>
      <c r="F411" s="8"/>
      <c r="G411" s="789"/>
      <c r="H411" s="789"/>
      <c r="I411" s="789"/>
      <c r="J411" s="790"/>
      <c r="K411" s="789"/>
      <c r="L411" s="789"/>
      <c r="M411" s="789"/>
      <c r="N411" s="789"/>
      <c r="O411" s="8"/>
      <c r="P411" s="8"/>
      <c r="Q411" s="8"/>
      <c r="R411" s="8"/>
      <c r="S411" s="789"/>
      <c r="T411" s="789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</row>
    <row r="412" spans="1:93" ht="15.75" customHeight="1">
      <c r="A412" s="8"/>
      <c r="B412" s="8"/>
      <c r="C412" s="8"/>
      <c r="D412" s="8"/>
      <c r="E412" s="8"/>
      <c r="F412" s="8"/>
      <c r="G412" s="789"/>
      <c r="H412" s="789"/>
      <c r="I412" s="789"/>
      <c r="J412" s="790"/>
      <c r="K412" s="789"/>
      <c r="L412" s="789"/>
      <c r="M412" s="789"/>
      <c r="N412" s="789"/>
      <c r="O412" s="8"/>
      <c r="P412" s="8"/>
      <c r="Q412" s="8"/>
      <c r="R412" s="8"/>
      <c r="S412" s="789"/>
      <c r="T412" s="789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</row>
    <row r="413" spans="1:93" ht="15.75" customHeight="1">
      <c r="A413" s="8"/>
      <c r="B413" s="8"/>
      <c r="C413" s="8"/>
      <c r="D413" s="8"/>
      <c r="E413" s="8"/>
      <c r="F413" s="8"/>
      <c r="G413" s="789"/>
      <c r="H413" s="789"/>
      <c r="I413" s="789"/>
      <c r="J413" s="790"/>
      <c r="K413" s="789"/>
      <c r="L413" s="789"/>
      <c r="M413" s="789"/>
      <c r="N413" s="789"/>
      <c r="O413" s="8"/>
      <c r="P413" s="8"/>
      <c r="Q413" s="8"/>
      <c r="R413" s="8"/>
      <c r="S413" s="789"/>
      <c r="T413" s="789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</row>
    <row r="414" spans="1:93" ht="15.75" customHeight="1">
      <c r="A414" s="8"/>
      <c r="B414" s="8"/>
      <c r="C414" s="8"/>
      <c r="D414" s="8"/>
      <c r="E414" s="8"/>
      <c r="F414" s="8"/>
      <c r="G414" s="789"/>
      <c r="H414" s="789"/>
      <c r="I414" s="789"/>
      <c r="J414" s="790"/>
      <c r="K414" s="789"/>
      <c r="L414" s="789"/>
      <c r="M414" s="789"/>
      <c r="N414" s="789"/>
      <c r="O414" s="8"/>
      <c r="P414" s="8"/>
      <c r="Q414" s="8"/>
      <c r="R414" s="8"/>
      <c r="S414" s="789"/>
      <c r="T414" s="789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</row>
    <row r="415" spans="1:93" ht="15.75" customHeight="1">
      <c r="A415" s="8"/>
      <c r="B415" s="8"/>
      <c r="C415" s="8"/>
      <c r="D415" s="8"/>
      <c r="E415" s="8"/>
      <c r="F415" s="8"/>
      <c r="G415" s="789"/>
      <c r="H415" s="789"/>
      <c r="I415" s="789"/>
      <c r="J415" s="790"/>
      <c r="K415" s="789"/>
      <c r="L415" s="789"/>
      <c r="M415" s="789"/>
      <c r="N415" s="789"/>
      <c r="O415" s="8"/>
      <c r="P415" s="8"/>
      <c r="Q415" s="8"/>
      <c r="R415" s="8"/>
      <c r="S415" s="789"/>
      <c r="T415" s="789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</row>
    <row r="416" spans="1:93" ht="15.75" customHeight="1">
      <c r="A416" s="8"/>
      <c r="B416" s="8"/>
      <c r="C416" s="8"/>
      <c r="D416" s="8"/>
      <c r="E416" s="8"/>
      <c r="F416" s="8"/>
      <c r="G416" s="789"/>
      <c r="H416" s="789"/>
      <c r="I416" s="789"/>
      <c r="J416" s="790"/>
      <c r="K416" s="789"/>
      <c r="L416" s="789"/>
      <c r="M416" s="789"/>
      <c r="N416" s="789"/>
      <c r="O416" s="8"/>
      <c r="P416" s="8"/>
      <c r="Q416" s="8"/>
      <c r="R416" s="8"/>
      <c r="S416" s="789"/>
      <c r="T416" s="789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</row>
    <row r="417" spans="1:93" ht="15.75" customHeight="1">
      <c r="A417" s="8"/>
      <c r="B417" s="8"/>
      <c r="C417" s="8"/>
      <c r="D417" s="8"/>
      <c r="E417" s="8"/>
      <c r="F417" s="8"/>
      <c r="G417" s="789"/>
      <c r="H417" s="789"/>
      <c r="I417" s="789"/>
      <c r="J417" s="790"/>
      <c r="K417" s="789"/>
      <c r="L417" s="789"/>
      <c r="M417" s="789"/>
      <c r="N417" s="789"/>
      <c r="O417" s="8"/>
      <c r="P417" s="8"/>
      <c r="Q417" s="8"/>
      <c r="R417" s="8"/>
      <c r="S417" s="789"/>
      <c r="T417" s="789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</row>
    <row r="418" spans="1:93" ht="15.75" customHeight="1">
      <c r="A418" s="8"/>
      <c r="B418" s="8"/>
      <c r="C418" s="8"/>
      <c r="D418" s="8"/>
      <c r="E418" s="8"/>
      <c r="F418" s="8"/>
      <c r="G418" s="789"/>
      <c r="H418" s="789"/>
      <c r="I418" s="789"/>
      <c r="J418" s="790"/>
      <c r="K418" s="789"/>
      <c r="L418" s="789"/>
      <c r="M418" s="789"/>
      <c r="N418" s="789"/>
      <c r="O418" s="8"/>
      <c r="P418" s="8"/>
      <c r="Q418" s="8"/>
      <c r="R418" s="8"/>
      <c r="S418" s="789"/>
      <c r="T418" s="789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</row>
    <row r="419" spans="1:93" ht="15.75" customHeight="1">
      <c r="A419" s="8"/>
      <c r="B419" s="8"/>
      <c r="C419" s="8"/>
      <c r="D419" s="8"/>
      <c r="E419" s="8"/>
      <c r="F419" s="8"/>
      <c r="G419" s="789"/>
      <c r="H419" s="789"/>
      <c r="I419" s="789"/>
      <c r="J419" s="790"/>
      <c r="K419" s="789"/>
      <c r="L419" s="789"/>
      <c r="M419" s="789"/>
      <c r="N419" s="789"/>
      <c r="O419" s="8"/>
      <c r="P419" s="8"/>
      <c r="Q419" s="8"/>
      <c r="R419" s="8"/>
      <c r="S419" s="789"/>
      <c r="T419" s="789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</row>
    <row r="420" spans="1:93" ht="15.75" customHeight="1">
      <c r="A420" s="8"/>
      <c r="B420" s="8"/>
      <c r="C420" s="8"/>
      <c r="D420" s="8"/>
      <c r="E420" s="8"/>
      <c r="F420" s="8"/>
      <c r="G420" s="789"/>
      <c r="H420" s="789"/>
      <c r="I420" s="789"/>
      <c r="J420" s="790"/>
      <c r="K420" s="789"/>
      <c r="L420" s="789"/>
      <c r="M420" s="789"/>
      <c r="N420" s="789"/>
      <c r="O420" s="8"/>
      <c r="P420" s="8"/>
      <c r="Q420" s="8"/>
      <c r="R420" s="8"/>
      <c r="S420" s="789"/>
      <c r="T420" s="789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</row>
    <row r="421" spans="1:93" ht="15.75" customHeight="1">
      <c r="A421" s="8"/>
      <c r="B421" s="8"/>
      <c r="C421" s="8"/>
      <c r="D421" s="8"/>
      <c r="E421" s="8"/>
      <c r="F421" s="8"/>
      <c r="G421" s="789"/>
      <c r="H421" s="789"/>
      <c r="I421" s="789"/>
      <c r="J421" s="790"/>
      <c r="K421" s="789"/>
      <c r="L421" s="789"/>
      <c r="M421" s="789"/>
      <c r="N421" s="789"/>
      <c r="O421" s="8"/>
      <c r="P421" s="8"/>
      <c r="Q421" s="8"/>
      <c r="R421" s="8"/>
      <c r="S421" s="789"/>
      <c r="T421" s="789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</row>
    <row r="422" spans="1:93" ht="15.75" customHeight="1">
      <c r="A422" s="8"/>
      <c r="B422" s="8"/>
      <c r="C422" s="8"/>
      <c r="D422" s="8"/>
      <c r="E422" s="8"/>
      <c r="F422" s="8"/>
      <c r="G422" s="789"/>
      <c r="H422" s="789"/>
      <c r="I422" s="789"/>
      <c r="J422" s="790"/>
      <c r="K422" s="789"/>
      <c r="L422" s="789"/>
      <c r="M422" s="789"/>
      <c r="N422" s="789"/>
      <c r="O422" s="8"/>
      <c r="P422" s="8"/>
      <c r="Q422" s="8"/>
      <c r="R422" s="8"/>
      <c r="S422" s="789"/>
      <c r="T422" s="789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</row>
    <row r="423" spans="1:93" ht="15.75" customHeight="1">
      <c r="A423" s="8"/>
      <c r="B423" s="8"/>
      <c r="C423" s="8"/>
      <c r="D423" s="8"/>
      <c r="E423" s="8"/>
      <c r="F423" s="8"/>
      <c r="G423" s="789"/>
      <c r="H423" s="789"/>
      <c r="I423" s="789"/>
      <c r="J423" s="790"/>
      <c r="K423" s="789"/>
      <c r="L423" s="789"/>
      <c r="M423" s="789"/>
      <c r="N423" s="789"/>
      <c r="O423" s="8"/>
      <c r="P423" s="8"/>
      <c r="Q423" s="8"/>
      <c r="R423" s="8"/>
      <c r="S423" s="789"/>
      <c r="T423" s="789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</row>
    <row r="424" spans="1:93" ht="15.75" customHeight="1">
      <c r="A424" s="8"/>
      <c r="B424" s="8"/>
      <c r="C424" s="8"/>
      <c r="D424" s="8"/>
      <c r="E424" s="8"/>
      <c r="F424" s="8"/>
      <c r="G424" s="789"/>
      <c r="H424" s="789"/>
      <c r="I424" s="789"/>
      <c r="J424" s="790"/>
      <c r="K424" s="789"/>
      <c r="L424" s="789"/>
      <c r="M424" s="789"/>
      <c r="N424" s="789"/>
      <c r="O424" s="8"/>
      <c r="P424" s="8"/>
      <c r="Q424" s="8"/>
      <c r="R424" s="8"/>
      <c r="S424" s="789"/>
      <c r="T424" s="789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</row>
    <row r="425" spans="1:93" ht="15.75" customHeight="1">
      <c r="A425" s="8"/>
      <c r="B425" s="8"/>
      <c r="C425" s="8"/>
      <c r="D425" s="8"/>
      <c r="E425" s="8"/>
      <c r="F425" s="8"/>
      <c r="G425" s="789"/>
      <c r="H425" s="789"/>
      <c r="I425" s="789"/>
      <c r="J425" s="790"/>
      <c r="K425" s="789"/>
      <c r="L425" s="789"/>
      <c r="M425" s="789"/>
      <c r="N425" s="789"/>
      <c r="O425" s="8"/>
      <c r="P425" s="8"/>
      <c r="Q425" s="8"/>
      <c r="R425" s="8"/>
      <c r="S425" s="789"/>
      <c r="T425" s="789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</row>
    <row r="426" spans="1:93" ht="15.75" customHeight="1">
      <c r="A426" s="8"/>
      <c r="B426" s="8"/>
      <c r="C426" s="8"/>
      <c r="D426" s="8"/>
      <c r="E426" s="8"/>
      <c r="F426" s="8"/>
      <c r="G426" s="789"/>
      <c r="H426" s="789"/>
      <c r="I426" s="789"/>
      <c r="J426" s="790"/>
      <c r="K426" s="789"/>
      <c r="L426" s="789"/>
      <c r="M426" s="789"/>
      <c r="N426" s="789"/>
      <c r="O426" s="8"/>
      <c r="P426" s="8"/>
      <c r="Q426" s="8"/>
      <c r="R426" s="8"/>
      <c r="S426" s="789"/>
      <c r="T426" s="789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</row>
    <row r="427" spans="1:93" ht="15.75" customHeight="1">
      <c r="A427" s="8"/>
      <c r="B427" s="8"/>
      <c r="C427" s="8"/>
      <c r="D427" s="8"/>
      <c r="E427" s="8"/>
      <c r="F427" s="8"/>
      <c r="G427" s="789"/>
      <c r="H427" s="789"/>
      <c r="I427" s="789"/>
      <c r="J427" s="790"/>
      <c r="K427" s="789"/>
      <c r="L427" s="789"/>
      <c r="M427" s="789"/>
      <c r="N427" s="789"/>
      <c r="O427" s="8"/>
      <c r="P427" s="8"/>
      <c r="Q427" s="8"/>
      <c r="R427" s="8"/>
      <c r="S427" s="789"/>
      <c r="T427" s="789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</row>
    <row r="428" spans="1:93" ht="15.75" customHeight="1">
      <c r="A428" s="8"/>
      <c r="B428" s="8"/>
      <c r="C428" s="8"/>
      <c r="D428" s="8"/>
      <c r="E428" s="8"/>
      <c r="F428" s="8"/>
      <c r="G428" s="789"/>
      <c r="H428" s="789"/>
      <c r="I428" s="789"/>
      <c r="J428" s="790"/>
      <c r="K428" s="789"/>
      <c r="L428" s="789"/>
      <c r="M428" s="789"/>
      <c r="N428" s="789"/>
      <c r="O428" s="8"/>
      <c r="P428" s="8"/>
      <c r="Q428" s="8"/>
      <c r="R428" s="8"/>
      <c r="S428" s="789"/>
      <c r="T428" s="789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</row>
    <row r="429" spans="1:93" ht="15.75" customHeight="1">
      <c r="A429" s="8"/>
      <c r="B429" s="8"/>
      <c r="C429" s="8"/>
      <c r="D429" s="8"/>
      <c r="E429" s="8"/>
      <c r="F429" s="8"/>
      <c r="G429" s="789"/>
      <c r="H429" s="789"/>
      <c r="I429" s="789"/>
      <c r="J429" s="790"/>
      <c r="K429" s="789"/>
      <c r="L429" s="789"/>
      <c r="M429" s="789"/>
      <c r="N429" s="789"/>
      <c r="O429" s="8"/>
      <c r="P429" s="8"/>
      <c r="Q429" s="8"/>
      <c r="R429" s="8"/>
      <c r="S429" s="789"/>
      <c r="T429" s="789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</row>
    <row r="430" spans="1:93" ht="15.75" customHeight="1">
      <c r="A430" s="8"/>
      <c r="B430" s="8"/>
      <c r="C430" s="8"/>
      <c r="D430" s="8"/>
      <c r="E430" s="8"/>
      <c r="F430" s="8"/>
      <c r="G430" s="789"/>
      <c r="H430" s="789"/>
      <c r="I430" s="789"/>
      <c r="J430" s="790"/>
      <c r="K430" s="789"/>
      <c r="L430" s="789"/>
      <c r="M430" s="789"/>
      <c r="N430" s="789"/>
      <c r="O430" s="8"/>
      <c r="P430" s="8"/>
      <c r="Q430" s="8"/>
      <c r="R430" s="8"/>
      <c r="S430" s="789"/>
      <c r="T430" s="789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</row>
    <row r="431" spans="1:93" ht="15.75" customHeight="1">
      <c r="A431" s="8"/>
      <c r="B431" s="8"/>
      <c r="C431" s="8"/>
      <c r="D431" s="8"/>
      <c r="E431" s="8"/>
      <c r="F431" s="8"/>
      <c r="G431" s="789"/>
      <c r="H431" s="789"/>
      <c r="I431" s="789"/>
      <c r="J431" s="790"/>
      <c r="K431" s="789"/>
      <c r="L431" s="789"/>
      <c r="M431" s="789"/>
      <c r="N431" s="789"/>
      <c r="O431" s="8"/>
      <c r="P431" s="8"/>
      <c r="Q431" s="8"/>
      <c r="R431" s="8"/>
      <c r="S431" s="789"/>
      <c r="T431" s="789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</row>
    <row r="432" spans="1:93" ht="15.75" customHeight="1">
      <c r="A432" s="8"/>
      <c r="B432" s="8"/>
      <c r="C432" s="8"/>
      <c r="D432" s="8"/>
      <c r="E432" s="8"/>
      <c r="F432" s="8"/>
      <c r="G432" s="789"/>
      <c r="H432" s="789"/>
      <c r="I432" s="789"/>
      <c r="J432" s="790"/>
      <c r="K432" s="789"/>
      <c r="L432" s="789"/>
      <c r="M432" s="789"/>
      <c r="N432" s="789"/>
      <c r="O432" s="8"/>
      <c r="P432" s="8"/>
      <c r="Q432" s="8"/>
      <c r="R432" s="8"/>
      <c r="S432" s="789"/>
      <c r="T432" s="789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</row>
    <row r="433" spans="1:93" ht="15.75" customHeight="1">
      <c r="A433" s="8"/>
      <c r="B433" s="8"/>
      <c r="C433" s="8"/>
      <c r="D433" s="8"/>
      <c r="E433" s="8"/>
      <c r="F433" s="8"/>
      <c r="G433" s="789"/>
      <c r="H433" s="789"/>
      <c r="I433" s="789"/>
      <c r="J433" s="790"/>
      <c r="K433" s="789"/>
      <c r="L433" s="789"/>
      <c r="M433" s="789"/>
      <c r="N433" s="789"/>
      <c r="O433" s="8"/>
      <c r="P433" s="8"/>
      <c r="Q433" s="8"/>
      <c r="R433" s="8"/>
      <c r="S433" s="789"/>
      <c r="T433" s="789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</row>
    <row r="434" spans="1:93" ht="15.75" customHeight="1">
      <c r="A434" s="8"/>
      <c r="B434" s="8"/>
      <c r="C434" s="8"/>
      <c r="D434" s="8"/>
      <c r="E434" s="8"/>
      <c r="F434" s="8"/>
      <c r="G434" s="789"/>
      <c r="H434" s="789"/>
      <c r="I434" s="789"/>
      <c r="J434" s="790"/>
      <c r="K434" s="789"/>
      <c r="L434" s="789"/>
      <c r="M434" s="789"/>
      <c r="N434" s="789"/>
      <c r="O434" s="8"/>
      <c r="P434" s="8"/>
      <c r="Q434" s="8"/>
      <c r="R434" s="8"/>
      <c r="S434" s="789"/>
      <c r="T434" s="789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</row>
    <row r="435" spans="1:93" ht="15.75" customHeight="1">
      <c r="A435" s="8"/>
      <c r="B435" s="8"/>
      <c r="C435" s="8"/>
      <c r="D435" s="8"/>
      <c r="E435" s="8"/>
      <c r="F435" s="8"/>
      <c r="G435" s="789"/>
      <c r="H435" s="789"/>
      <c r="I435" s="789"/>
      <c r="J435" s="790"/>
      <c r="K435" s="789"/>
      <c r="L435" s="789"/>
      <c r="M435" s="789"/>
      <c r="N435" s="789"/>
      <c r="O435" s="8"/>
      <c r="P435" s="8"/>
      <c r="Q435" s="8"/>
      <c r="R435" s="8"/>
      <c r="S435" s="789"/>
      <c r="T435" s="789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</row>
    <row r="436" spans="1:93" ht="15.75" customHeight="1">
      <c r="A436" s="8"/>
      <c r="B436" s="8"/>
      <c r="C436" s="8"/>
      <c r="D436" s="8"/>
      <c r="E436" s="8"/>
      <c r="F436" s="8"/>
      <c r="G436" s="789"/>
      <c r="H436" s="789"/>
      <c r="I436" s="789"/>
      <c r="J436" s="790"/>
      <c r="K436" s="789"/>
      <c r="L436" s="789"/>
      <c r="M436" s="789"/>
      <c r="N436" s="789"/>
      <c r="O436" s="8"/>
      <c r="P436" s="8"/>
      <c r="Q436" s="8"/>
      <c r="R436" s="8"/>
      <c r="S436" s="789"/>
      <c r="T436" s="789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</row>
    <row r="437" spans="1:93" ht="15.75" customHeight="1">
      <c r="A437" s="8"/>
      <c r="B437" s="8"/>
      <c r="C437" s="8"/>
      <c r="D437" s="8"/>
      <c r="E437" s="8"/>
      <c r="F437" s="8"/>
      <c r="G437" s="789"/>
      <c r="H437" s="789"/>
      <c r="I437" s="789"/>
      <c r="J437" s="790"/>
      <c r="K437" s="789"/>
      <c r="L437" s="789"/>
      <c r="M437" s="789"/>
      <c r="N437" s="789"/>
      <c r="O437" s="8"/>
      <c r="P437" s="8"/>
      <c r="Q437" s="8"/>
      <c r="R437" s="8"/>
      <c r="S437" s="789"/>
      <c r="T437" s="789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</row>
    <row r="438" spans="1:93" ht="15.75" customHeight="1">
      <c r="A438" s="8"/>
      <c r="B438" s="8"/>
      <c r="C438" s="8"/>
      <c r="D438" s="8"/>
      <c r="E438" s="8"/>
      <c r="F438" s="8"/>
      <c r="G438" s="789"/>
      <c r="H438" s="789"/>
      <c r="I438" s="789"/>
      <c r="J438" s="790"/>
      <c r="K438" s="789"/>
      <c r="L438" s="789"/>
      <c r="M438" s="789"/>
      <c r="N438" s="789"/>
      <c r="O438" s="8"/>
      <c r="P438" s="8"/>
      <c r="Q438" s="8"/>
      <c r="R438" s="8"/>
      <c r="S438" s="789"/>
      <c r="T438" s="789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</row>
    <row r="439" spans="1:93" ht="15.75" customHeight="1">
      <c r="A439" s="8"/>
      <c r="B439" s="8"/>
      <c r="C439" s="8"/>
      <c r="D439" s="8"/>
      <c r="E439" s="8"/>
      <c r="F439" s="8"/>
      <c r="G439" s="789"/>
      <c r="H439" s="789"/>
      <c r="I439" s="789"/>
      <c r="J439" s="790"/>
      <c r="K439" s="789"/>
      <c r="L439" s="789"/>
      <c r="M439" s="789"/>
      <c r="N439" s="789"/>
      <c r="O439" s="8"/>
      <c r="P439" s="8"/>
      <c r="Q439" s="8"/>
      <c r="R439" s="8"/>
      <c r="S439" s="789"/>
      <c r="T439" s="789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</row>
    <row r="440" spans="1:93" ht="15.75" customHeight="1">
      <c r="A440" s="8"/>
      <c r="B440" s="8"/>
      <c r="C440" s="8"/>
      <c r="D440" s="8"/>
      <c r="E440" s="8"/>
      <c r="F440" s="8"/>
      <c r="G440" s="789"/>
      <c r="H440" s="789"/>
      <c r="I440" s="789"/>
      <c r="J440" s="790"/>
      <c r="K440" s="789"/>
      <c r="L440" s="789"/>
      <c r="M440" s="789"/>
      <c r="N440" s="789"/>
      <c r="O440" s="8"/>
      <c r="P440" s="8"/>
      <c r="Q440" s="8"/>
      <c r="R440" s="8"/>
      <c r="S440" s="789"/>
      <c r="T440" s="789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</row>
    <row r="441" spans="1:93" ht="15.75" customHeight="1">
      <c r="A441" s="8"/>
      <c r="B441" s="8"/>
      <c r="C441" s="8"/>
      <c r="D441" s="8"/>
      <c r="E441" s="8"/>
      <c r="F441" s="8"/>
      <c r="G441" s="789"/>
      <c r="H441" s="789"/>
      <c r="I441" s="789"/>
      <c r="J441" s="790"/>
      <c r="K441" s="789"/>
      <c r="L441" s="789"/>
      <c r="M441" s="789"/>
      <c r="N441" s="789"/>
      <c r="O441" s="8"/>
      <c r="P441" s="8"/>
      <c r="Q441" s="8"/>
      <c r="R441" s="8"/>
      <c r="S441" s="789"/>
      <c r="T441" s="789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</row>
    <row r="442" spans="1:93" ht="15.75" customHeight="1">
      <c r="A442" s="8"/>
      <c r="B442" s="8"/>
      <c r="C442" s="8"/>
      <c r="D442" s="8"/>
      <c r="E442" s="8"/>
      <c r="F442" s="8"/>
      <c r="G442" s="789"/>
      <c r="H442" s="789"/>
      <c r="I442" s="789"/>
      <c r="J442" s="790"/>
      <c r="K442" s="789"/>
      <c r="L442" s="789"/>
      <c r="M442" s="789"/>
      <c r="N442" s="789"/>
      <c r="O442" s="8"/>
      <c r="P442" s="8"/>
      <c r="Q442" s="8"/>
      <c r="R442" s="8"/>
      <c r="S442" s="789"/>
      <c r="T442" s="789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</row>
    <row r="443" spans="1:93" ht="15.75" customHeight="1">
      <c r="A443" s="8"/>
      <c r="B443" s="8"/>
      <c r="C443" s="8"/>
      <c r="D443" s="8"/>
      <c r="E443" s="8"/>
      <c r="F443" s="8"/>
      <c r="G443" s="789"/>
      <c r="H443" s="789"/>
      <c r="I443" s="789"/>
      <c r="J443" s="790"/>
      <c r="K443" s="789"/>
      <c r="L443" s="789"/>
      <c r="M443" s="789"/>
      <c r="N443" s="789"/>
      <c r="O443" s="8"/>
      <c r="P443" s="8"/>
      <c r="Q443" s="8"/>
      <c r="R443" s="8"/>
      <c r="S443" s="789"/>
      <c r="T443" s="789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</row>
    <row r="444" spans="1:93" ht="15.75" customHeight="1">
      <c r="A444" s="8"/>
      <c r="B444" s="8"/>
      <c r="C444" s="8"/>
      <c r="D444" s="8"/>
      <c r="E444" s="8"/>
      <c r="F444" s="8"/>
      <c r="G444" s="789"/>
      <c r="H444" s="789"/>
      <c r="I444" s="789"/>
      <c r="J444" s="790"/>
      <c r="K444" s="789"/>
      <c r="L444" s="789"/>
      <c r="M444" s="789"/>
      <c r="N444" s="789"/>
      <c r="O444" s="8"/>
      <c r="P444" s="8"/>
      <c r="Q444" s="8"/>
      <c r="R444" s="8"/>
      <c r="S444" s="789"/>
      <c r="T444" s="789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</row>
    <row r="445" spans="1:93" ht="15.75" customHeight="1">
      <c r="A445" s="8"/>
      <c r="B445" s="8"/>
      <c r="C445" s="8"/>
      <c r="D445" s="8"/>
      <c r="E445" s="8"/>
      <c r="F445" s="8"/>
      <c r="G445" s="789"/>
      <c r="H445" s="789"/>
      <c r="I445" s="789"/>
      <c r="J445" s="790"/>
      <c r="K445" s="789"/>
      <c r="L445" s="789"/>
      <c r="M445" s="789"/>
      <c r="N445" s="789"/>
      <c r="O445" s="8"/>
      <c r="P445" s="8"/>
      <c r="Q445" s="8"/>
      <c r="R445" s="8"/>
      <c r="S445" s="789"/>
      <c r="T445" s="789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</row>
    <row r="446" spans="1:93" ht="15.75" customHeight="1">
      <c r="A446" s="8"/>
      <c r="B446" s="8"/>
      <c r="C446" s="8"/>
      <c r="D446" s="8"/>
      <c r="E446" s="8"/>
      <c r="F446" s="8"/>
      <c r="G446" s="789"/>
      <c r="H446" s="789"/>
      <c r="I446" s="789"/>
      <c r="J446" s="790"/>
      <c r="K446" s="789"/>
      <c r="L446" s="789"/>
      <c r="M446" s="789"/>
      <c r="N446" s="789"/>
      <c r="O446" s="8"/>
      <c r="P446" s="8"/>
      <c r="Q446" s="8"/>
      <c r="R446" s="8"/>
      <c r="S446" s="789"/>
      <c r="T446" s="789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</row>
    <row r="447" spans="1:93" ht="15.75" customHeight="1">
      <c r="A447" s="8"/>
      <c r="B447" s="8"/>
      <c r="C447" s="8"/>
      <c r="D447" s="8"/>
      <c r="E447" s="8"/>
      <c r="F447" s="8"/>
      <c r="G447" s="789"/>
      <c r="H447" s="789"/>
      <c r="I447" s="789"/>
      <c r="J447" s="790"/>
      <c r="K447" s="789"/>
      <c r="L447" s="789"/>
      <c r="M447" s="789"/>
      <c r="N447" s="789"/>
      <c r="O447" s="8"/>
      <c r="P447" s="8"/>
      <c r="Q447" s="8"/>
      <c r="R447" s="8"/>
      <c r="S447" s="789"/>
      <c r="T447" s="789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</row>
    <row r="448" spans="1:93" ht="15.75" customHeight="1">
      <c r="A448" s="8"/>
      <c r="B448" s="8"/>
      <c r="C448" s="8"/>
      <c r="D448" s="8"/>
      <c r="E448" s="8"/>
      <c r="F448" s="8"/>
      <c r="G448" s="789"/>
      <c r="H448" s="789"/>
      <c r="I448" s="789"/>
      <c r="J448" s="790"/>
      <c r="K448" s="789"/>
      <c r="L448" s="789"/>
      <c r="M448" s="789"/>
      <c r="N448" s="789"/>
      <c r="O448" s="8"/>
      <c r="P448" s="8"/>
      <c r="Q448" s="8"/>
      <c r="R448" s="8"/>
      <c r="S448" s="789"/>
      <c r="T448" s="789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</row>
    <row r="449" spans="1:93" ht="15.75" customHeight="1">
      <c r="A449" s="8"/>
      <c r="B449" s="8"/>
      <c r="C449" s="8"/>
      <c r="D449" s="8"/>
      <c r="E449" s="8"/>
      <c r="F449" s="8"/>
      <c r="G449" s="789"/>
      <c r="H449" s="789"/>
      <c r="I449" s="789"/>
      <c r="J449" s="790"/>
      <c r="K449" s="789"/>
      <c r="L449" s="789"/>
      <c r="M449" s="789"/>
      <c r="N449" s="789"/>
      <c r="O449" s="8"/>
      <c r="P449" s="8"/>
      <c r="Q449" s="8"/>
      <c r="R449" s="8"/>
      <c r="S449" s="789"/>
      <c r="T449" s="789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</row>
    <row r="450" spans="1:93" ht="15.75" customHeight="1">
      <c r="A450" s="8"/>
      <c r="B450" s="8"/>
      <c r="C450" s="8"/>
      <c r="D450" s="8"/>
      <c r="E450" s="8"/>
      <c r="F450" s="8"/>
      <c r="G450" s="789"/>
      <c r="H450" s="789"/>
      <c r="I450" s="789"/>
      <c r="J450" s="790"/>
      <c r="K450" s="789"/>
      <c r="L450" s="789"/>
      <c r="M450" s="789"/>
      <c r="N450" s="789"/>
      <c r="O450" s="8"/>
      <c r="P450" s="8"/>
      <c r="Q450" s="8"/>
      <c r="R450" s="8"/>
      <c r="S450" s="789"/>
      <c r="T450" s="789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</row>
    <row r="451" spans="1:93" ht="15.75" customHeight="1">
      <c r="A451" s="8"/>
      <c r="B451" s="8"/>
      <c r="C451" s="8"/>
      <c r="D451" s="8"/>
      <c r="E451" s="8"/>
      <c r="F451" s="8"/>
      <c r="G451" s="789"/>
      <c r="H451" s="789"/>
      <c r="I451" s="789"/>
      <c r="J451" s="790"/>
      <c r="K451" s="789"/>
      <c r="L451" s="789"/>
      <c r="M451" s="789"/>
      <c r="N451" s="789"/>
      <c r="O451" s="8"/>
      <c r="P451" s="8"/>
      <c r="Q451" s="8"/>
      <c r="R451" s="8"/>
      <c r="S451" s="789"/>
      <c r="T451" s="789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</row>
    <row r="452" spans="1:93" ht="15.75" customHeight="1">
      <c r="A452" s="8"/>
      <c r="B452" s="8"/>
      <c r="C452" s="8"/>
      <c r="D452" s="8"/>
      <c r="E452" s="8"/>
      <c r="F452" s="8"/>
      <c r="G452" s="789"/>
      <c r="H452" s="789"/>
      <c r="I452" s="789"/>
      <c r="J452" s="790"/>
      <c r="K452" s="789"/>
      <c r="L452" s="789"/>
      <c r="M452" s="789"/>
      <c r="N452" s="789"/>
      <c r="O452" s="8"/>
      <c r="P452" s="8"/>
      <c r="Q452" s="8"/>
      <c r="R452" s="8"/>
      <c r="S452" s="789"/>
      <c r="T452" s="789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</row>
    <row r="453" spans="1:93" ht="15.75" customHeight="1">
      <c r="A453" s="8"/>
      <c r="B453" s="8"/>
      <c r="C453" s="8"/>
      <c r="D453" s="8"/>
      <c r="E453" s="8"/>
      <c r="F453" s="8"/>
      <c r="G453" s="789"/>
      <c r="H453" s="789"/>
      <c r="I453" s="789"/>
      <c r="J453" s="790"/>
      <c r="K453" s="789"/>
      <c r="L453" s="789"/>
      <c r="M453" s="789"/>
      <c r="N453" s="789"/>
      <c r="O453" s="8"/>
      <c r="P453" s="8"/>
      <c r="Q453" s="8"/>
      <c r="R453" s="8"/>
      <c r="S453" s="789"/>
      <c r="T453" s="789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</row>
    <row r="454" spans="1:93" ht="15.75" customHeight="1">
      <c r="A454" s="8"/>
      <c r="B454" s="8"/>
      <c r="C454" s="8"/>
      <c r="D454" s="8"/>
      <c r="E454" s="8"/>
      <c r="F454" s="8"/>
      <c r="G454" s="789"/>
      <c r="H454" s="789"/>
      <c r="I454" s="789"/>
      <c r="J454" s="790"/>
      <c r="K454" s="789"/>
      <c r="L454" s="789"/>
      <c r="M454" s="789"/>
      <c r="N454" s="789"/>
      <c r="O454" s="8"/>
      <c r="P454" s="8"/>
      <c r="Q454" s="8"/>
      <c r="R454" s="8"/>
      <c r="S454" s="789"/>
      <c r="T454" s="789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</row>
    <row r="455" spans="1:93" ht="15.75" customHeight="1">
      <c r="A455" s="8"/>
      <c r="B455" s="8"/>
      <c r="C455" s="8"/>
      <c r="D455" s="8"/>
      <c r="E455" s="8"/>
      <c r="F455" s="8"/>
      <c r="G455" s="789"/>
      <c r="H455" s="789"/>
      <c r="I455" s="789"/>
      <c r="J455" s="790"/>
      <c r="K455" s="789"/>
      <c r="L455" s="789"/>
      <c r="M455" s="789"/>
      <c r="N455" s="789"/>
      <c r="O455" s="8"/>
      <c r="P455" s="8"/>
      <c r="Q455" s="8"/>
      <c r="R455" s="8"/>
      <c r="S455" s="789"/>
      <c r="T455" s="789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</row>
    <row r="456" spans="1:93" ht="15.75" customHeight="1">
      <c r="A456" s="8"/>
      <c r="B456" s="8"/>
      <c r="C456" s="8"/>
      <c r="D456" s="8"/>
      <c r="E456" s="8"/>
      <c r="F456" s="8"/>
      <c r="G456" s="789"/>
      <c r="H456" s="789"/>
      <c r="I456" s="789"/>
      <c r="J456" s="790"/>
      <c r="K456" s="789"/>
      <c r="L456" s="789"/>
      <c r="M456" s="789"/>
      <c r="N456" s="789"/>
      <c r="O456" s="8"/>
      <c r="P456" s="8"/>
      <c r="Q456" s="8"/>
      <c r="R456" s="8"/>
      <c r="S456" s="789"/>
      <c r="T456" s="789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</row>
    <row r="457" spans="1:93" ht="15.75" customHeight="1">
      <c r="A457" s="8"/>
      <c r="B457" s="8"/>
      <c r="C457" s="8"/>
      <c r="D457" s="8"/>
      <c r="E457" s="8"/>
      <c r="F457" s="8"/>
      <c r="G457" s="789"/>
      <c r="H457" s="789"/>
      <c r="I457" s="789"/>
      <c r="J457" s="790"/>
      <c r="K457" s="789"/>
      <c r="L457" s="789"/>
      <c r="M457" s="789"/>
      <c r="N457" s="789"/>
      <c r="O457" s="8"/>
      <c r="P457" s="8"/>
      <c r="Q457" s="8"/>
      <c r="R457" s="8"/>
      <c r="S457" s="789"/>
      <c r="T457" s="789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</row>
    <row r="458" spans="1:93" ht="15.75" customHeight="1">
      <c r="A458" s="8"/>
      <c r="B458" s="8"/>
      <c r="C458" s="8"/>
      <c r="D458" s="8"/>
      <c r="E458" s="8"/>
      <c r="F458" s="8"/>
      <c r="G458" s="789"/>
      <c r="H458" s="789"/>
      <c r="I458" s="789"/>
      <c r="J458" s="790"/>
      <c r="K458" s="789"/>
      <c r="L458" s="789"/>
      <c r="M458" s="789"/>
      <c r="N458" s="789"/>
      <c r="O458" s="8"/>
      <c r="P458" s="8"/>
      <c r="Q458" s="8"/>
      <c r="R458" s="8"/>
      <c r="S458" s="789"/>
      <c r="T458" s="789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</row>
    <row r="459" spans="1:93" ht="15.75" customHeight="1">
      <c r="A459" s="8"/>
      <c r="B459" s="8"/>
      <c r="C459" s="8"/>
      <c r="D459" s="8"/>
      <c r="E459" s="8"/>
      <c r="F459" s="8"/>
      <c r="G459" s="789"/>
      <c r="H459" s="789"/>
      <c r="I459" s="789"/>
      <c r="J459" s="790"/>
      <c r="K459" s="789"/>
      <c r="L459" s="789"/>
      <c r="M459" s="789"/>
      <c r="N459" s="789"/>
      <c r="O459" s="8"/>
      <c r="P459" s="8"/>
      <c r="Q459" s="8"/>
      <c r="R459" s="8"/>
      <c r="S459" s="789"/>
      <c r="T459" s="789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</row>
    <row r="460" spans="1:93" ht="15.75" customHeight="1">
      <c r="A460" s="8"/>
      <c r="B460" s="8"/>
      <c r="C460" s="8"/>
      <c r="D460" s="8"/>
      <c r="E460" s="8"/>
      <c r="F460" s="8"/>
      <c r="G460" s="789"/>
      <c r="H460" s="789"/>
      <c r="I460" s="789"/>
      <c r="J460" s="790"/>
      <c r="K460" s="789"/>
      <c r="L460" s="789"/>
      <c r="M460" s="789"/>
      <c r="N460" s="789"/>
      <c r="O460" s="8"/>
      <c r="P460" s="8"/>
      <c r="Q460" s="8"/>
      <c r="R460" s="8"/>
      <c r="S460" s="789"/>
      <c r="T460" s="789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</row>
    <row r="461" spans="1:93" ht="15.75" customHeight="1">
      <c r="A461" s="8"/>
      <c r="B461" s="8"/>
      <c r="C461" s="8"/>
      <c r="D461" s="8"/>
      <c r="E461" s="8"/>
      <c r="F461" s="8"/>
      <c r="G461" s="789"/>
      <c r="H461" s="789"/>
      <c r="I461" s="789"/>
      <c r="J461" s="790"/>
      <c r="K461" s="789"/>
      <c r="L461" s="789"/>
      <c r="M461" s="789"/>
      <c r="N461" s="789"/>
      <c r="O461" s="8"/>
      <c r="P461" s="8"/>
      <c r="Q461" s="8"/>
      <c r="R461" s="8"/>
      <c r="S461" s="789"/>
      <c r="T461" s="789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</row>
    <row r="462" spans="1:93" ht="15.75" customHeight="1">
      <c r="A462" s="8"/>
      <c r="B462" s="8"/>
      <c r="C462" s="8"/>
      <c r="D462" s="8"/>
      <c r="E462" s="8"/>
      <c r="F462" s="8"/>
      <c r="G462" s="789"/>
      <c r="H462" s="789"/>
      <c r="I462" s="789"/>
      <c r="J462" s="790"/>
      <c r="K462" s="789"/>
      <c r="L462" s="789"/>
      <c r="M462" s="789"/>
      <c r="N462" s="789"/>
      <c r="O462" s="8"/>
      <c r="P462" s="8"/>
      <c r="Q462" s="8"/>
      <c r="R462" s="8"/>
      <c r="S462" s="789"/>
      <c r="T462" s="789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</row>
    <row r="463" spans="1:93" ht="15.75" customHeight="1">
      <c r="A463" s="8"/>
      <c r="B463" s="8"/>
      <c r="C463" s="8"/>
      <c r="D463" s="8"/>
      <c r="E463" s="8"/>
      <c r="F463" s="8"/>
      <c r="G463" s="789"/>
      <c r="H463" s="789"/>
      <c r="I463" s="789"/>
      <c r="J463" s="790"/>
      <c r="K463" s="789"/>
      <c r="L463" s="789"/>
      <c r="M463" s="789"/>
      <c r="N463" s="789"/>
      <c r="O463" s="8"/>
      <c r="P463" s="8"/>
      <c r="Q463" s="8"/>
      <c r="R463" s="8"/>
      <c r="S463" s="789"/>
      <c r="T463" s="789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</row>
    <row r="464" spans="1:93" ht="15.75" customHeight="1">
      <c r="A464" s="8"/>
      <c r="B464" s="8"/>
      <c r="C464" s="8"/>
      <c r="D464" s="8"/>
      <c r="E464" s="8"/>
      <c r="F464" s="8"/>
      <c r="G464" s="789"/>
      <c r="H464" s="789"/>
      <c r="I464" s="789"/>
      <c r="J464" s="790"/>
      <c r="K464" s="789"/>
      <c r="L464" s="789"/>
      <c r="M464" s="789"/>
      <c r="N464" s="789"/>
      <c r="O464" s="8"/>
      <c r="P464" s="8"/>
      <c r="Q464" s="8"/>
      <c r="R464" s="8"/>
      <c r="S464" s="789"/>
      <c r="T464" s="789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</row>
    <row r="465" spans="1:93" ht="15.75" customHeight="1">
      <c r="A465" s="8"/>
      <c r="B465" s="8"/>
      <c r="C465" s="8"/>
      <c r="D465" s="8"/>
      <c r="E465" s="8"/>
      <c r="F465" s="8"/>
      <c r="G465" s="789"/>
      <c r="H465" s="789"/>
      <c r="I465" s="789"/>
      <c r="J465" s="790"/>
      <c r="K465" s="789"/>
      <c r="L465" s="789"/>
      <c r="M465" s="789"/>
      <c r="N465" s="789"/>
      <c r="O465" s="8"/>
      <c r="P465" s="8"/>
      <c r="Q465" s="8"/>
      <c r="R465" s="8"/>
      <c r="S465" s="789"/>
      <c r="T465" s="789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</row>
    <row r="466" spans="1:93" ht="15.75" customHeight="1">
      <c r="A466" s="8"/>
      <c r="B466" s="8"/>
      <c r="C466" s="8"/>
      <c r="D466" s="8"/>
      <c r="E466" s="8"/>
      <c r="F466" s="8"/>
      <c r="G466" s="789"/>
      <c r="H466" s="789"/>
      <c r="I466" s="789"/>
      <c r="J466" s="790"/>
      <c r="K466" s="789"/>
      <c r="L466" s="789"/>
      <c r="M466" s="789"/>
      <c r="N466" s="789"/>
      <c r="O466" s="8"/>
      <c r="P466" s="8"/>
      <c r="Q466" s="8"/>
      <c r="R466" s="8"/>
      <c r="S466" s="789"/>
      <c r="T466" s="789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</row>
    <row r="467" spans="1:93" ht="15.75" customHeight="1">
      <c r="A467" s="8"/>
      <c r="B467" s="8"/>
      <c r="C467" s="8"/>
      <c r="D467" s="8"/>
      <c r="E467" s="8"/>
      <c r="F467" s="8"/>
      <c r="G467" s="789"/>
      <c r="H467" s="789"/>
      <c r="I467" s="789"/>
      <c r="J467" s="790"/>
      <c r="K467" s="789"/>
      <c r="L467" s="789"/>
      <c r="M467" s="789"/>
      <c r="N467" s="789"/>
      <c r="O467" s="8"/>
      <c r="P467" s="8"/>
      <c r="Q467" s="8"/>
      <c r="R467" s="8"/>
      <c r="S467" s="789"/>
      <c r="T467" s="789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</row>
    <row r="468" spans="1:93" ht="15.75" customHeight="1">
      <c r="A468" s="8"/>
      <c r="B468" s="8"/>
      <c r="C468" s="8"/>
      <c r="D468" s="8"/>
      <c r="E468" s="8"/>
      <c r="F468" s="8"/>
      <c r="G468" s="789"/>
      <c r="H468" s="789"/>
      <c r="I468" s="789"/>
      <c r="J468" s="790"/>
      <c r="K468" s="789"/>
      <c r="L468" s="789"/>
      <c r="M468" s="789"/>
      <c r="N468" s="789"/>
      <c r="O468" s="8"/>
      <c r="P468" s="8"/>
      <c r="Q468" s="8"/>
      <c r="R468" s="8"/>
      <c r="S468" s="789"/>
      <c r="T468" s="789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</row>
    <row r="469" spans="1:93" ht="15.75" customHeight="1">
      <c r="A469" s="8"/>
      <c r="B469" s="8"/>
      <c r="C469" s="8"/>
      <c r="D469" s="8"/>
      <c r="E469" s="8"/>
      <c r="F469" s="8"/>
      <c r="G469" s="789"/>
      <c r="H469" s="789"/>
      <c r="I469" s="789"/>
      <c r="J469" s="790"/>
      <c r="K469" s="789"/>
      <c r="L469" s="789"/>
      <c r="M469" s="789"/>
      <c r="N469" s="789"/>
      <c r="O469" s="8"/>
      <c r="P469" s="8"/>
      <c r="Q469" s="8"/>
      <c r="R469" s="8"/>
      <c r="S469" s="789"/>
      <c r="T469" s="789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</row>
    <row r="470" spans="1:93" ht="15.75" customHeight="1">
      <c r="A470" s="8"/>
      <c r="B470" s="8"/>
      <c r="C470" s="8"/>
      <c r="D470" s="8"/>
      <c r="E470" s="8"/>
      <c r="F470" s="8"/>
      <c r="G470" s="789"/>
      <c r="H470" s="789"/>
      <c r="I470" s="789"/>
      <c r="J470" s="790"/>
      <c r="K470" s="789"/>
      <c r="L470" s="789"/>
      <c r="M470" s="789"/>
      <c r="N470" s="789"/>
      <c r="O470" s="8"/>
      <c r="P470" s="8"/>
      <c r="Q470" s="8"/>
      <c r="R470" s="8"/>
      <c r="S470" s="789"/>
      <c r="T470" s="789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</row>
    <row r="471" spans="1:93" ht="15.75" customHeight="1">
      <c r="A471" s="8"/>
      <c r="B471" s="8"/>
      <c r="C471" s="8"/>
      <c r="D471" s="8"/>
      <c r="E471" s="8"/>
      <c r="F471" s="8"/>
      <c r="G471" s="789"/>
      <c r="H471" s="789"/>
      <c r="I471" s="789"/>
      <c r="J471" s="790"/>
      <c r="K471" s="789"/>
      <c r="L471" s="789"/>
      <c r="M471" s="789"/>
      <c r="N471" s="789"/>
      <c r="O471" s="8"/>
      <c r="P471" s="8"/>
      <c r="Q471" s="8"/>
      <c r="R471" s="8"/>
      <c r="S471" s="789"/>
      <c r="T471" s="789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</row>
    <row r="472" spans="1:93" ht="15.75" customHeight="1">
      <c r="A472" s="8"/>
      <c r="B472" s="8"/>
      <c r="C472" s="8"/>
      <c r="D472" s="8"/>
      <c r="E472" s="8"/>
      <c r="F472" s="8"/>
      <c r="G472" s="789"/>
      <c r="H472" s="789"/>
      <c r="I472" s="789"/>
      <c r="J472" s="790"/>
      <c r="K472" s="789"/>
      <c r="L472" s="789"/>
      <c r="M472" s="789"/>
      <c r="N472" s="789"/>
      <c r="O472" s="8"/>
      <c r="P472" s="8"/>
      <c r="Q472" s="8"/>
      <c r="R472" s="8"/>
      <c r="S472" s="789"/>
      <c r="T472" s="789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</row>
    <row r="473" spans="1:93" ht="15.75" customHeight="1">
      <c r="A473" s="8"/>
      <c r="B473" s="8"/>
      <c r="C473" s="8"/>
      <c r="D473" s="8"/>
      <c r="E473" s="8"/>
      <c r="F473" s="8"/>
      <c r="G473" s="789"/>
      <c r="H473" s="789"/>
      <c r="I473" s="789"/>
      <c r="J473" s="790"/>
      <c r="K473" s="789"/>
      <c r="L473" s="789"/>
      <c r="M473" s="789"/>
      <c r="N473" s="789"/>
      <c r="O473" s="8"/>
      <c r="P473" s="8"/>
      <c r="Q473" s="8"/>
      <c r="R473" s="8"/>
      <c r="S473" s="789"/>
      <c r="T473" s="789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</row>
    <row r="474" spans="1:93" ht="15.75" customHeight="1">
      <c r="A474" s="8"/>
      <c r="B474" s="8"/>
      <c r="C474" s="8"/>
      <c r="D474" s="8"/>
      <c r="E474" s="8"/>
      <c r="F474" s="8"/>
      <c r="G474" s="789"/>
      <c r="H474" s="789"/>
      <c r="I474" s="789"/>
      <c r="J474" s="790"/>
      <c r="K474" s="789"/>
      <c r="L474" s="789"/>
      <c r="M474" s="789"/>
      <c r="N474" s="789"/>
      <c r="O474" s="8"/>
      <c r="P474" s="8"/>
      <c r="Q474" s="8"/>
      <c r="R474" s="8"/>
      <c r="S474" s="789"/>
      <c r="T474" s="789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</row>
    <row r="475" spans="1:93" ht="15.75" customHeight="1">
      <c r="A475" s="8"/>
      <c r="B475" s="8"/>
      <c r="C475" s="8"/>
      <c r="D475" s="8"/>
      <c r="E475" s="8"/>
      <c r="F475" s="8"/>
      <c r="G475" s="789"/>
      <c r="H475" s="789"/>
      <c r="I475" s="789"/>
      <c r="J475" s="790"/>
      <c r="K475" s="789"/>
      <c r="L475" s="789"/>
      <c r="M475" s="789"/>
      <c r="N475" s="789"/>
      <c r="O475" s="8"/>
      <c r="P475" s="8"/>
      <c r="Q475" s="8"/>
      <c r="R475" s="8"/>
      <c r="S475" s="789"/>
      <c r="T475" s="789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</row>
    <row r="476" spans="1:93" ht="15.75" customHeight="1">
      <c r="A476" s="8"/>
      <c r="B476" s="8"/>
      <c r="C476" s="8"/>
      <c r="D476" s="8"/>
      <c r="E476" s="8"/>
      <c r="F476" s="8"/>
      <c r="G476" s="789"/>
      <c r="H476" s="789"/>
      <c r="I476" s="789"/>
      <c r="J476" s="790"/>
      <c r="K476" s="789"/>
      <c r="L476" s="789"/>
      <c r="M476" s="789"/>
      <c r="N476" s="789"/>
      <c r="O476" s="8"/>
      <c r="P476" s="8"/>
      <c r="Q476" s="8"/>
      <c r="R476" s="8"/>
      <c r="S476" s="789"/>
      <c r="T476" s="789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</row>
    <row r="477" spans="1:93" ht="15.75" customHeight="1">
      <c r="A477" s="8"/>
      <c r="B477" s="8"/>
      <c r="C477" s="8"/>
      <c r="D477" s="8"/>
      <c r="E477" s="8"/>
      <c r="F477" s="8"/>
      <c r="G477" s="789"/>
      <c r="H477" s="789"/>
      <c r="I477" s="789"/>
      <c r="J477" s="790"/>
      <c r="K477" s="789"/>
      <c r="L477" s="789"/>
      <c r="M477" s="789"/>
      <c r="N477" s="789"/>
      <c r="O477" s="8"/>
      <c r="P477" s="8"/>
      <c r="Q477" s="8"/>
      <c r="R477" s="8"/>
      <c r="S477" s="789"/>
      <c r="T477" s="789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</row>
    <row r="478" spans="1:93" ht="15.75" customHeight="1">
      <c r="A478" s="8"/>
      <c r="B478" s="8"/>
      <c r="C478" s="8"/>
      <c r="D478" s="8"/>
      <c r="E478" s="8"/>
      <c r="F478" s="8"/>
      <c r="G478" s="789"/>
      <c r="H478" s="789"/>
      <c r="I478" s="789"/>
      <c r="J478" s="790"/>
      <c r="K478" s="789"/>
      <c r="L478" s="789"/>
      <c r="M478" s="789"/>
      <c r="N478" s="789"/>
      <c r="O478" s="8"/>
      <c r="P478" s="8"/>
      <c r="Q478" s="8"/>
      <c r="R478" s="8"/>
      <c r="S478" s="789"/>
      <c r="T478" s="789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</row>
    <row r="479" spans="1:93" ht="15.75" customHeight="1">
      <c r="A479" s="8"/>
      <c r="B479" s="8"/>
      <c r="C479" s="8"/>
      <c r="D479" s="8"/>
      <c r="E479" s="8"/>
      <c r="F479" s="8"/>
      <c r="G479" s="789"/>
      <c r="H479" s="789"/>
      <c r="I479" s="789"/>
      <c r="J479" s="790"/>
      <c r="K479" s="789"/>
      <c r="L479" s="789"/>
      <c r="M479" s="789"/>
      <c r="N479" s="789"/>
      <c r="O479" s="8"/>
      <c r="P479" s="8"/>
      <c r="Q479" s="8"/>
      <c r="R479" s="8"/>
      <c r="S479" s="789"/>
      <c r="T479" s="789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</row>
    <row r="480" spans="1:93" ht="15.75" customHeight="1">
      <c r="A480" s="8"/>
      <c r="B480" s="8"/>
      <c r="C480" s="8"/>
      <c r="D480" s="8"/>
      <c r="E480" s="8"/>
      <c r="F480" s="8"/>
      <c r="G480" s="789"/>
      <c r="H480" s="789"/>
      <c r="I480" s="789"/>
      <c r="J480" s="790"/>
      <c r="K480" s="789"/>
      <c r="L480" s="789"/>
      <c r="M480" s="789"/>
      <c r="N480" s="789"/>
      <c r="O480" s="8"/>
      <c r="P480" s="8"/>
      <c r="Q480" s="8"/>
      <c r="R480" s="8"/>
      <c r="S480" s="789"/>
      <c r="T480" s="789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</row>
    <row r="481" spans="1:93" ht="15.75" customHeight="1">
      <c r="A481" s="8"/>
      <c r="B481" s="8"/>
      <c r="C481" s="8"/>
      <c r="D481" s="8"/>
      <c r="E481" s="8"/>
      <c r="F481" s="8"/>
      <c r="G481" s="789"/>
      <c r="H481" s="789"/>
      <c r="I481" s="789"/>
      <c r="J481" s="790"/>
      <c r="K481" s="789"/>
      <c r="L481" s="789"/>
      <c r="M481" s="789"/>
      <c r="N481" s="789"/>
      <c r="O481" s="8"/>
      <c r="P481" s="8"/>
      <c r="Q481" s="8"/>
      <c r="R481" s="8"/>
      <c r="S481" s="789"/>
      <c r="T481" s="789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</row>
    <row r="482" spans="1:93" ht="15.75" customHeight="1">
      <c r="A482" s="8"/>
      <c r="B482" s="8"/>
      <c r="C482" s="8"/>
      <c r="D482" s="8"/>
      <c r="E482" s="8"/>
      <c r="F482" s="8"/>
      <c r="G482" s="789"/>
      <c r="H482" s="789"/>
      <c r="I482" s="789"/>
      <c r="J482" s="790"/>
      <c r="K482" s="789"/>
      <c r="L482" s="789"/>
      <c r="M482" s="789"/>
      <c r="N482" s="789"/>
      <c r="O482" s="8"/>
      <c r="P482" s="8"/>
      <c r="Q482" s="8"/>
      <c r="R482" s="8"/>
      <c r="S482" s="789"/>
      <c r="T482" s="789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</row>
    <row r="483" spans="1:93" ht="15.75" customHeight="1">
      <c r="A483" s="8"/>
      <c r="B483" s="8"/>
      <c r="C483" s="8"/>
      <c r="D483" s="8"/>
      <c r="E483" s="8"/>
      <c r="F483" s="8"/>
      <c r="G483" s="789"/>
      <c r="H483" s="789"/>
      <c r="I483" s="789"/>
      <c r="J483" s="790"/>
      <c r="K483" s="789"/>
      <c r="L483" s="789"/>
      <c r="M483" s="789"/>
      <c r="N483" s="789"/>
      <c r="O483" s="8"/>
      <c r="P483" s="8"/>
      <c r="Q483" s="8"/>
      <c r="R483" s="8"/>
      <c r="S483" s="789"/>
      <c r="T483" s="789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</row>
    <row r="484" spans="1:93" ht="15.75" customHeight="1">
      <c r="A484" s="8"/>
      <c r="B484" s="8"/>
      <c r="C484" s="8"/>
      <c r="D484" s="8"/>
      <c r="E484" s="8"/>
      <c r="F484" s="8"/>
      <c r="G484" s="789"/>
      <c r="H484" s="789"/>
      <c r="I484" s="789"/>
      <c r="J484" s="790"/>
      <c r="K484" s="789"/>
      <c r="L484" s="789"/>
      <c r="M484" s="789"/>
      <c r="N484" s="789"/>
      <c r="O484" s="8"/>
      <c r="P484" s="8"/>
      <c r="Q484" s="8"/>
      <c r="R484" s="8"/>
      <c r="S484" s="789"/>
      <c r="T484" s="789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</row>
    <row r="485" spans="1:93" ht="15.75" customHeight="1">
      <c r="A485" s="8"/>
      <c r="B485" s="8"/>
      <c r="C485" s="8"/>
      <c r="D485" s="8"/>
      <c r="E485" s="8"/>
      <c r="F485" s="8"/>
      <c r="G485" s="789"/>
      <c r="H485" s="789"/>
      <c r="I485" s="789"/>
      <c r="J485" s="790"/>
      <c r="K485" s="789"/>
      <c r="L485" s="789"/>
      <c r="M485" s="789"/>
      <c r="N485" s="789"/>
      <c r="O485" s="8"/>
      <c r="P485" s="8"/>
      <c r="Q485" s="8"/>
      <c r="R485" s="8"/>
      <c r="S485" s="789"/>
      <c r="T485" s="789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</row>
    <row r="486" spans="1:93" ht="15.75" customHeight="1">
      <c r="A486" s="8"/>
      <c r="B486" s="8"/>
      <c r="C486" s="8"/>
      <c r="D486" s="8"/>
      <c r="E486" s="8"/>
      <c r="F486" s="8"/>
      <c r="G486" s="789"/>
      <c r="H486" s="789"/>
      <c r="I486" s="789"/>
      <c r="J486" s="790"/>
      <c r="K486" s="789"/>
      <c r="L486" s="789"/>
      <c r="M486" s="789"/>
      <c r="N486" s="789"/>
      <c r="O486" s="8"/>
      <c r="P486" s="8"/>
      <c r="Q486" s="8"/>
      <c r="R486" s="8"/>
      <c r="S486" s="789"/>
      <c r="T486" s="789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</row>
    <row r="487" spans="1:93" ht="15.75" customHeight="1">
      <c r="A487" s="8"/>
      <c r="B487" s="8"/>
      <c r="C487" s="8"/>
      <c r="D487" s="8"/>
      <c r="E487" s="8"/>
      <c r="F487" s="8"/>
      <c r="G487" s="789"/>
      <c r="H487" s="789"/>
      <c r="I487" s="789"/>
      <c r="J487" s="790"/>
      <c r="K487" s="789"/>
      <c r="L487" s="789"/>
      <c r="M487" s="789"/>
      <c r="N487" s="789"/>
      <c r="O487" s="8"/>
      <c r="P487" s="8"/>
      <c r="Q487" s="8"/>
      <c r="R487" s="8"/>
      <c r="S487" s="789"/>
      <c r="T487" s="789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</row>
    <row r="488" spans="1:93" ht="15.75" customHeight="1">
      <c r="A488" s="8"/>
      <c r="B488" s="8"/>
      <c r="C488" s="8"/>
      <c r="D488" s="8"/>
      <c r="E488" s="8"/>
      <c r="F488" s="8"/>
      <c r="G488" s="789"/>
      <c r="H488" s="789"/>
      <c r="I488" s="789"/>
      <c r="J488" s="790"/>
      <c r="K488" s="789"/>
      <c r="L488" s="789"/>
      <c r="M488" s="789"/>
      <c r="N488" s="789"/>
      <c r="O488" s="8"/>
      <c r="P488" s="8"/>
      <c r="Q488" s="8"/>
      <c r="R488" s="8"/>
      <c r="S488" s="789"/>
      <c r="T488" s="789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</row>
    <row r="489" spans="1:93" ht="15.75" customHeight="1">
      <c r="A489" s="8"/>
      <c r="B489" s="8"/>
      <c r="C489" s="8"/>
      <c r="D489" s="8"/>
      <c r="E489" s="8"/>
      <c r="F489" s="8"/>
      <c r="G489" s="789"/>
      <c r="H489" s="789"/>
      <c r="I489" s="789"/>
      <c r="J489" s="790"/>
      <c r="K489" s="789"/>
      <c r="L489" s="789"/>
      <c r="M489" s="789"/>
      <c r="N489" s="789"/>
      <c r="O489" s="8"/>
      <c r="P489" s="8"/>
      <c r="Q489" s="8"/>
      <c r="R489" s="8"/>
      <c r="S489" s="789"/>
      <c r="T489" s="789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</row>
    <row r="490" spans="1:93" ht="15.75" customHeight="1">
      <c r="A490" s="8"/>
      <c r="B490" s="8"/>
      <c r="C490" s="8"/>
      <c r="D490" s="8"/>
      <c r="E490" s="8"/>
      <c r="F490" s="8"/>
      <c r="G490" s="789"/>
      <c r="H490" s="789"/>
      <c r="I490" s="789"/>
      <c r="J490" s="790"/>
      <c r="K490" s="789"/>
      <c r="L490" s="789"/>
      <c r="M490" s="789"/>
      <c r="N490" s="789"/>
      <c r="O490" s="8"/>
      <c r="P490" s="8"/>
      <c r="Q490" s="8"/>
      <c r="R490" s="8"/>
      <c r="S490" s="789"/>
      <c r="T490" s="789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</row>
    <row r="491" spans="1:93" ht="15.75" customHeight="1">
      <c r="A491" s="8"/>
      <c r="B491" s="8"/>
      <c r="C491" s="8"/>
      <c r="D491" s="8"/>
      <c r="E491" s="8"/>
      <c r="F491" s="8"/>
      <c r="G491" s="789"/>
      <c r="H491" s="789"/>
      <c r="I491" s="789"/>
      <c r="J491" s="790"/>
      <c r="K491" s="789"/>
      <c r="L491" s="789"/>
      <c r="M491" s="789"/>
      <c r="N491" s="789"/>
      <c r="O491" s="8"/>
      <c r="P491" s="8"/>
      <c r="Q491" s="8"/>
      <c r="R491" s="8"/>
      <c r="S491" s="789"/>
      <c r="T491" s="789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</row>
    <row r="492" spans="1:93" ht="15.75" customHeight="1">
      <c r="A492" s="8"/>
      <c r="B492" s="8"/>
      <c r="C492" s="8"/>
      <c r="D492" s="8"/>
      <c r="E492" s="8"/>
      <c r="F492" s="8"/>
      <c r="G492" s="789"/>
      <c r="H492" s="789"/>
      <c r="I492" s="789"/>
      <c r="J492" s="790"/>
      <c r="K492" s="789"/>
      <c r="L492" s="789"/>
      <c r="M492" s="789"/>
      <c r="N492" s="789"/>
      <c r="O492" s="8"/>
      <c r="P492" s="8"/>
      <c r="Q492" s="8"/>
      <c r="R492" s="8"/>
      <c r="S492" s="789"/>
      <c r="T492" s="789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</row>
    <row r="493" spans="1:93" ht="15.75" customHeight="1">
      <c r="A493" s="8"/>
      <c r="B493" s="8"/>
      <c r="C493" s="8"/>
      <c r="D493" s="8"/>
      <c r="E493" s="8"/>
      <c r="F493" s="8"/>
      <c r="G493" s="789"/>
      <c r="H493" s="789"/>
      <c r="I493" s="789"/>
      <c r="J493" s="790"/>
      <c r="K493" s="789"/>
      <c r="L493" s="789"/>
      <c r="M493" s="789"/>
      <c r="N493" s="789"/>
      <c r="O493" s="8"/>
      <c r="P493" s="8"/>
      <c r="Q493" s="8"/>
      <c r="R493" s="8"/>
      <c r="S493" s="789"/>
      <c r="T493" s="789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</row>
    <row r="494" spans="1:93" ht="15.75" customHeight="1">
      <c r="A494" s="8"/>
      <c r="B494" s="8"/>
      <c r="C494" s="8"/>
      <c r="D494" s="8"/>
      <c r="E494" s="8"/>
      <c r="F494" s="8"/>
      <c r="G494" s="789"/>
      <c r="H494" s="789"/>
      <c r="I494" s="789"/>
      <c r="J494" s="790"/>
      <c r="K494" s="789"/>
      <c r="L494" s="789"/>
      <c r="M494" s="789"/>
      <c r="N494" s="789"/>
      <c r="O494" s="8"/>
      <c r="P494" s="8"/>
      <c r="Q494" s="8"/>
      <c r="R494" s="8"/>
      <c r="S494" s="789"/>
      <c r="T494" s="789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</row>
    <row r="495" spans="1:93" ht="15.75" customHeight="1">
      <c r="A495" s="8"/>
      <c r="B495" s="8"/>
      <c r="C495" s="8"/>
      <c r="D495" s="8"/>
      <c r="E495" s="8"/>
      <c r="F495" s="8"/>
      <c r="G495" s="789"/>
      <c r="H495" s="789"/>
      <c r="I495" s="789"/>
      <c r="J495" s="790"/>
      <c r="K495" s="789"/>
      <c r="L495" s="789"/>
      <c r="M495" s="789"/>
      <c r="N495" s="789"/>
      <c r="O495" s="8"/>
      <c r="P495" s="8"/>
      <c r="Q495" s="8"/>
      <c r="R495" s="8"/>
      <c r="S495" s="789"/>
      <c r="T495" s="789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</row>
    <row r="496" spans="1:93" ht="15.75" customHeight="1">
      <c r="A496" s="8"/>
      <c r="B496" s="8"/>
      <c r="C496" s="8"/>
      <c r="D496" s="8"/>
      <c r="E496" s="8"/>
      <c r="F496" s="8"/>
      <c r="G496" s="789"/>
      <c r="H496" s="789"/>
      <c r="I496" s="789"/>
      <c r="J496" s="790"/>
      <c r="K496" s="789"/>
      <c r="L496" s="789"/>
      <c r="M496" s="789"/>
      <c r="N496" s="789"/>
      <c r="O496" s="8"/>
      <c r="P496" s="8"/>
      <c r="Q496" s="8"/>
      <c r="R496" s="8"/>
      <c r="S496" s="789"/>
      <c r="T496" s="789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</row>
    <row r="497" spans="1:93" ht="15.75" customHeight="1">
      <c r="A497" s="8"/>
      <c r="B497" s="8"/>
      <c r="C497" s="8"/>
      <c r="D497" s="8"/>
      <c r="E497" s="8"/>
      <c r="F497" s="8"/>
      <c r="G497" s="789"/>
      <c r="H497" s="789"/>
      <c r="I497" s="789"/>
      <c r="J497" s="790"/>
      <c r="K497" s="789"/>
      <c r="L497" s="789"/>
      <c r="M497" s="789"/>
      <c r="N497" s="789"/>
      <c r="O497" s="8"/>
      <c r="P497" s="8"/>
      <c r="Q497" s="8"/>
      <c r="R497" s="8"/>
      <c r="S497" s="789"/>
      <c r="T497" s="789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</row>
    <row r="498" spans="1:93" ht="15.75" customHeight="1">
      <c r="A498" s="8"/>
      <c r="B498" s="8"/>
      <c r="C498" s="8"/>
      <c r="D498" s="8"/>
      <c r="E498" s="8"/>
      <c r="F498" s="8"/>
      <c r="G498" s="789"/>
      <c r="H498" s="789"/>
      <c r="I498" s="789"/>
      <c r="J498" s="790"/>
      <c r="K498" s="789"/>
      <c r="L498" s="789"/>
      <c r="M498" s="789"/>
      <c r="N498" s="789"/>
      <c r="O498" s="8"/>
      <c r="P498" s="8"/>
      <c r="Q498" s="8"/>
      <c r="R498" s="8"/>
      <c r="S498" s="789"/>
      <c r="T498" s="789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</row>
    <row r="499" spans="1:93" ht="15.75" customHeight="1">
      <c r="A499" s="8"/>
      <c r="B499" s="8"/>
      <c r="C499" s="8"/>
      <c r="D499" s="8"/>
      <c r="E499" s="8"/>
      <c r="F499" s="8"/>
      <c r="G499" s="789"/>
      <c r="H499" s="789"/>
      <c r="I499" s="789"/>
      <c r="J499" s="790"/>
      <c r="K499" s="789"/>
      <c r="L499" s="789"/>
      <c r="M499" s="789"/>
      <c r="N499" s="789"/>
      <c r="O499" s="8"/>
      <c r="P499" s="8"/>
      <c r="Q499" s="8"/>
      <c r="R499" s="8"/>
      <c r="S499" s="789"/>
      <c r="T499" s="789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</row>
    <row r="500" spans="1:93" ht="15.75" customHeight="1">
      <c r="A500" s="8"/>
      <c r="B500" s="8"/>
      <c r="C500" s="8"/>
      <c r="D500" s="8"/>
      <c r="E500" s="8"/>
      <c r="F500" s="8"/>
      <c r="G500" s="789"/>
      <c r="H500" s="789"/>
      <c r="I500" s="789"/>
      <c r="J500" s="790"/>
      <c r="K500" s="789"/>
      <c r="L500" s="789"/>
      <c r="M500" s="789"/>
      <c r="N500" s="789"/>
      <c r="O500" s="8"/>
      <c r="P500" s="8"/>
      <c r="Q500" s="8"/>
      <c r="R500" s="8"/>
      <c r="S500" s="789"/>
      <c r="T500" s="789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</row>
    <row r="501" spans="1:93" ht="15.75" customHeight="1">
      <c r="A501" s="8"/>
      <c r="B501" s="8"/>
      <c r="C501" s="8"/>
      <c r="D501" s="8"/>
      <c r="E501" s="8"/>
      <c r="F501" s="8"/>
      <c r="G501" s="789"/>
      <c r="H501" s="789"/>
      <c r="I501" s="789"/>
      <c r="J501" s="790"/>
      <c r="K501" s="789"/>
      <c r="L501" s="789"/>
      <c r="M501" s="789"/>
      <c r="N501" s="789"/>
      <c r="O501" s="8"/>
      <c r="P501" s="8"/>
      <c r="Q501" s="8"/>
      <c r="R501" s="8"/>
      <c r="S501" s="789"/>
      <c r="T501" s="789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</row>
    <row r="502" spans="1:93" ht="15.75" customHeight="1">
      <c r="A502" s="8"/>
      <c r="B502" s="8"/>
      <c r="C502" s="8"/>
      <c r="D502" s="8"/>
      <c r="E502" s="8"/>
      <c r="F502" s="8"/>
      <c r="G502" s="789"/>
      <c r="H502" s="789"/>
      <c r="I502" s="789"/>
      <c r="J502" s="790"/>
      <c r="K502" s="789"/>
      <c r="L502" s="789"/>
      <c r="M502" s="789"/>
      <c r="N502" s="789"/>
      <c r="O502" s="8"/>
      <c r="P502" s="8"/>
      <c r="Q502" s="8"/>
      <c r="R502" s="8"/>
      <c r="S502" s="789"/>
      <c r="T502" s="789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</row>
    <row r="503" spans="1:93" ht="15.75" customHeight="1">
      <c r="A503" s="8"/>
      <c r="B503" s="8"/>
      <c r="C503" s="8"/>
      <c r="D503" s="8"/>
      <c r="E503" s="8"/>
      <c r="F503" s="8"/>
      <c r="G503" s="789"/>
      <c r="H503" s="789"/>
      <c r="I503" s="789"/>
      <c r="J503" s="790"/>
      <c r="K503" s="789"/>
      <c r="L503" s="789"/>
      <c r="M503" s="789"/>
      <c r="N503" s="789"/>
      <c r="O503" s="8"/>
      <c r="P503" s="8"/>
      <c r="Q503" s="8"/>
      <c r="R503" s="8"/>
      <c r="S503" s="789"/>
      <c r="T503" s="789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</row>
    <row r="504" spans="1:93" ht="15.75" customHeight="1">
      <c r="A504" s="8"/>
      <c r="B504" s="8"/>
      <c r="C504" s="8"/>
      <c r="D504" s="8"/>
      <c r="E504" s="8"/>
      <c r="F504" s="8"/>
      <c r="G504" s="789"/>
      <c r="H504" s="789"/>
      <c r="I504" s="789"/>
      <c r="J504" s="790"/>
      <c r="K504" s="789"/>
      <c r="L504" s="789"/>
      <c r="M504" s="789"/>
      <c r="N504" s="789"/>
      <c r="O504" s="8"/>
      <c r="P504" s="8"/>
      <c r="Q504" s="8"/>
      <c r="R504" s="8"/>
      <c r="S504" s="789"/>
      <c r="T504" s="789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</row>
    <row r="505" spans="1:93" ht="15.75" customHeight="1">
      <c r="A505" s="8"/>
      <c r="B505" s="8"/>
      <c r="C505" s="8"/>
      <c r="D505" s="8"/>
      <c r="E505" s="8"/>
      <c r="F505" s="8"/>
      <c r="G505" s="789"/>
      <c r="H505" s="789"/>
      <c r="I505" s="789"/>
      <c r="J505" s="790"/>
      <c r="K505" s="789"/>
      <c r="L505" s="789"/>
      <c r="M505" s="789"/>
      <c r="N505" s="789"/>
      <c r="O505" s="8"/>
      <c r="P505" s="8"/>
      <c r="Q505" s="8"/>
      <c r="R505" s="8"/>
      <c r="S505" s="789"/>
      <c r="T505" s="789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</row>
    <row r="506" spans="1:93" ht="15.75" customHeight="1">
      <c r="A506" s="8"/>
      <c r="B506" s="8"/>
      <c r="C506" s="8"/>
      <c r="D506" s="8"/>
      <c r="E506" s="8"/>
      <c r="F506" s="8"/>
      <c r="G506" s="789"/>
      <c r="H506" s="789"/>
      <c r="I506" s="789"/>
      <c r="J506" s="790"/>
      <c r="K506" s="789"/>
      <c r="L506" s="789"/>
      <c r="M506" s="789"/>
      <c r="N506" s="789"/>
      <c r="O506" s="8"/>
      <c r="P506" s="8"/>
      <c r="Q506" s="8"/>
      <c r="R506" s="8"/>
      <c r="S506" s="789"/>
      <c r="T506" s="789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</row>
    <row r="507" spans="1:93" ht="15.75" customHeight="1">
      <c r="A507" s="8"/>
      <c r="B507" s="8"/>
      <c r="C507" s="8"/>
      <c r="D507" s="8"/>
      <c r="E507" s="8"/>
      <c r="F507" s="8"/>
      <c r="G507" s="789"/>
      <c r="H507" s="789"/>
      <c r="I507" s="789"/>
      <c r="J507" s="790"/>
      <c r="K507" s="789"/>
      <c r="L507" s="789"/>
      <c r="M507" s="789"/>
      <c r="N507" s="789"/>
      <c r="O507" s="8"/>
      <c r="P507" s="8"/>
      <c r="Q507" s="8"/>
      <c r="R507" s="8"/>
      <c r="S507" s="789"/>
      <c r="T507" s="789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</row>
    <row r="508" spans="1:93" ht="15.75" customHeight="1">
      <c r="A508" s="8"/>
      <c r="B508" s="8"/>
      <c r="C508" s="8"/>
      <c r="D508" s="8"/>
      <c r="E508" s="8"/>
      <c r="F508" s="8"/>
      <c r="G508" s="789"/>
      <c r="H508" s="789"/>
      <c r="I508" s="789"/>
      <c r="J508" s="790"/>
      <c r="K508" s="789"/>
      <c r="L508" s="789"/>
      <c r="M508" s="789"/>
      <c r="N508" s="789"/>
      <c r="O508" s="8"/>
      <c r="P508" s="8"/>
      <c r="Q508" s="8"/>
      <c r="R508" s="8"/>
      <c r="S508" s="789"/>
      <c r="T508" s="789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</row>
    <row r="509" spans="1:93" ht="15.75" customHeight="1">
      <c r="A509" s="8"/>
      <c r="B509" s="8"/>
      <c r="C509" s="8"/>
      <c r="D509" s="8"/>
      <c r="E509" s="8"/>
      <c r="F509" s="8"/>
      <c r="G509" s="789"/>
      <c r="H509" s="789"/>
      <c r="I509" s="789"/>
      <c r="J509" s="790"/>
      <c r="K509" s="789"/>
      <c r="L509" s="789"/>
      <c r="M509" s="789"/>
      <c r="N509" s="789"/>
      <c r="O509" s="8"/>
      <c r="P509" s="8"/>
      <c r="Q509" s="8"/>
      <c r="R509" s="8"/>
      <c r="S509" s="789"/>
      <c r="T509" s="789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</row>
    <row r="510" spans="1:93" ht="15.75" customHeight="1">
      <c r="A510" s="8"/>
      <c r="B510" s="8"/>
      <c r="C510" s="8"/>
      <c r="D510" s="8"/>
      <c r="E510" s="8"/>
      <c r="F510" s="8"/>
      <c r="G510" s="789"/>
      <c r="H510" s="789"/>
      <c r="I510" s="789"/>
      <c r="J510" s="790"/>
      <c r="K510" s="789"/>
      <c r="L510" s="789"/>
      <c r="M510" s="789"/>
      <c r="N510" s="789"/>
      <c r="O510" s="8"/>
      <c r="P510" s="8"/>
      <c r="Q510" s="8"/>
      <c r="R510" s="8"/>
      <c r="S510" s="789"/>
      <c r="T510" s="789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</row>
    <row r="511" spans="1:93" ht="15.75" customHeight="1">
      <c r="A511" s="8"/>
      <c r="B511" s="8"/>
      <c r="C511" s="8"/>
      <c r="D511" s="8"/>
      <c r="E511" s="8"/>
      <c r="F511" s="8"/>
      <c r="G511" s="789"/>
      <c r="H511" s="789"/>
      <c r="I511" s="789"/>
      <c r="J511" s="790"/>
      <c r="K511" s="789"/>
      <c r="L511" s="789"/>
      <c r="M511" s="789"/>
      <c r="N511" s="789"/>
      <c r="O511" s="8"/>
      <c r="P511" s="8"/>
      <c r="Q511" s="8"/>
      <c r="R511" s="8"/>
      <c r="S511" s="789"/>
      <c r="T511" s="789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</row>
    <row r="512" spans="1:93" ht="15.75" customHeight="1">
      <c r="A512" s="8"/>
      <c r="B512" s="8"/>
      <c r="C512" s="8"/>
      <c r="D512" s="8"/>
      <c r="E512" s="8"/>
      <c r="F512" s="8"/>
      <c r="G512" s="789"/>
      <c r="H512" s="789"/>
      <c r="I512" s="789"/>
      <c r="J512" s="790"/>
      <c r="K512" s="789"/>
      <c r="L512" s="789"/>
      <c r="M512" s="789"/>
      <c r="N512" s="789"/>
      <c r="O512" s="8"/>
      <c r="P512" s="8"/>
      <c r="Q512" s="8"/>
      <c r="R512" s="8"/>
      <c r="S512" s="789"/>
      <c r="T512" s="789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</row>
    <row r="513" spans="1:93" ht="15.75" customHeight="1">
      <c r="A513" s="8"/>
      <c r="B513" s="8"/>
      <c r="C513" s="8"/>
      <c r="D513" s="8"/>
      <c r="E513" s="8"/>
      <c r="F513" s="8"/>
      <c r="G513" s="789"/>
      <c r="H513" s="789"/>
      <c r="I513" s="789"/>
      <c r="J513" s="790"/>
      <c r="K513" s="789"/>
      <c r="L513" s="789"/>
      <c r="M513" s="789"/>
      <c r="N513" s="789"/>
      <c r="O513" s="8"/>
      <c r="P513" s="8"/>
      <c r="Q513" s="8"/>
      <c r="R513" s="8"/>
      <c r="S513" s="789"/>
      <c r="T513" s="789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</row>
    <row r="514" spans="1:93" ht="15.75" customHeight="1">
      <c r="A514" s="8"/>
      <c r="B514" s="8"/>
      <c r="C514" s="8"/>
      <c r="D514" s="8"/>
      <c r="E514" s="8"/>
      <c r="F514" s="8"/>
      <c r="G514" s="789"/>
      <c r="H514" s="789"/>
      <c r="I514" s="789"/>
      <c r="J514" s="790"/>
      <c r="K514" s="789"/>
      <c r="L514" s="789"/>
      <c r="M514" s="789"/>
      <c r="N514" s="789"/>
      <c r="O514" s="8"/>
      <c r="P514" s="8"/>
      <c r="Q514" s="8"/>
      <c r="R514" s="8"/>
      <c r="S514" s="789"/>
      <c r="T514" s="789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</row>
    <row r="515" spans="1:93" ht="15.75" customHeight="1">
      <c r="A515" s="8"/>
      <c r="B515" s="8"/>
      <c r="C515" s="8"/>
      <c r="D515" s="8"/>
      <c r="E515" s="8"/>
      <c r="F515" s="8"/>
      <c r="G515" s="789"/>
      <c r="H515" s="789"/>
      <c r="I515" s="789"/>
      <c r="J515" s="790"/>
      <c r="K515" s="789"/>
      <c r="L515" s="789"/>
      <c r="M515" s="789"/>
      <c r="N515" s="789"/>
      <c r="O515" s="8"/>
      <c r="P515" s="8"/>
      <c r="Q515" s="8"/>
      <c r="R515" s="8"/>
      <c r="S515" s="789"/>
      <c r="T515" s="789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</row>
    <row r="516" spans="1:93" ht="15.75" customHeight="1">
      <c r="A516" s="8"/>
      <c r="B516" s="8"/>
      <c r="C516" s="8"/>
      <c r="D516" s="8"/>
      <c r="E516" s="8"/>
      <c r="F516" s="8"/>
      <c r="G516" s="789"/>
      <c r="H516" s="789"/>
      <c r="I516" s="789"/>
      <c r="J516" s="790"/>
      <c r="K516" s="789"/>
      <c r="L516" s="789"/>
      <c r="M516" s="789"/>
      <c r="N516" s="789"/>
      <c r="O516" s="8"/>
      <c r="P516" s="8"/>
      <c r="Q516" s="8"/>
      <c r="R516" s="8"/>
      <c r="S516" s="789"/>
      <c r="T516" s="789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</row>
    <row r="517" spans="1:93" ht="15.75" customHeight="1">
      <c r="A517" s="8"/>
      <c r="B517" s="8"/>
      <c r="C517" s="8"/>
      <c r="D517" s="8"/>
      <c r="E517" s="8"/>
      <c r="F517" s="8"/>
      <c r="G517" s="789"/>
      <c r="H517" s="789"/>
      <c r="I517" s="789"/>
      <c r="J517" s="790"/>
      <c r="K517" s="789"/>
      <c r="L517" s="789"/>
      <c r="M517" s="789"/>
      <c r="N517" s="789"/>
      <c r="O517" s="8"/>
      <c r="P517" s="8"/>
      <c r="Q517" s="8"/>
      <c r="R517" s="8"/>
      <c r="S517" s="789"/>
      <c r="T517" s="789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</row>
    <row r="518" spans="1:93" ht="15.75" customHeight="1">
      <c r="A518" s="8"/>
      <c r="B518" s="8"/>
      <c r="C518" s="8"/>
      <c r="D518" s="8"/>
      <c r="E518" s="8"/>
      <c r="F518" s="8"/>
      <c r="G518" s="789"/>
      <c r="H518" s="789"/>
      <c r="I518" s="789"/>
      <c r="J518" s="790"/>
      <c r="K518" s="789"/>
      <c r="L518" s="789"/>
      <c r="M518" s="789"/>
      <c r="N518" s="789"/>
      <c r="O518" s="8"/>
      <c r="P518" s="8"/>
      <c r="Q518" s="8"/>
      <c r="R518" s="8"/>
      <c r="S518" s="789"/>
      <c r="T518" s="789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</row>
    <row r="519" spans="1:93" ht="15.75" customHeight="1">
      <c r="A519" s="8"/>
      <c r="B519" s="8"/>
      <c r="C519" s="8"/>
      <c r="D519" s="8"/>
      <c r="E519" s="8"/>
      <c r="F519" s="8"/>
      <c r="G519" s="789"/>
      <c r="H519" s="789"/>
      <c r="I519" s="789"/>
      <c r="J519" s="790"/>
      <c r="K519" s="789"/>
      <c r="L519" s="789"/>
      <c r="M519" s="789"/>
      <c r="N519" s="789"/>
      <c r="O519" s="8"/>
      <c r="P519" s="8"/>
      <c r="Q519" s="8"/>
      <c r="R519" s="8"/>
      <c r="S519" s="789"/>
      <c r="T519" s="789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</row>
    <row r="520" spans="1:93" ht="15.75" customHeight="1">
      <c r="A520" s="8"/>
      <c r="B520" s="8"/>
      <c r="C520" s="8"/>
      <c r="D520" s="8"/>
      <c r="E520" s="8"/>
      <c r="F520" s="8"/>
      <c r="G520" s="789"/>
      <c r="H520" s="789"/>
      <c r="I520" s="789"/>
      <c r="J520" s="790"/>
      <c r="K520" s="789"/>
      <c r="L520" s="789"/>
      <c r="M520" s="789"/>
      <c r="N520" s="789"/>
      <c r="O520" s="8"/>
      <c r="P520" s="8"/>
      <c r="Q520" s="8"/>
      <c r="R520" s="8"/>
      <c r="S520" s="789"/>
      <c r="T520" s="789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</row>
    <row r="521" spans="1:93" ht="15.75" customHeight="1">
      <c r="A521" s="8"/>
      <c r="B521" s="8"/>
      <c r="C521" s="8"/>
      <c r="D521" s="8"/>
      <c r="E521" s="8"/>
      <c r="F521" s="8"/>
      <c r="G521" s="789"/>
      <c r="H521" s="789"/>
      <c r="I521" s="789"/>
      <c r="J521" s="790"/>
      <c r="K521" s="789"/>
      <c r="L521" s="789"/>
      <c r="M521" s="789"/>
      <c r="N521" s="789"/>
      <c r="O521" s="8"/>
      <c r="P521" s="8"/>
      <c r="Q521" s="8"/>
      <c r="R521" s="8"/>
      <c r="S521" s="789"/>
      <c r="T521" s="789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</row>
    <row r="522" spans="1:93" ht="15.75" customHeight="1">
      <c r="A522" s="8"/>
      <c r="B522" s="8"/>
      <c r="C522" s="8"/>
      <c r="D522" s="8"/>
      <c r="E522" s="8"/>
      <c r="F522" s="8"/>
      <c r="G522" s="789"/>
      <c r="H522" s="789"/>
      <c r="I522" s="789"/>
      <c r="J522" s="790"/>
      <c r="K522" s="789"/>
      <c r="L522" s="789"/>
      <c r="M522" s="789"/>
      <c r="N522" s="789"/>
      <c r="O522" s="8"/>
      <c r="P522" s="8"/>
      <c r="Q522" s="8"/>
      <c r="R522" s="8"/>
      <c r="S522" s="789"/>
      <c r="T522" s="789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</row>
    <row r="523" spans="1:93" ht="15.75" customHeight="1">
      <c r="A523" s="8"/>
      <c r="B523" s="8"/>
      <c r="C523" s="8"/>
      <c r="D523" s="8"/>
      <c r="E523" s="8"/>
      <c r="F523" s="8"/>
      <c r="G523" s="789"/>
      <c r="H523" s="789"/>
      <c r="I523" s="789"/>
      <c r="J523" s="790"/>
      <c r="K523" s="789"/>
      <c r="L523" s="789"/>
      <c r="M523" s="789"/>
      <c r="N523" s="789"/>
      <c r="O523" s="8"/>
      <c r="P523" s="8"/>
      <c r="Q523" s="8"/>
      <c r="R523" s="8"/>
      <c r="S523" s="789"/>
      <c r="T523" s="789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</row>
    <row r="524" spans="1:93" ht="15.75" customHeight="1">
      <c r="A524" s="8"/>
      <c r="B524" s="8"/>
      <c r="C524" s="8"/>
      <c r="D524" s="8"/>
      <c r="E524" s="8"/>
      <c r="F524" s="8"/>
      <c r="G524" s="789"/>
      <c r="H524" s="789"/>
      <c r="I524" s="789"/>
      <c r="J524" s="790"/>
      <c r="K524" s="789"/>
      <c r="L524" s="789"/>
      <c r="M524" s="789"/>
      <c r="N524" s="789"/>
      <c r="O524" s="8"/>
      <c r="P524" s="8"/>
      <c r="Q524" s="8"/>
      <c r="R524" s="8"/>
      <c r="S524" s="789"/>
      <c r="T524" s="789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</row>
    <row r="525" spans="1:93" ht="15.75" customHeight="1">
      <c r="A525" s="8"/>
      <c r="B525" s="8"/>
      <c r="C525" s="8"/>
      <c r="D525" s="8"/>
      <c r="E525" s="8"/>
      <c r="F525" s="8"/>
      <c r="G525" s="789"/>
      <c r="H525" s="789"/>
      <c r="I525" s="789"/>
      <c r="J525" s="790"/>
      <c r="K525" s="789"/>
      <c r="L525" s="789"/>
      <c r="M525" s="789"/>
      <c r="N525" s="789"/>
      <c r="O525" s="8"/>
      <c r="P525" s="8"/>
      <c r="Q525" s="8"/>
      <c r="R525" s="8"/>
      <c r="S525" s="789"/>
      <c r="T525" s="789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</row>
    <row r="526" spans="1:93" ht="15.75" customHeight="1">
      <c r="A526" s="8"/>
      <c r="B526" s="8"/>
      <c r="C526" s="8"/>
      <c r="D526" s="8"/>
      <c r="E526" s="8"/>
      <c r="F526" s="8"/>
      <c r="G526" s="789"/>
      <c r="H526" s="789"/>
      <c r="I526" s="789"/>
      <c r="J526" s="790"/>
      <c r="K526" s="789"/>
      <c r="L526" s="789"/>
      <c r="M526" s="789"/>
      <c r="N526" s="789"/>
      <c r="O526" s="8"/>
      <c r="P526" s="8"/>
      <c r="Q526" s="8"/>
      <c r="R526" s="8"/>
      <c r="S526" s="789"/>
      <c r="T526" s="789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</row>
    <row r="527" spans="1:93" ht="15.75" customHeight="1">
      <c r="A527" s="8"/>
      <c r="B527" s="8"/>
      <c r="C527" s="8"/>
      <c r="D527" s="8"/>
      <c r="E527" s="8"/>
      <c r="F527" s="8"/>
      <c r="G527" s="789"/>
      <c r="H527" s="789"/>
      <c r="I527" s="789"/>
      <c r="J527" s="790"/>
      <c r="K527" s="789"/>
      <c r="L527" s="789"/>
      <c r="M527" s="789"/>
      <c r="N527" s="789"/>
      <c r="O527" s="8"/>
      <c r="P527" s="8"/>
      <c r="Q527" s="8"/>
      <c r="R527" s="8"/>
      <c r="S527" s="789"/>
      <c r="T527" s="789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</row>
    <row r="528" spans="1:93" ht="15.75" customHeight="1">
      <c r="A528" s="8"/>
      <c r="B528" s="8"/>
      <c r="C528" s="8"/>
      <c r="D528" s="8"/>
      <c r="E528" s="8"/>
      <c r="F528" s="8"/>
      <c r="G528" s="789"/>
      <c r="H528" s="789"/>
      <c r="I528" s="789"/>
      <c r="J528" s="790"/>
      <c r="K528" s="789"/>
      <c r="L528" s="789"/>
      <c r="M528" s="789"/>
      <c r="N528" s="789"/>
      <c r="O528" s="8"/>
      <c r="P528" s="8"/>
      <c r="Q528" s="8"/>
      <c r="R528" s="8"/>
      <c r="S528" s="789"/>
      <c r="T528" s="789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</row>
    <row r="529" spans="1:93" ht="15.75" customHeight="1">
      <c r="A529" s="8"/>
      <c r="B529" s="8"/>
      <c r="C529" s="8"/>
      <c r="D529" s="8"/>
      <c r="E529" s="8"/>
      <c r="F529" s="8"/>
      <c r="G529" s="789"/>
      <c r="H529" s="789"/>
      <c r="I529" s="789"/>
      <c r="J529" s="790"/>
      <c r="K529" s="789"/>
      <c r="L529" s="789"/>
      <c r="M529" s="789"/>
      <c r="N529" s="789"/>
      <c r="O529" s="8"/>
      <c r="P529" s="8"/>
      <c r="Q529" s="8"/>
      <c r="R529" s="8"/>
      <c r="S529" s="789"/>
      <c r="T529" s="789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</row>
    <row r="530" spans="1:93" ht="15.75" customHeight="1">
      <c r="A530" s="8"/>
      <c r="B530" s="8"/>
      <c r="C530" s="8"/>
      <c r="D530" s="8"/>
      <c r="E530" s="8"/>
      <c r="F530" s="8"/>
      <c r="G530" s="789"/>
      <c r="H530" s="789"/>
      <c r="I530" s="789"/>
      <c r="J530" s="790"/>
      <c r="K530" s="789"/>
      <c r="L530" s="789"/>
      <c r="M530" s="789"/>
      <c r="N530" s="789"/>
      <c r="O530" s="8"/>
      <c r="P530" s="8"/>
      <c r="Q530" s="8"/>
      <c r="R530" s="8"/>
      <c r="S530" s="789"/>
      <c r="T530" s="789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</row>
    <row r="531" spans="1:93" ht="15.75" customHeight="1">
      <c r="A531" s="8"/>
      <c r="B531" s="8"/>
      <c r="C531" s="8"/>
      <c r="D531" s="8"/>
      <c r="E531" s="8"/>
      <c r="F531" s="8"/>
      <c r="G531" s="789"/>
      <c r="H531" s="789"/>
      <c r="I531" s="789"/>
      <c r="J531" s="790"/>
      <c r="K531" s="789"/>
      <c r="L531" s="789"/>
      <c r="M531" s="789"/>
      <c r="N531" s="789"/>
      <c r="O531" s="8"/>
      <c r="P531" s="8"/>
      <c r="Q531" s="8"/>
      <c r="R531" s="8"/>
      <c r="S531" s="789"/>
      <c r="T531" s="789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</row>
    <row r="532" spans="1:93" ht="15.75" customHeight="1">
      <c r="A532" s="8"/>
      <c r="B532" s="8"/>
      <c r="C532" s="8"/>
      <c r="D532" s="8"/>
      <c r="E532" s="8"/>
      <c r="F532" s="8"/>
      <c r="G532" s="789"/>
      <c r="H532" s="789"/>
      <c r="I532" s="789"/>
      <c r="J532" s="790"/>
      <c r="K532" s="789"/>
      <c r="L532" s="789"/>
      <c r="M532" s="789"/>
      <c r="N532" s="789"/>
      <c r="O532" s="8"/>
      <c r="P532" s="8"/>
      <c r="Q532" s="8"/>
      <c r="R532" s="8"/>
      <c r="S532" s="789"/>
      <c r="T532" s="789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</row>
    <row r="533" spans="1:93" ht="15.75" customHeight="1">
      <c r="A533" s="8"/>
      <c r="B533" s="8"/>
      <c r="C533" s="8"/>
      <c r="D533" s="8"/>
      <c r="E533" s="8"/>
      <c r="F533" s="8"/>
      <c r="G533" s="789"/>
      <c r="H533" s="789"/>
      <c r="I533" s="789"/>
      <c r="J533" s="790"/>
      <c r="K533" s="789"/>
      <c r="L533" s="789"/>
      <c r="M533" s="789"/>
      <c r="N533" s="789"/>
      <c r="O533" s="8"/>
      <c r="P533" s="8"/>
      <c r="Q533" s="8"/>
      <c r="R533" s="8"/>
      <c r="S533" s="789"/>
      <c r="T533" s="789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</row>
    <row r="534" spans="1:93" ht="15.75" customHeight="1">
      <c r="A534" s="8"/>
      <c r="B534" s="8"/>
      <c r="C534" s="8"/>
      <c r="D534" s="8"/>
      <c r="E534" s="8"/>
      <c r="F534" s="8"/>
      <c r="G534" s="789"/>
      <c r="H534" s="789"/>
      <c r="I534" s="789"/>
      <c r="J534" s="790"/>
      <c r="K534" s="789"/>
      <c r="L534" s="789"/>
      <c r="M534" s="789"/>
      <c r="N534" s="789"/>
      <c r="O534" s="8"/>
      <c r="P534" s="8"/>
      <c r="Q534" s="8"/>
      <c r="R534" s="8"/>
      <c r="S534" s="789"/>
      <c r="T534" s="789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</row>
    <row r="535" spans="1:93" ht="15.75" customHeight="1">
      <c r="A535" s="8"/>
      <c r="B535" s="8"/>
      <c r="C535" s="8"/>
      <c r="D535" s="8"/>
      <c r="E535" s="8"/>
      <c r="F535" s="8"/>
      <c r="G535" s="789"/>
      <c r="H535" s="789"/>
      <c r="I535" s="789"/>
      <c r="J535" s="790"/>
      <c r="K535" s="789"/>
      <c r="L535" s="789"/>
      <c r="M535" s="789"/>
      <c r="N535" s="789"/>
      <c r="O535" s="8"/>
      <c r="P535" s="8"/>
      <c r="Q535" s="8"/>
      <c r="R535" s="8"/>
      <c r="S535" s="789"/>
      <c r="T535" s="789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</row>
    <row r="536" spans="1:93" ht="15.75" customHeight="1">
      <c r="A536" s="8"/>
      <c r="B536" s="8"/>
      <c r="C536" s="8"/>
      <c r="D536" s="8"/>
      <c r="E536" s="8"/>
      <c r="F536" s="8"/>
      <c r="G536" s="789"/>
      <c r="H536" s="789"/>
      <c r="I536" s="789"/>
      <c r="J536" s="790"/>
      <c r="K536" s="789"/>
      <c r="L536" s="789"/>
      <c r="M536" s="789"/>
      <c r="N536" s="789"/>
      <c r="O536" s="8"/>
      <c r="P536" s="8"/>
      <c r="Q536" s="8"/>
      <c r="R536" s="8"/>
      <c r="S536" s="789"/>
      <c r="T536" s="789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</row>
    <row r="537" spans="1:93" ht="15.75" customHeight="1">
      <c r="A537" s="8"/>
      <c r="B537" s="8"/>
      <c r="C537" s="8"/>
      <c r="D537" s="8"/>
      <c r="E537" s="8"/>
      <c r="F537" s="8"/>
      <c r="G537" s="789"/>
      <c r="H537" s="789"/>
      <c r="I537" s="789"/>
      <c r="J537" s="790"/>
      <c r="K537" s="789"/>
      <c r="L537" s="789"/>
      <c r="M537" s="789"/>
      <c r="N537" s="789"/>
      <c r="O537" s="8"/>
      <c r="P537" s="8"/>
      <c r="Q537" s="8"/>
      <c r="R537" s="8"/>
      <c r="S537" s="789"/>
      <c r="T537" s="789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</row>
    <row r="538" spans="1:93" ht="15.75" customHeight="1">
      <c r="A538" s="8"/>
      <c r="B538" s="8"/>
      <c r="C538" s="8"/>
      <c r="D538" s="8"/>
      <c r="E538" s="8"/>
      <c r="F538" s="8"/>
      <c r="G538" s="789"/>
      <c r="H538" s="789"/>
      <c r="I538" s="789"/>
      <c r="J538" s="790"/>
      <c r="K538" s="789"/>
      <c r="L538" s="789"/>
      <c r="M538" s="789"/>
      <c r="N538" s="789"/>
      <c r="O538" s="8"/>
      <c r="P538" s="8"/>
      <c r="Q538" s="8"/>
      <c r="R538" s="8"/>
      <c r="S538" s="789"/>
      <c r="T538" s="789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</row>
    <row r="539" spans="1:93" ht="15.75" customHeight="1">
      <c r="A539" s="8"/>
      <c r="B539" s="8"/>
      <c r="C539" s="8"/>
      <c r="D539" s="8"/>
      <c r="E539" s="8"/>
      <c r="F539" s="8"/>
      <c r="G539" s="789"/>
      <c r="H539" s="789"/>
      <c r="I539" s="789"/>
      <c r="J539" s="790"/>
      <c r="K539" s="789"/>
      <c r="L539" s="789"/>
      <c r="M539" s="789"/>
      <c r="N539" s="789"/>
      <c r="O539" s="8"/>
      <c r="P539" s="8"/>
      <c r="Q539" s="8"/>
      <c r="R539" s="8"/>
      <c r="S539" s="789"/>
      <c r="T539" s="789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</row>
    <row r="540" spans="1:93" ht="15.75" customHeight="1">
      <c r="A540" s="8"/>
      <c r="B540" s="8"/>
      <c r="C540" s="8"/>
      <c r="D540" s="8"/>
      <c r="E540" s="8"/>
      <c r="F540" s="8"/>
      <c r="G540" s="789"/>
      <c r="H540" s="789"/>
      <c r="I540" s="789"/>
      <c r="J540" s="790"/>
      <c r="K540" s="789"/>
      <c r="L540" s="789"/>
      <c r="M540" s="789"/>
      <c r="N540" s="789"/>
      <c r="O540" s="8"/>
      <c r="P540" s="8"/>
      <c r="Q540" s="8"/>
      <c r="R540" s="8"/>
      <c r="S540" s="789"/>
      <c r="T540" s="789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</row>
    <row r="541" spans="1:93" ht="15.75" customHeight="1">
      <c r="A541" s="8"/>
      <c r="B541" s="8"/>
      <c r="C541" s="8"/>
      <c r="D541" s="8"/>
      <c r="E541" s="8"/>
      <c r="F541" s="8"/>
      <c r="G541" s="789"/>
      <c r="H541" s="789"/>
      <c r="I541" s="789"/>
      <c r="J541" s="790"/>
      <c r="K541" s="789"/>
      <c r="L541" s="789"/>
      <c r="M541" s="789"/>
      <c r="N541" s="789"/>
      <c r="O541" s="8"/>
      <c r="P541" s="8"/>
      <c r="Q541" s="8"/>
      <c r="R541" s="8"/>
      <c r="S541" s="789"/>
      <c r="T541" s="789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</row>
    <row r="542" spans="1:93" ht="15.75" customHeight="1">
      <c r="A542" s="8"/>
      <c r="B542" s="8"/>
      <c r="C542" s="8"/>
      <c r="D542" s="8"/>
      <c r="E542" s="8"/>
      <c r="F542" s="8"/>
      <c r="G542" s="789"/>
      <c r="H542" s="789"/>
      <c r="I542" s="789"/>
      <c r="J542" s="790"/>
      <c r="K542" s="789"/>
      <c r="L542" s="789"/>
      <c r="M542" s="789"/>
      <c r="N542" s="789"/>
      <c r="O542" s="8"/>
      <c r="P542" s="8"/>
      <c r="Q542" s="8"/>
      <c r="R542" s="8"/>
      <c r="S542" s="789"/>
      <c r="T542" s="789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</row>
    <row r="543" spans="1:93" ht="15.75" customHeight="1">
      <c r="A543" s="8"/>
      <c r="B543" s="8"/>
      <c r="C543" s="8"/>
      <c r="D543" s="8"/>
      <c r="E543" s="8"/>
      <c r="F543" s="8"/>
      <c r="G543" s="789"/>
      <c r="H543" s="789"/>
      <c r="I543" s="789"/>
      <c r="J543" s="790"/>
      <c r="K543" s="789"/>
      <c r="L543" s="789"/>
      <c r="M543" s="789"/>
      <c r="N543" s="789"/>
      <c r="O543" s="8"/>
      <c r="P543" s="8"/>
      <c r="Q543" s="8"/>
      <c r="R543" s="8"/>
      <c r="S543" s="789"/>
      <c r="T543" s="789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</row>
    <row r="544" spans="1:93" ht="15.75" customHeight="1">
      <c r="A544" s="8"/>
      <c r="B544" s="8"/>
      <c r="C544" s="8"/>
      <c r="D544" s="8"/>
      <c r="E544" s="8"/>
      <c r="F544" s="8"/>
      <c r="G544" s="789"/>
      <c r="H544" s="789"/>
      <c r="I544" s="789"/>
      <c r="J544" s="790"/>
      <c r="K544" s="789"/>
      <c r="L544" s="789"/>
      <c r="M544" s="789"/>
      <c r="N544" s="789"/>
      <c r="O544" s="8"/>
      <c r="P544" s="8"/>
      <c r="Q544" s="8"/>
      <c r="R544" s="8"/>
      <c r="S544" s="789"/>
      <c r="T544" s="789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</row>
    <row r="545" spans="1:93" ht="15.75" customHeight="1">
      <c r="A545" s="8"/>
      <c r="B545" s="8"/>
      <c r="C545" s="8"/>
      <c r="D545" s="8"/>
      <c r="E545" s="8"/>
      <c r="F545" s="8"/>
      <c r="G545" s="789"/>
      <c r="H545" s="789"/>
      <c r="I545" s="789"/>
      <c r="J545" s="790"/>
      <c r="K545" s="789"/>
      <c r="L545" s="789"/>
      <c r="M545" s="789"/>
      <c r="N545" s="789"/>
      <c r="O545" s="8"/>
      <c r="P545" s="8"/>
      <c r="Q545" s="8"/>
      <c r="R545" s="8"/>
      <c r="S545" s="789"/>
      <c r="T545" s="789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</row>
    <row r="546" spans="1:93" ht="15.75" customHeight="1">
      <c r="A546" s="8"/>
      <c r="B546" s="8"/>
      <c r="C546" s="8"/>
      <c r="D546" s="8"/>
      <c r="E546" s="8"/>
      <c r="F546" s="8"/>
      <c r="G546" s="789"/>
      <c r="H546" s="789"/>
      <c r="I546" s="789"/>
      <c r="J546" s="790"/>
      <c r="K546" s="789"/>
      <c r="L546" s="789"/>
      <c r="M546" s="789"/>
      <c r="N546" s="789"/>
      <c r="O546" s="8"/>
      <c r="P546" s="8"/>
      <c r="Q546" s="8"/>
      <c r="R546" s="8"/>
      <c r="S546" s="789"/>
      <c r="T546" s="789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</row>
    <row r="547" spans="1:93" ht="15.75" customHeight="1">
      <c r="A547" s="8"/>
      <c r="B547" s="8"/>
      <c r="C547" s="8"/>
      <c r="D547" s="8"/>
      <c r="E547" s="8"/>
      <c r="F547" s="8"/>
      <c r="G547" s="789"/>
      <c r="H547" s="789"/>
      <c r="I547" s="789"/>
      <c r="J547" s="790"/>
      <c r="K547" s="789"/>
      <c r="L547" s="789"/>
      <c r="M547" s="789"/>
      <c r="N547" s="789"/>
      <c r="O547" s="8"/>
      <c r="P547" s="8"/>
      <c r="Q547" s="8"/>
      <c r="R547" s="8"/>
      <c r="S547" s="789"/>
      <c r="T547" s="789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</row>
    <row r="548" spans="1:93" ht="15.75" customHeight="1">
      <c r="A548" s="8"/>
      <c r="B548" s="8"/>
      <c r="C548" s="8"/>
      <c r="D548" s="8"/>
      <c r="E548" s="8"/>
      <c r="F548" s="8"/>
      <c r="G548" s="789"/>
      <c r="H548" s="789"/>
      <c r="I548" s="789"/>
      <c r="J548" s="790"/>
      <c r="K548" s="789"/>
      <c r="L548" s="789"/>
      <c r="M548" s="789"/>
      <c r="N548" s="789"/>
      <c r="O548" s="8"/>
      <c r="P548" s="8"/>
      <c r="Q548" s="8"/>
      <c r="R548" s="8"/>
      <c r="S548" s="789"/>
      <c r="T548" s="789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</row>
    <row r="549" spans="1:93" ht="15.75" customHeight="1">
      <c r="A549" s="8"/>
      <c r="B549" s="8"/>
      <c r="C549" s="8"/>
      <c r="D549" s="8"/>
      <c r="E549" s="8"/>
      <c r="F549" s="8"/>
      <c r="G549" s="789"/>
      <c r="H549" s="789"/>
      <c r="I549" s="789"/>
      <c r="J549" s="790"/>
      <c r="K549" s="789"/>
      <c r="L549" s="789"/>
      <c r="M549" s="789"/>
      <c r="N549" s="789"/>
      <c r="O549" s="8"/>
      <c r="P549" s="8"/>
      <c r="Q549" s="8"/>
      <c r="R549" s="8"/>
      <c r="S549" s="789"/>
      <c r="T549" s="789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</row>
    <row r="550" spans="1:93" ht="15.75" customHeight="1">
      <c r="A550" s="8"/>
      <c r="B550" s="8"/>
      <c r="C550" s="8"/>
      <c r="D550" s="8"/>
      <c r="E550" s="8"/>
      <c r="F550" s="8"/>
      <c r="G550" s="789"/>
      <c r="H550" s="789"/>
      <c r="I550" s="789"/>
      <c r="J550" s="790"/>
      <c r="K550" s="789"/>
      <c r="L550" s="789"/>
      <c r="M550" s="789"/>
      <c r="N550" s="789"/>
      <c r="O550" s="8"/>
      <c r="P550" s="8"/>
      <c r="Q550" s="8"/>
      <c r="R550" s="8"/>
      <c r="S550" s="789"/>
      <c r="T550" s="789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</row>
    <row r="551" spans="1:93" ht="15.75" customHeight="1">
      <c r="A551" s="8"/>
      <c r="B551" s="8"/>
      <c r="C551" s="8"/>
      <c r="D551" s="8"/>
      <c r="E551" s="8"/>
      <c r="F551" s="8"/>
      <c r="G551" s="789"/>
      <c r="H551" s="789"/>
      <c r="I551" s="789"/>
      <c r="J551" s="790"/>
      <c r="K551" s="789"/>
      <c r="L551" s="789"/>
      <c r="M551" s="789"/>
      <c r="N551" s="789"/>
      <c r="O551" s="8"/>
      <c r="P551" s="8"/>
      <c r="Q551" s="8"/>
      <c r="R551" s="8"/>
      <c r="S551" s="789"/>
      <c r="T551" s="789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</row>
    <row r="552" spans="1:93" ht="15.75" customHeight="1">
      <c r="A552" s="8"/>
      <c r="B552" s="8"/>
      <c r="C552" s="8"/>
      <c r="D552" s="8"/>
      <c r="E552" s="8"/>
      <c r="F552" s="8"/>
      <c r="G552" s="789"/>
      <c r="H552" s="789"/>
      <c r="I552" s="789"/>
      <c r="J552" s="790"/>
      <c r="K552" s="789"/>
      <c r="L552" s="789"/>
      <c r="M552" s="789"/>
      <c r="N552" s="789"/>
      <c r="O552" s="8"/>
      <c r="P552" s="8"/>
      <c r="Q552" s="8"/>
      <c r="R552" s="8"/>
      <c r="S552" s="789"/>
      <c r="T552" s="789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</row>
    <row r="553" spans="1:93" ht="15.75" customHeight="1">
      <c r="A553" s="8"/>
      <c r="B553" s="8"/>
      <c r="C553" s="8"/>
      <c r="D553" s="8"/>
      <c r="E553" s="8"/>
      <c r="F553" s="8"/>
      <c r="G553" s="789"/>
      <c r="H553" s="789"/>
      <c r="I553" s="789"/>
      <c r="J553" s="790"/>
      <c r="K553" s="789"/>
      <c r="L553" s="789"/>
      <c r="M553" s="789"/>
      <c r="N553" s="789"/>
      <c r="O553" s="8"/>
      <c r="P553" s="8"/>
      <c r="Q553" s="8"/>
      <c r="R553" s="8"/>
      <c r="S553" s="789"/>
      <c r="T553" s="789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</row>
    <row r="554" spans="1:93" ht="15.75" customHeight="1">
      <c r="A554" s="8"/>
      <c r="B554" s="8"/>
      <c r="C554" s="8"/>
      <c r="D554" s="8"/>
      <c r="E554" s="8"/>
      <c r="F554" s="8"/>
      <c r="G554" s="789"/>
      <c r="H554" s="789"/>
      <c r="I554" s="789"/>
      <c r="J554" s="790"/>
      <c r="K554" s="789"/>
      <c r="L554" s="789"/>
      <c r="M554" s="789"/>
      <c r="N554" s="789"/>
      <c r="O554" s="8"/>
      <c r="P554" s="8"/>
      <c r="Q554" s="8"/>
      <c r="R554" s="8"/>
      <c r="S554" s="789"/>
      <c r="T554" s="789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</row>
    <row r="555" spans="1:93" ht="15.75" customHeight="1">
      <c r="A555" s="8"/>
      <c r="B555" s="8"/>
      <c r="C555" s="8"/>
      <c r="D555" s="8"/>
      <c r="E555" s="8"/>
      <c r="F555" s="8"/>
      <c r="G555" s="789"/>
      <c r="H555" s="789"/>
      <c r="I555" s="789"/>
      <c r="J555" s="790"/>
      <c r="K555" s="789"/>
      <c r="L555" s="789"/>
      <c r="M555" s="789"/>
      <c r="N555" s="789"/>
      <c r="O555" s="8"/>
      <c r="P555" s="8"/>
      <c r="Q555" s="8"/>
      <c r="R555" s="8"/>
      <c r="S555" s="789"/>
      <c r="T555" s="789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</row>
    <row r="556" spans="1:93" ht="15.75" customHeight="1">
      <c r="A556" s="8"/>
      <c r="B556" s="8"/>
      <c r="C556" s="8"/>
      <c r="D556" s="8"/>
      <c r="E556" s="8"/>
      <c r="F556" s="8"/>
      <c r="G556" s="789"/>
      <c r="H556" s="789"/>
      <c r="I556" s="789"/>
      <c r="J556" s="790"/>
      <c r="K556" s="789"/>
      <c r="L556" s="789"/>
      <c r="M556" s="789"/>
      <c r="N556" s="789"/>
      <c r="O556" s="8"/>
      <c r="P556" s="8"/>
      <c r="Q556" s="8"/>
      <c r="R556" s="8"/>
      <c r="S556" s="789"/>
      <c r="T556" s="789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</row>
    <row r="557" spans="1:93" ht="15.75" customHeight="1">
      <c r="A557" s="8"/>
      <c r="B557" s="8"/>
      <c r="C557" s="8"/>
      <c r="D557" s="8"/>
      <c r="E557" s="8"/>
      <c r="F557" s="8"/>
      <c r="G557" s="789"/>
      <c r="H557" s="789"/>
      <c r="I557" s="789"/>
      <c r="J557" s="790"/>
      <c r="K557" s="789"/>
      <c r="L557" s="789"/>
      <c r="M557" s="789"/>
      <c r="N557" s="789"/>
      <c r="O557" s="8"/>
      <c r="P557" s="8"/>
      <c r="Q557" s="8"/>
      <c r="R557" s="8"/>
      <c r="S557" s="789"/>
      <c r="T557" s="789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</row>
    <row r="558" spans="1:93" ht="15.75" customHeight="1">
      <c r="A558" s="8"/>
      <c r="B558" s="8"/>
      <c r="C558" s="8"/>
      <c r="D558" s="8"/>
      <c r="E558" s="8"/>
      <c r="F558" s="8"/>
      <c r="G558" s="789"/>
      <c r="H558" s="789"/>
      <c r="I558" s="789"/>
      <c r="J558" s="790"/>
      <c r="K558" s="789"/>
      <c r="L558" s="789"/>
      <c r="M558" s="789"/>
      <c r="N558" s="789"/>
      <c r="O558" s="8"/>
      <c r="P558" s="8"/>
      <c r="Q558" s="8"/>
      <c r="R558" s="8"/>
      <c r="S558" s="789"/>
      <c r="T558" s="789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</row>
    <row r="559" spans="1:93" ht="15.75" customHeight="1">
      <c r="A559" s="8"/>
      <c r="B559" s="8"/>
      <c r="C559" s="8"/>
      <c r="D559" s="8"/>
      <c r="E559" s="8"/>
      <c r="F559" s="8"/>
      <c r="G559" s="789"/>
      <c r="H559" s="789"/>
      <c r="I559" s="789"/>
      <c r="J559" s="790"/>
      <c r="K559" s="789"/>
      <c r="L559" s="789"/>
      <c r="M559" s="789"/>
      <c r="N559" s="789"/>
      <c r="O559" s="8"/>
      <c r="P559" s="8"/>
      <c r="Q559" s="8"/>
      <c r="R559" s="8"/>
      <c r="S559" s="789"/>
      <c r="T559" s="789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</row>
    <row r="560" spans="1:93" ht="15.75" customHeight="1">
      <c r="A560" s="8"/>
      <c r="B560" s="8"/>
      <c r="C560" s="8"/>
      <c r="D560" s="8"/>
      <c r="E560" s="8"/>
      <c r="F560" s="8"/>
      <c r="G560" s="789"/>
      <c r="H560" s="789"/>
      <c r="I560" s="789"/>
      <c r="J560" s="790"/>
      <c r="K560" s="789"/>
      <c r="L560" s="789"/>
      <c r="M560" s="789"/>
      <c r="N560" s="789"/>
      <c r="O560" s="8"/>
      <c r="P560" s="8"/>
      <c r="Q560" s="8"/>
      <c r="R560" s="8"/>
      <c r="S560" s="789"/>
      <c r="T560" s="789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</row>
    <row r="561" spans="1:93" ht="15.75" customHeight="1">
      <c r="A561" s="8"/>
      <c r="B561" s="8"/>
      <c r="C561" s="8"/>
      <c r="D561" s="8"/>
      <c r="E561" s="8"/>
      <c r="F561" s="8"/>
      <c r="G561" s="789"/>
      <c r="H561" s="789"/>
      <c r="I561" s="789"/>
      <c r="J561" s="790"/>
      <c r="K561" s="789"/>
      <c r="L561" s="789"/>
      <c r="M561" s="789"/>
      <c r="N561" s="789"/>
      <c r="O561" s="8"/>
      <c r="P561" s="8"/>
      <c r="Q561" s="8"/>
      <c r="R561" s="8"/>
      <c r="S561" s="789"/>
      <c r="T561" s="789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</row>
    <row r="562" spans="1:93" ht="15.75" customHeight="1">
      <c r="A562" s="8"/>
      <c r="B562" s="8"/>
      <c r="C562" s="8"/>
      <c r="D562" s="8"/>
      <c r="E562" s="8"/>
      <c r="F562" s="8"/>
      <c r="G562" s="789"/>
      <c r="H562" s="789"/>
      <c r="I562" s="789"/>
      <c r="J562" s="790"/>
      <c r="K562" s="789"/>
      <c r="L562" s="789"/>
      <c r="M562" s="789"/>
      <c r="N562" s="789"/>
      <c r="O562" s="8"/>
      <c r="P562" s="8"/>
      <c r="Q562" s="8"/>
      <c r="R562" s="8"/>
      <c r="S562" s="789"/>
      <c r="T562" s="789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</row>
    <row r="563" spans="1:93" ht="15.75" customHeight="1">
      <c r="A563" s="8"/>
      <c r="B563" s="8"/>
      <c r="C563" s="8"/>
      <c r="D563" s="8"/>
      <c r="E563" s="8"/>
      <c r="F563" s="8"/>
      <c r="G563" s="789"/>
      <c r="H563" s="789"/>
      <c r="I563" s="789"/>
      <c r="J563" s="790"/>
      <c r="K563" s="789"/>
      <c r="L563" s="789"/>
      <c r="M563" s="789"/>
      <c r="N563" s="789"/>
      <c r="O563" s="8"/>
      <c r="P563" s="8"/>
      <c r="Q563" s="8"/>
      <c r="R563" s="8"/>
      <c r="S563" s="789"/>
      <c r="T563" s="789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</row>
    <row r="564" spans="1:93" ht="15.75" customHeight="1">
      <c r="A564" s="8"/>
      <c r="B564" s="8"/>
      <c r="C564" s="8"/>
      <c r="D564" s="8"/>
      <c r="E564" s="8"/>
      <c r="F564" s="8"/>
      <c r="G564" s="789"/>
      <c r="H564" s="789"/>
      <c r="I564" s="789"/>
      <c r="J564" s="790"/>
      <c r="K564" s="789"/>
      <c r="L564" s="789"/>
      <c r="M564" s="789"/>
      <c r="N564" s="789"/>
      <c r="O564" s="8"/>
      <c r="P564" s="8"/>
      <c r="Q564" s="8"/>
      <c r="R564" s="8"/>
      <c r="S564" s="789"/>
      <c r="T564" s="789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</row>
    <row r="565" spans="1:93" ht="15.75" customHeight="1">
      <c r="A565" s="8"/>
      <c r="B565" s="8"/>
      <c r="C565" s="8"/>
      <c r="D565" s="8"/>
      <c r="E565" s="8"/>
      <c r="F565" s="8"/>
      <c r="G565" s="789"/>
      <c r="H565" s="789"/>
      <c r="I565" s="789"/>
      <c r="J565" s="790"/>
      <c r="K565" s="789"/>
      <c r="L565" s="789"/>
      <c r="M565" s="789"/>
      <c r="N565" s="789"/>
      <c r="O565" s="8"/>
      <c r="P565" s="8"/>
      <c r="Q565" s="8"/>
      <c r="R565" s="8"/>
      <c r="S565" s="789"/>
      <c r="T565" s="789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</row>
    <row r="566" spans="1:93" ht="15.75" customHeight="1">
      <c r="A566" s="8"/>
      <c r="B566" s="8"/>
      <c r="C566" s="8"/>
      <c r="D566" s="8"/>
      <c r="E566" s="8"/>
      <c r="F566" s="8"/>
      <c r="G566" s="789"/>
      <c r="H566" s="789"/>
      <c r="I566" s="789"/>
      <c r="J566" s="790"/>
      <c r="K566" s="789"/>
      <c r="L566" s="789"/>
      <c r="M566" s="789"/>
      <c r="N566" s="789"/>
      <c r="O566" s="8"/>
      <c r="P566" s="8"/>
      <c r="Q566" s="8"/>
      <c r="R566" s="8"/>
      <c r="S566" s="789"/>
      <c r="T566" s="789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</row>
    <row r="567" spans="1:93" ht="15.75" customHeight="1">
      <c r="A567" s="8"/>
      <c r="B567" s="8"/>
      <c r="C567" s="8"/>
      <c r="D567" s="8"/>
      <c r="E567" s="8"/>
      <c r="F567" s="8"/>
      <c r="G567" s="789"/>
      <c r="H567" s="789"/>
      <c r="I567" s="789"/>
      <c r="J567" s="790"/>
      <c r="K567" s="789"/>
      <c r="L567" s="789"/>
      <c r="M567" s="789"/>
      <c r="N567" s="789"/>
      <c r="O567" s="8"/>
      <c r="P567" s="8"/>
      <c r="Q567" s="8"/>
      <c r="R567" s="8"/>
      <c r="S567" s="789"/>
      <c r="T567" s="789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</row>
    <row r="568" spans="1:93" ht="15.75" customHeight="1">
      <c r="A568" s="8"/>
      <c r="B568" s="8"/>
      <c r="C568" s="8"/>
      <c r="D568" s="8"/>
      <c r="E568" s="8"/>
      <c r="F568" s="8"/>
      <c r="G568" s="789"/>
      <c r="H568" s="789"/>
      <c r="I568" s="789"/>
      <c r="J568" s="790"/>
      <c r="K568" s="789"/>
      <c r="L568" s="789"/>
      <c r="M568" s="789"/>
      <c r="N568" s="789"/>
      <c r="O568" s="8"/>
      <c r="P568" s="8"/>
      <c r="Q568" s="8"/>
      <c r="R568" s="8"/>
      <c r="S568" s="789"/>
      <c r="T568" s="789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</row>
    <row r="569" spans="1:93" ht="15.75" customHeight="1">
      <c r="A569" s="8"/>
      <c r="B569" s="8"/>
      <c r="C569" s="8"/>
      <c r="D569" s="8"/>
      <c r="E569" s="8"/>
      <c r="F569" s="8"/>
      <c r="G569" s="789"/>
      <c r="H569" s="789"/>
      <c r="I569" s="789"/>
      <c r="J569" s="790"/>
      <c r="K569" s="789"/>
      <c r="L569" s="789"/>
      <c r="M569" s="789"/>
      <c r="N569" s="789"/>
      <c r="O569" s="8"/>
      <c r="P569" s="8"/>
      <c r="Q569" s="8"/>
      <c r="R569" s="8"/>
      <c r="S569" s="789"/>
      <c r="T569" s="789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</row>
    <row r="570" spans="1:93" ht="15.75" customHeight="1">
      <c r="A570" s="8"/>
      <c r="B570" s="8"/>
      <c r="C570" s="8"/>
      <c r="D570" s="8"/>
      <c r="E570" s="8"/>
      <c r="F570" s="8"/>
      <c r="G570" s="789"/>
      <c r="H570" s="789"/>
      <c r="I570" s="789"/>
      <c r="J570" s="790"/>
      <c r="K570" s="789"/>
      <c r="L570" s="789"/>
      <c r="M570" s="789"/>
      <c r="N570" s="789"/>
      <c r="O570" s="8"/>
      <c r="P570" s="8"/>
      <c r="Q570" s="8"/>
      <c r="R570" s="8"/>
      <c r="S570" s="789"/>
      <c r="T570" s="789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</row>
    <row r="571" spans="1:93" ht="15.75" customHeight="1">
      <c r="A571" s="8"/>
      <c r="B571" s="8"/>
      <c r="C571" s="8"/>
      <c r="D571" s="8"/>
      <c r="E571" s="8"/>
      <c r="F571" s="8"/>
      <c r="G571" s="789"/>
      <c r="H571" s="789"/>
      <c r="I571" s="789"/>
      <c r="J571" s="790"/>
      <c r="K571" s="789"/>
      <c r="L571" s="789"/>
      <c r="M571" s="789"/>
      <c r="N571" s="789"/>
      <c r="O571" s="8"/>
      <c r="P571" s="8"/>
      <c r="Q571" s="8"/>
      <c r="R571" s="8"/>
      <c r="S571" s="789"/>
      <c r="T571" s="789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</row>
    <row r="572" spans="1:93" ht="15.75" customHeight="1">
      <c r="A572" s="8"/>
      <c r="B572" s="8"/>
      <c r="C572" s="8"/>
      <c r="D572" s="8"/>
      <c r="E572" s="8"/>
      <c r="F572" s="8"/>
      <c r="G572" s="789"/>
      <c r="H572" s="789"/>
      <c r="I572" s="789"/>
      <c r="J572" s="790"/>
      <c r="K572" s="789"/>
      <c r="L572" s="789"/>
      <c r="M572" s="789"/>
      <c r="N572" s="789"/>
      <c r="O572" s="8"/>
      <c r="P572" s="8"/>
      <c r="Q572" s="8"/>
      <c r="R572" s="8"/>
      <c r="S572" s="789"/>
      <c r="T572" s="789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</row>
    <row r="573" spans="1:93" ht="15.75" customHeight="1">
      <c r="A573" s="8"/>
      <c r="B573" s="8"/>
      <c r="C573" s="8"/>
      <c r="D573" s="8"/>
      <c r="E573" s="8"/>
      <c r="F573" s="8"/>
      <c r="G573" s="789"/>
      <c r="H573" s="789"/>
      <c r="I573" s="789"/>
      <c r="J573" s="790"/>
      <c r="K573" s="789"/>
      <c r="L573" s="789"/>
      <c r="M573" s="789"/>
      <c r="N573" s="789"/>
      <c r="O573" s="8"/>
      <c r="P573" s="8"/>
      <c r="Q573" s="8"/>
      <c r="R573" s="8"/>
      <c r="S573" s="789"/>
      <c r="T573" s="789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</row>
    <row r="574" spans="1:93" ht="15.75" customHeight="1">
      <c r="A574" s="8"/>
      <c r="B574" s="8"/>
      <c r="C574" s="8"/>
      <c r="D574" s="8"/>
      <c r="E574" s="8"/>
      <c r="F574" s="8"/>
      <c r="G574" s="789"/>
      <c r="H574" s="789"/>
      <c r="I574" s="789"/>
      <c r="J574" s="790"/>
      <c r="K574" s="789"/>
      <c r="L574" s="789"/>
      <c r="M574" s="789"/>
      <c r="N574" s="789"/>
      <c r="O574" s="8"/>
      <c r="P574" s="8"/>
      <c r="Q574" s="8"/>
      <c r="R574" s="8"/>
      <c r="S574" s="789"/>
      <c r="T574" s="789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</row>
    <row r="575" spans="1:93" ht="15.75" customHeight="1">
      <c r="A575" s="8"/>
      <c r="B575" s="8"/>
      <c r="C575" s="8"/>
      <c r="D575" s="8"/>
      <c r="E575" s="8"/>
      <c r="F575" s="8"/>
      <c r="G575" s="789"/>
      <c r="H575" s="789"/>
      <c r="I575" s="789"/>
      <c r="J575" s="790"/>
      <c r="K575" s="789"/>
      <c r="L575" s="789"/>
      <c r="M575" s="789"/>
      <c r="N575" s="789"/>
      <c r="O575" s="8"/>
      <c r="P575" s="8"/>
      <c r="Q575" s="8"/>
      <c r="R575" s="8"/>
      <c r="S575" s="789"/>
      <c r="T575" s="789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</row>
    <row r="576" spans="1:93" ht="15.75" customHeight="1">
      <c r="A576" s="8"/>
      <c r="B576" s="8"/>
      <c r="C576" s="8"/>
      <c r="D576" s="8"/>
      <c r="E576" s="8"/>
      <c r="F576" s="8"/>
      <c r="G576" s="789"/>
      <c r="H576" s="789"/>
      <c r="I576" s="789"/>
      <c r="J576" s="790"/>
      <c r="K576" s="789"/>
      <c r="L576" s="789"/>
      <c r="M576" s="789"/>
      <c r="N576" s="789"/>
      <c r="O576" s="8"/>
      <c r="P576" s="8"/>
      <c r="Q576" s="8"/>
      <c r="R576" s="8"/>
      <c r="S576" s="789"/>
      <c r="T576" s="789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</row>
    <row r="577" spans="1:93" ht="15.75" customHeight="1">
      <c r="A577" s="8"/>
      <c r="B577" s="8"/>
      <c r="C577" s="8"/>
      <c r="D577" s="8"/>
      <c r="E577" s="8"/>
      <c r="F577" s="8"/>
      <c r="G577" s="789"/>
      <c r="H577" s="789"/>
      <c r="I577" s="789"/>
      <c r="J577" s="790"/>
      <c r="K577" s="789"/>
      <c r="L577" s="789"/>
      <c r="M577" s="789"/>
      <c r="N577" s="789"/>
      <c r="O577" s="8"/>
      <c r="P577" s="8"/>
      <c r="Q577" s="8"/>
      <c r="R577" s="8"/>
      <c r="S577" s="789"/>
      <c r="T577" s="789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</row>
    <row r="578" spans="1:93" ht="15.75" customHeight="1">
      <c r="A578" s="8"/>
      <c r="B578" s="8"/>
      <c r="C578" s="8"/>
      <c r="D578" s="8"/>
      <c r="E578" s="8"/>
      <c r="F578" s="8"/>
      <c r="G578" s="789"/>
      <c r="H578" s="789"/>
      <c r="I578" s="789"/>
      <c r="J578" s="790"/>
      <c r="K578" s="789"/>
      <c r="L578" s="789"/>
      <c r="M578" s="789"/>
      <c r="N578" s="789"/>
      <c r="O578" s="8"/>
      <c r="P578" s="8"/>
      <c r="Q578" s="8"/>
      <c r="R578" s="8"/>
      <c r="S578" s="789"/>
      <c r="T578" s="789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</row>
    <row r="579" spans="1:93" ht="15.75" customHeight="1">
      <c r="A579" s="8"/>
      <c r="B579" s="8"/>
      <c r="C579" s="8"/>
      <c r="D579" s="8"/>
      <c r="E579" s="8"/>
      <c r="F579" s="8"/>
      <c r="G579" s="789"/>
      <c r="H579" s="789"/>
      <c r="I579" s="789"/>
      <c r="J579" s="790"/>
      <c r="K579" s="789"/>
      <c r="L579" s="789"/>
      <c r="M579" s="789"/>
      <c r="N579" s="789"/>
      <c r="O579" s="8"/>
      <c r="P579" s="8"/>
      <c r="Q579" s="8"/>
      <c r="R579" s="8"/>
      <c r="S579" s="789"/>
      <c r="T579" s="789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</row>
    <row r="580" spans="1:93" ht="15.75" customHeight="1">
      <c r="A580" s="8"/>
      <c r="B580" s="8"/>
      <c r="C580" s="8"/>
      <c r="D580" s="8"/>
      <c r="E580" s="8"/>
      <c r="F580" s="8"/>
      <c r="G580" s="789"/>
      <c r="H580" s="789"/>
      <c r="I580" s="789"/>
      <c r="J580" s="790"/>
      <c r="K580" s="789"/>
      <c r="L580" s="789"/>
      <c r="M580" s="789"/>
      <c r="N580" s="789"/>
      <c r="O580" s="8"/>
      <c r="P580" s="8"/>
      <c r="Q580" s="8"/>
      <c r="R580" s="8"/>
      <c r="S580" s="789"/>
      <c r="T580" s="789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</row>
    <row r="581" spans="1:93" ht="15.75" customHeight="1">
      <c r="A581" s="8"/>
      <c r="B581" s="8"/>
      <c r="C581" s="8"/>
      <c r="D581" s="8"/>
      <c r="E581" s="8"/>
      <c r="F581" s="8"/>
      <c r="G581" s="789"/>
      <c r="H581" s="789"/>
      <c r="I581" s="789"/>
      <c r="J581" s="790"/>
      <c r="K581" s="789"/>
      <c r="L581" s="789"/>
      <c r="M581" s="789"/>
      <c r="N581" s="789"/>
      <c r="O581" s="8"/>
      <c r="P581" s="8"/>
      <c r="Q581" s="8"/>
      <c r="R581" s="8"/>
      <c r="S581" s="789"/>
      <c r="T581" s="789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</row>
    <row r="582" spans="1:93" ht="15.75" customHeight="1">
      <c r="A582" s="8"/>
      <c r="B582" s="8"/>
      <c r="C582" s="8"/>
      <c r="D582" s="8"/>
      <c r="E582" s="8"/>
      <c r="F582" s="8"/>
      <c r="G582" s="789"/>
      <c r="H582" s="789"/>
      <c r="I582" s="789"/>
      <c r="J582" s="790"/>
      <c r="K582" s="789"/>
      <c r="L582" s="789"/>
      <c r="M582" s="789"/>
      <c r="N582" s="789"/>
      <c r="O582" s="8"/>
      <c r="P582" s="8"/>
      <c r="Q582" s="8"/>
      <c r="R582" s="8"/>
      <c r="S582" s="789"/>
      <c r="T582" s="789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</row>
    <row r="583" spans="1:93" ht="15.75" customHeight="1">
      <c r="A583" s="8"/>
      <c r="B583" s="8"/>
      <c r="C583" s="8"/>
      <c r="D583" s="8"/>
      <c r="E583" s="8"/>
      <c r="F583" s="8"/>
      <c r="G583" s="789"/>
      <c r="H583" s="789"/>
      <c r="I583" s="789"/>
      <c r="J583" s="790"/>
      <c r="K583" s="789"/>
      <c r="L583" s="789"/>
      <c r="M583" s="789"/>
      <c r="N583" s="789"/>
      <c r="O583" s="8"/>
      <c r="P583" s="8"/>
      <c r="Q583" s="8"/>
      <c r="R583" s="8"/>
      <c r="S583" s="789"/>
      <c r="T583" s="789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</row>
    <row r="584" spans="1:93" ht="15.75" customHeight="1">
      <c r="A584" s="8"/>
      <c r="B584" s="8"/>
      <c r="C584" s="8"/>
      <c r="D584" s="8"/>
      <c r="E584" s="8"/>
      <c r="F584" s="8"/>
      <c r="G584" s="789"/>
      <c r="H584" s="789"/>
      <c r="I584" s="789"/>
      <c r="J584" s="790"/>
      <c r="K584" s="789"/>
      <c r="L584" s="789"/>
      <c r="M584" s="789"/>
      <c r="N584" s="789"/>
      <c r="O584" s="8"/>
      <c r="P584" s="8"/>
      <c r="Q584" s="8"/>
      <c r="R584" s="8"/>
      <c r="S584" s="789"/>
      <c r="T584" s="789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</row>
    <row r="585" spans="1:93" ht="15.75" customHeight="1">
      <c r="A585" s="8"/>
      <c r="B585" s="8"/>
      <c r="C585" s="8"/>
      <c r="D585" s="8"/>
      <c r="E585" s="8"/>
      <c r="F585" s="8"/>
      <c r="G585" s="789"/>
      <c r="H585" s="789"/>
      <c r="I585" s="789"/>
      <c r="J585" s="790"/>
      <c r="K585" s="789"/>
      <c r="L585" s="789"/>
      <c r="M585" s="789"/>
      <c r="N585" s="789"/>
      <c r="O585" s="8"/>
      <c r="P585" s="8"/>
      <c r="Q585" s="8"/>
      <c r="R585" s="8"/>
      <c r="S585" s="789"/>
      <c r="T585" s="789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</row>
    <row r="586" spans="1:93" ht="15.75" customHeight="1">
      <c r="A586" s="8"/>
      <c r="B586" s="8"/>
      <c r="C586" s="8"/>
      <c r="D586" s="8"/>
      <c r="E586" s="8"/>
      <c r="F586" s="8"/>
      <c r="G586" s="789"/>
      <c r="H586" s="789"/>
      <c r="I586" s="789"/>
      <c r="J586" s="790"/>
      <c r="K586" s="789"/>
      <c r="L586" s="789"/>
      <c r="M586" s="789"/>
      <c r="N586" s="789"/>
      <c r="O586" s="8"/>
      <c r="P586" s="8"/>
      <c r="Q586" s="8"/>
      <c r="R586" s="8"/>
      <c r="S586" s="789"/>
      <c r="T586" s="789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</row>
    <row r="587" spans="1:93" ht="15.75" customHeight="1">
      <c r="A587" s="8"/>
      <c r="B587" s="8"/>
      <c r="C587" s="8"/>
      <c r="D587" s="8"/>
      <c r="E587" s="8"/>
      <c r="F587" s="8"/>
      <c r="G587" s="789"/>
      <c r="H587" s="789"/>
      <c r="I587" s="789"/>
      <c r="J587" s="790"/>
      <c r="K587" s="789"/>
      <c r="L587" s="789"/>
      <c r="M587" s="789"/>
      <c r="N587" s="789"/>
      <c r="O587" s="8"/>
      <c r="P587" s="8"/>
      <c r="Q587" s="8"/>
      <c r="R587" s="8"/>
      <c r="S587" s="789"/>
      <c r="T587" s="789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</row>
    <row r="588" spans="1:93" ht="15.75" customHeight="1">
      <c r="A588" s="8"/>
      <c r="B588" s="8"/>
      <c r="C588" s="8"/>
      <c r="D588" s="8"/>
      <c r="E588" s="8"/>
      <c r="F588" s="8"/>
      <c r="G588" s="789"/>
      <c r="H588" s="789"/>
      <c r="I588" s="789"/>
      <c r="J588" s="790"/>
      <c r="K588" s="789"/>
      <c r="L588" s="789"/>
      <c r="M588" s="789"/>
      <c r="N588" s="789"/>
      <c r="O588" s="8"/>
      <c r="P588" s="8"/>
      <c r="Q588" s="8"/>
      <c r="R588" s="8"/>
      <c r="S588" s="789"/>
      <c r="T588" s="789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</row>
    <row r="589" spans="1:93" ht="15.75" customHeight="1">
      <c r="A589" s="8"/>
      <c r="B589" s="8"/>
      <c r="C589" s="8"/>
      <c r="D589" s="8"/>
      <c r="E589" s="8"/>
      <c r="F589" s="8"/>
      <c r="G589" s="789"/>
      <c r="H589" s="789"/>
      <c r="I589" s="789"/>
      <c r="J589" s="790"/>
      <c r="K589" s="789"/>
      <c r="L589" s="789"/>
      <c r="M589" s="789"/>
      <c r="N589" s="789"/>
      <c r="O589" s="8"/>
      <c r="P589" s="8"/>
      <c r="Q589" s="8"/>
      <c r="R589" s="8"/>
      <c r="S589" s="789"/>
      <c r="T589" s="789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</row>
    <row r="590" spans="1:93" ht="15.75" customHeight="1">
      <c r="A590" s="8"/>
      <c r="B590" s="8"/>
      <c r="C590" s="8"/>
      <c r="D590" s="8"/>
      <c r="E590" s="8"/>
      <c r="F590" s="8"/>
      <c r="G590" s="789"/>
      <c r="H590" s="789"/>
      <c r="I590" s="789"/>
      <c r="J590" s="790"/>
      <c r="K590" s="789"/>
      <c r="L590" s="789"/>
      <c r="M590" s="789"/>
      <c r="N590" s="789"/>
      <c r="O590" s="8"/>
      <c r="P590" s="8"/>
      <c r="Q590" s="8"/>
      <c r="R590" s="8"/>
      <c r="S590" s="789"/>
      <c r="T590" s="789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</row>
    <row r="591" spans="1:93" ht="15.75" customHeight="1">
      <c r="A591" s="8"/>
      <c r="B591" s="8"/>
      <c r="C591" s="8"/>
      <c r="D591" s="8"/>
      <c r="E591" s="8"/>
      <c r="F591" s="8"/>
      <c r="G591" s="789"/>
      <c r="H591" s="789"/>
      <c r="I591" s="789"/>
      <c r="J591" s="790"/>
      <c r="K591" s="789"/>
      <c r="L591" s="789"/>
      <c r="M591" s="789"/>
      <c r="N591" s="789"/>
      <c r="O591" s="8"/>
      <c r="P591" s="8"/>
      <c r="Q591" s="8"/>
      <c r="R591" s="8"/>
      <c r="S591" s="789"/>
      <c r="T591" s="789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</row>
    <row r="592" spans="1:93" ht="15.75" customHeight="1">
      <c r="A592" s="8"/>
      <c r="B592" s="8"/>
      <c r="C592" s="8"/>
      <c r="D592" s="8"/>
      <c r="E592" s="8"/>
      <c r="F592" s="8"/>
      <c r="G592" s="789"/>
      <c r="H592" s="789"/>
      <c r="I592" s="789"/>
      <c r="J592" s="790"/>
      <c r="K592" s="789"/>
      <c r="L592" s="789"/>
      <c r="M592" s="789"/>
      <c r="N592" s="789"/>
      <c r="O592" s="8"/>
      <c r="P592" s="8"/>
      <c r="Q592" s="8"/>
      <c r="R592" s="8"/>
      <c r="S592" s="789"/>
      <c r="T592" s="789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</row>
    <row r="593" spans="1:93" ht="15.75" customHeight="1">
      <c r="A593" s="8"/>
      <c r="B593" s="8"/>
      <c r="C593" s="8"/>
      <c r="D593" s="8"/>
      <c r="E593" s="8"/>
      <c r="F593" s="8"/>
      <c r="G593" s="789"/>
      <c r="H593" s="789"/>
      <c r="I593" s="789"/>
      <c r="J593" s="790"/>
      <c r="K593" s="789"/>
      <c r="L593" s="789"/>
      <c r="M593" s="789"/>
      <c r="N593" s="789"/>
      <c r="O593" s="8"/>
      <c r="P593" s="8"/>
      <c r="Q593" s="8"/>
      <c r="R593" s="8"/>
      <c r="S593" s="789"/>
      <c r="T593" s="789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</row>
    <row r="594" spans="1:93" ht="15.75" customHeight="1">
      <c r="A594" s="8"/>
      <c r="B594" s="8"/>
      <c r="C594" s="8"/>
      <c r="D594" s="8"/>
      <c r="E594" s="8"/>
      <c r="F594" s="8"/>
      <c r="G594" s="789"/>
      <c r="H594" s="789"/>
      <c r="I594" s="789"/>
      <c r="J594" s="790"/>
      <c r="K594" s="789"/>
      <c r="L594" s="789"/>
      <c r="M594" s="789"/>
      <c r="N594" s="789"/>
      <c r="O594" s="8"/>
      <c r="P594" s="8"/>
      <c r="Q594" s="8"/>
      <c r="R594" s="8"/>
      <c r="S594" s="789"/>
      <c r="T594" s="789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</row>
    <row r="595" spans="1:93" ht="15.75" customHeight="1">
      <c r="A595" s="8"/>
      <c r="B595" s="8"/>
      <c r="C595" s="8"/>
      <c r="D595" s="8"/>
      <c r="E595" s="8"/>
      <c r="F595" s="8"/>
      <c r="G595" s="789"/>
      <c r="H595" s="789"/>
      <c r="I595" s="789"/>
      <c r="J595" s="790"/>
      <c r="K595" s="789"/>
      <c r="L595" s="789"/>
      <c r="M595" s="789"/>
      <c r="N595" s="789"/>
      <c r="O595" s="8"/>
      <c r="P595" s="8"/>
      <c r="Q595" s="8"/>
      <c r="R595" s="8"/>
      <c r="S595" s="789"/>
      <c r="T595" s="789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</row>
    <row r="596" spans="1:93" ht="15.75" customHeight="1">
      <c r="A596" s="8"/>
      <c r="B596" s="8"/>
      <c r="C596" s="8"/>
      <c r="D596" s="8"/>
      <c r="E596" s="8"/>
      <c r="F596" s="8"/>
      <c r="G596" s="789"/>
      <c r="H596" s="789"/>
      <c r="I596" s="789"/>
      <c r="J596" s="790"/>
      <c r="K596" s="789"/>
      <c r="L596" s="789"/>
      <c r="M596" s="789"/>
      <c r="N596" s="789"/>
      <c r="O596" s="8"/>
      <c r="P596" s="8"/>
      <c r="Q596" s="8"/>
      <c r="R596" s="8"/>
      <c r="S596" s="789"/>
      <c r="T596" s="789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</row>
    <row r="597" spans="1:93" ht="15.75" customHeight="1">
      <c r="A597" s="8"/>
      <c r="B597" s="8"/>
      <c r="C597" s="8"/>
      <c r="D597" s="8"/>
      <c r="E597" s="8"/>
      <c r="F597" s="8"/>
      <c r="G597" s="789"/>
      <c r="H597" s="789"/>
      <c r="I597" s="789"/>
      <c r="J597" s="790"/>
      <c r="K597" s="789"/>
      <c r="L597" s="789"/>
      <c r="M597" s="789"/>
      <c r="N597" s="789"/>
      <c r="O597" s="8"/>
      <c r="P597" s="8"/>
      <c r="Q597" s="8"/>
      <c r="R597" s="8"/>
      <c r="S597" s="789"/>
      <c r="T597" s="789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</row>
    <row r="598" spans="1:93" ht="15.75" customHeight="1">
      <c r="A598" s="8"/>
      <c r="B598" s="8"/>
      <c r="C598" s="8"/>
      <c r="D598" s="8"/>
      <c r="E598" s="8"/>
      <c r="F598" s="8"/>
      <c r="G598" s="789"/>
      <c r="H598" s="789"/>
      <c r="I598" s="789"/>
      <c r="J598" s="790"/>
      <c r="K598" s="789"/>
      <c r="L598" s="789"/>
      <c r="M598" s="789"/>
      <c r="N598" s="789"/>
      <c r="O598" s="8"/>
      <c r="P598" s="8"/>
      <c r="Q598" s="8"/>
      <c r="R598" s="8"/>
      <c r="S598" s="789"/>
      <c r="T598" s="789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</row>
    <row r="599" spans="1:93" ht="15.75" customHeight="1">
      <c r="A599" s="8"/>
      <c r="B599" s="8"/>
      <c r="C599" s="8"/>
      <c r="D599" s="8"/>
      <c r="E599" s="8"/>
      <c r="F599" s="8"/>
      <c r="G599" s="789"/>
      <c r="H599" s="789"/>
      <c r="I599" s="789"/>
      <c r="J599" s="790"/>
      <c r="K599" s="789"/>
      <c r="L599" s="789"/>
      <c r="M599" s="789"/>
      <c r="N599" s="789"/>
      <c r="O599" s="8"/>
      <c r="P599" s="8"/>
      <c r="Q599" s="8"/>
      <c r="R599" s="8"/>
      <c r="S599" s="789"/>
      <c r="T599" s="789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</row>
    <row r="600" spans="1:93" ht="15.75" customHeight="1">
      <c r="A600" s="8"/>
      <c r="B600" s="8"/>
      <c r="C600" s="8"/>
      <c r="D600" s="8"/>
      <c r="E600" s="8"/>
      <c r="F600" s="8"/>
      <c r="G600" s="789"/>
      <c r="H600" s="789"/>
      <c r="I600" s="789"/>
      <c r="J600" s="790"/>
      <c r="K600" s="789"/>
      <c r="L600" s="789"/>
      <c r="M600" s="789"/>
      <c r="N600" s="789"/>
      <c r="O600" s="8"/>
      <c r="P600" s="8"/>
      <c r="Q600" s="8"/>
      <c r="R600" s="8"/>
      <c r="S600" s="789"/>
      <c r="T600" s="789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</row>
    <row r="601" spans="1:93" ht="15.75" customHeight="1">
      <c r="A601" s="8"/>
      <c r="B601" s="8"/>
      <c r="C601" s="8"/>
      <c r="D601" s="8"/>
      <c r="E601" s="8"/>
      <c r="F601" s="8"/>
      <c r="G601" s="789"/>
      <c r="H601" s="789"/>
      <c r="I601" s="789"/>
      <c r="J601" s="790"/>
      <c r="K601" s="789"/>
      <c r="L601" s="789"/>
      <c r="M601" s="789"/>
      <c r="N601" s="789"/>
      <c r="O601" s="8"/>
      <c r="P601" s="8"/>
      <c r="Q601" s="8"/>
      <c r="R601" s="8"/>
      <c r="S601" s="789"/>
      <c r="T601" s="789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</row>
    <row r="602" spans="1:93" ht="15.75" customHeight="1">
      <c r="A602" s="8"/>
      <c r="B602" s="8"/>
      <c r="C602" s="8"/>
      <c r="D602" s="8"/>
      <c r="E602" s="8"/>
      <c r="F602" s="8"/>
      <c r="G602" s="789"/>
      <c r="H602" s="789"/>
      <c r="I602" s="789"/>
      <c r="J602" s="790"/>
      <c r="K602" s="789"/>
      <c r="L602" s="789"/>
      <c r="M602" s="789"/>
      <c r="N602" s="789"/>
      <c r="O602" s="8"/>
      <c r="P602" s="8"/>
      <c r="Q602" s="8"/>
      <c r="R602" s="8"/>
      <c r="S602" s="789"/>
      <c r="T602" s="789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</row>
    <row r="603" spans="1:93" ht="15.75" customHeight="1">
      <c r="A603" s="8"/>
      <c r="B603" s="8"/>
      <c r="C603" s="8"/>
      <c r="D603" s="8"/>
      <c r="E603" s="8"/>
      <c r="F603" s="8"/>
      <c r="G603" s="789"/>
      <c r="H603" s="789"/>
      <c r="I603" s="789"/>
      <c r="J603" s="790"/>
      <c r="K603" s="789"/>
      <c r="L603" s="789"/>
      <c r="M603" s="789"/>
      <c r="N603" s="789"/>
      <c r="O603" s="8"/>
      <c r="P603" s="8"/>
      <c r="Q603" s="8"/>
      <c r="R603" s="8"/>
      <c r="S603" s="789"/>
      <c r="T603" s="789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</row>
    <row r="604" spans="1:93" ht="15.75" customHeight="1">
      <c r="A604" s="8"/>
      <c r="B604" s="8"/>
      <c r="C604" s="8"/>
      <c r="D604" s="8"/>
      <c r="E604" s="8"/>
      <c r="F604" s="8"/>
      <c r="G604" s="789"/>
      <c r="H604" s="789"/>
      <c r="I604" s="789"/>
      <c r="J604" s="790"/>
      <c r="K604" s="789"/>
      <c r="L604" s="789"/>
      <c r="M604" s="789"/>
      <c r="N604" s="789"/>
      <c r="O604" s="8"/>
      <c r="P604" s="8"/>
      <c r="Q604" s="8"/>
      <c r="R604" s="8"/>
      <c r="S604" s="789"/>
      <c r="T604" s="789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  <c r="BL604" s="8"/>
      <c r="BM604" s="8"/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</row>
    <row r="605" spans="1:93" ht="15.75" customHeight="1">
      <c r="A605" s="8"/>
      <c r="B605" s="8"/>
      <c r="C605" s="8"/>
      <c r="D605" s="8"/>
      <c r="E605" s="8"/>
      <c r="F605" s="8"/>
      <c r="G605" s="789"/>
      <c r="H605" s="789"/>
      <c r="I605" s="789"/>
      <c r="J605" s="790"/>
      <c r="K605" s="789"/>
      <c r="L605" s="789"/>
      <c r="M605" s="789"/>
      <c r="N605" s="789"/>
      <c r="O605" s="8"/>
      <c r="P605" s="8"/>
      <c r="Q605" s="8"/>
      <c r="R605" s="8"/>
      <c r="S605" s="789"/>
      <c r="T605" s="789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  <c r="BL605" s="8"/>
      <c r="BM605" s="8"/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</row>
    <row r="606" spans="1:93" ht="15.75" customHeight="1">
      <c r="A606" s="8"/>
      <c r="B606" s="8"/>
      <c r="C606" s="8"/>
      <c r="D606" s="8"/>
      <c r="E606" s="8"/>
      <c r="F606" s="8"/>
      <c r="G606" s="789"/>
      <c r="H606" s="789"/>
      <c r="I606" s="789"/>
      <c r="J606" s="790"/>
      <c r="K606" s="789"/>
      <c r="L606" s="789"/>
      <c r="M606" s="789"/>
      <c r="N606" s="789"/>
      <c r="O606" s="8"/>
      <c r="P606" s="8"/>
      <c r="Q606" s="8"/>
      <c r="R606" s="8"/>
      <c r="S606" s="789"/>
      <c r="T606" s="789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  <c r="BL606" s="8"/>
      <c r="BM606" s="8"/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</row>
    <row r="607" spans="1:93" ht="15.75" customHeight="1">
      <c r="A607" s="8"/>
      <c r="B607" s="8"/>
      <c r="C607" s="8"/>
      <c r="D607" s="8"/>
      <c r="E607" s="8"/>
      <c r="F607" s="8"/>
      <c r="G607" s="789"/>
      <c r="H607" s="789"/>
      <c r="I607" s="789"/>
      <c r="J607" s="790"/>
      <c r="K607" s="789"/>
      <c r="L607" s="789"/>
      <c r="M607" s="789"/>
      <c r="N607" s="789"/>
      <c r="O607" s="8"/>
      <c r="P607" s="8"/>
      <c r="Q607" s="8"/>
      <c r="R607" s="8"/>
      <c r="S607" s="789"/>
      <c r="T607" s="789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  <c r="BL607" s="8"/>
      <c r="BM607" s="8"/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</row>
    <row r="608" spans="1:93" ht="15.75" customHeight="1">
      <c r="A608" s="8"/>
      <c r="B608" s="8"/>
      <c r="C608" s="8"/>
      <c r="D608" s="8"/>
      <c r="E608" s="8"/>
      <c r="F608" s="8"/>
      <c r="G608" s="789"/>
      <c r="H608" s="789"/>
      <c r="I608" s="789"/>
      <c r="J608" s="790"/>
      <c r="K608" s="789"/>
      <c r="L608" s="789"/>
      <c r="M608" s="789"/>
      <c r="N608" s="789"/>
      <c r="O608" s="8"/>
      <c r="P608" s="8"/>
      <c r="Q608" s="8"/>
      <c r="R608" s="8"/>
      <c r="S608" s="789"/>
      <c r="T608" s="789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  <c r="BL608" s="8"/>
      <c r="BM608" s="8"/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</row>
    <row r="609" spans="1:93" ht="15.75" customHeight="1">
      <c r="A609" s="8"/>
      <c r="B609" s="8"/>
      <c r="C609" s="8"/>
      <c r="D609" s="8"/>
      <c r="E609" s="8"/>
      <c r="F609" s="8"/>
      <c r="G609" s="789"/>
      <c r="H609" s="789"/>
      <c r="I609" s="789"/>
      <c r="J609" s="790"/>
      <c r="K609" s="789"/>
      <c r="L609" s="789"/>
      <c r="M609" s="789"/>
      <c r="N609" s="789"/>
      <c r="O609" s="8"/>
      <c r="P609" s="8"/>
      <c r="Q609" s="8"/>
      <c r="R609" s="8"/>
      <c r="S609" s="789"/>
      <c r="T609" s="789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  <c r="BL609" s="8"/>
      <c r="BM609" s="8"/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</row>
    <row r="610" spans="1:93" ht="15.75" customHeight="1">
      <c r="A610" s="8"/>
      <c r="B610" s="8"/>
      <c r="C610" s="8"/>
      <c r="D610" s="8"/>
      <c r="E610" s="8"/>
      <c r="F610" s="8"/>
      <c r="G610" s="789"/>
      <c r="H610" s="789"/>
      <c r="I610" s="789"/>
      <c r="J610" s="790"/>
      <c r="K610" s="789"/>
      <c r="L610" s="789"/>
      <c r="M610" s="789"/>
      <c r="N610" s="789"/>
      <c r="O610" s="8"/>
      <c r="P610" s="8"/>
      <c r="Q610" s="8"/>
      <c r="R610" s="8"/>
      <c r="S610" s="789"/>
      <c r="T610" s="789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  <c r="BL610" s="8"/>
      <c r="BM610" s="8"/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</row>
    <row r="611" spans="1:93" ht="15.75" customHeight="1">
      <c r="A611" s="8"/>
      <c r="B611" s="8"/>
      <c r="C611" s="8"/>
      <c r="D611" s="8"/>
      <c r="E611" s="8"/>
      <c r="F611" s="8"/>
      <c r="G611" s="789"/>
      <c r="H611" s="789"/>
      <c r="I611" s="789"/>
      <c r="J611" s="790"/>
      <c r="K611" s="789"/>
      <c r="L611" s="789"/>
      <c r="M611" s="789"/>
      <c r="N611" s="789"/>
      <c r="O611" s="8"/>
      <c r="P611" s="8"/>
      <c r="Q611" s="8"/>
      <c r="R611" s="8"/>
      <c r="S611" s="789"/>
      <c r="T611" s="789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  <c r="BL611" s="8"/>
      <c r="BM611" s="8"/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</row>
    <row r="612" spans="1:93" ht="15.75" customHeight="1">
      <c r="A612" s="8"/>
      <c r="B612" s="8"/>
      <c r="C612" s="8"/>
      <c r="D612" s="8"/>
      <c r="E612" s="8"/>
      <c r="F612" s="8"/>
      <c r="G612" s="789"/>
      <c r="H612" s="789"/>
      <c r="I612" s="789"/>
      <c r="J612" s="790"/>
      <c r="K612" s="789"/>
      <c r="L612" s="789"/>
      <c r="M612" s="789"/>
      <c r="N612" s="789"/>
      <c r="O612" s="8"/>
      <c r="P612" s="8"/>
      <c r="Q612" s="8"/>
      <c r="R612" s="8"/>
      <c r="S612" s="789"/>
      <c r="T612" s="789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  <c r="BL612" s="8"/>
      <c r="BM612" s="8"/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</row>
    <row r="613" spans="1:93" ht="15.75" customHeight="1">
      <c r="A613" s="8"/>
      <c r="B613" s="8"/>
      <c r="C613" s="8"/>
      <c r="D613" s="8"/>
      <c r="E613" s="8"/>
      <c r="F613" s="8"/>
      <c r="G613" s="789"/>
      <c r="H613" s="789"/>
      <c r="I613" s="789"/>
      <c r="J613" s="790"/>
      <c r="K613" s="789"/>
      <c r="L613" s="789"/>
      <c r="M613" s="789"/>
      <c r="N613" s="789"/>
      <c r="O613" s="8"/>
      <c r="P613" s="8"/>
      <c r="Q613" s="8"/>
      <c r="R613" s="8"/>
      <c r="S613" s="789"/>
      <c r="T613" s="789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  <c r="BL613" s="8"/>
      <c r="BM613" s="8"/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</row>
    <row r="614" spans="1:93" ht="15.75" customHeight="1">
      <c r="A614" s="8"/>
      <c r="B614" s="8"/>
      <c r="C614" s="8"/>
      <c r="D614" s="8"/>
      <c r="E614" s="8"/>
      <c r="F614" s="8"/>
      <c r="G614" s="789"/>
      <c r="H614" s="789"/>
      <c r="I614" s="789"/>
      <c r="J614" s="790"/>
      <c r="K614" s="789"/>
      <c r="L614" s="789"/>
      <c r="M614" s="789"/>
      <c r="N614" s="789"/>
      <c r="O614" s="8"/>
      <c r="P614" s="8"/>
      <c r="Q614" s="8"/>
      <c r="R614" s="8"/>
      <c r="S614" s="789"/>
      <c r="T614" s="789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  <c r="BL614" s="8"/>
      <c r="BM614" s="8"/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</row>
    <row r="615" spans="1:93" ht="15.75" customHeight="1">
      <c r="A615" s="8"/>
      <c r="B615" s="8"/>
      <c r="C615" s="8"/>
      <c r="D615" s="8"/>
      <c r="E615" s="8"/>
      <c r="F615" s="8"/>
      <c r="G615" s="789"/>
      <c r="H615" s="789"/>
      <c r="I615" s="789"/>
      <c r="J615" s="790"/>
      <c r="K615" s="789"/>
      <c r="L615" s="789"/>
      <c r="M615" s="789"/>
      <c r="N615" s="789"/>
      <c r="O615" s="8"/>
      <c r="P615" s="8"/>
      <c r="Q615" s="8"/>
      <c r="R615" s="8"/>
      <c r="S615" s="789"/>
      <c r="T615" s="789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  <c r="BL615" s="8"/>
      <c r="BM615" s="8"/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</row>
    <row r="616" spans="1:93" ht="15.75" customHeight="1">
      <c r="A616" s="8"/>
      <c r="B616" s="8"/>
      <c r="C616" s="8"/>
      <c r="D616" s="8"/>
      <c r="E616" s="8"/>
      <c r="F616" s="8"/>
      <c r="G616" s="789"/>
      <c r="H616" s="789"/>
      <c r="I616" s="789"/>
      <c r="J616" s="790"/>
      <c r="K616" s="789"/>
      <c r="L616" s="789"/>
      <c r="M616" s="789"/>
      <c r="N616" s="789"/>
      <c r="O616" s="8"/>
      <c r="P616" s="8"/>
      <c r="Q616" s="8"/>
      <c r="R616" s="8"/>
      <c r="S616" s="789"/>
      <c r="T616" s="789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  <c r="BL616" s="8"/>
      <c r="BM616" s="8"/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</row>
    <row r="617" spans="1:93" ht="15.75" customHeight="1">
      <c r="A617" s="8"/>
      <c r="B617" s="8"/>
      <c r="C617" s="8"/>
      <c r="D617" s="8"/>
      <c r="E617" s="8"/>
      <c r="F617" s="8"/>
      <c r="G617" s="789"/>
      <c r="H617" s="789"/>
      <c r="I617" s="789"/>
      <c r="J617" s="790"/>
      <c r="K617" s="789"/>
      <c r="L617" s="789"/>
      <c r="M617" s="789"/>
      <c r="N617" s="789"/>
      <c r="O617" s="8"/>
      <c r="P617" s="8"/>
      <c r="Q617" s="8"/>
      <c r="R617" s="8"/>
      <c r="S617" s="789"/>
      <c r="T617" s="789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  <c r="BL617" s="8"/>
      <c r="BM617" s="8"/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</row>
    <row r="618" spans="1:93" ht="15.75" customHeight="1">
      <c r="A618" s="8"/>
      <c r="B618" s="8"/>
      <c r="C618" s="8"/>
      <c r="D618" s="8"/>
      <c r="E618" s="8"/>
      <c r="F618" s="8"/>
      <c r="G618" s="789"/>
      <c r="H618" s="789"/>
      <c r="I618" s="789"/>
      <c r="J618" s="790"/>
      <c r="K618" s="789"/>
      <c r="L618" s="789"/>
      <c r="M618" s="789"/>
      <c r="N618" s="789"/>
      <c r="O618" s="8"/>
      <c r="P618" s="8"/>
      <c r="Q618" s="8"/>
      <c r="R618" s="8"/>
      <c r="S618" s="789"/>
      <c r="T618" s="789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  <c r="BL618" s="8"/>
      <c r="BM618" s="8"/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</row>
    <row r="619" spans="1:93" ht="15.75" customHeight="1">
      <c r="A619" s="8"/>
      <c r="B619" s="8"/>
      <c r="C619" s="8"/>
      <c r="D619" s="8"/>
      <c r="E619" s="8"/>
      <c r="F619" s="8"/>
      <c r="G619" s="789"/>
      <c r="H619" s="789"/>
      <c r="I619" s="789"/>
      <c r="J619" s="790"/>
      <c r="K619" s="789"/>
      <c r="L619" s="789"/>
      <c r="M619" s="789"/>
      <c r="N619" s="789"/>
      <c r="O619" s="8"/>
      <c r="P619" s="8"/>
      <c r="Q619" s="8"/>
      <c r="R619" s="8"/>
      <c r="S619" s="789"/>
      <c r="T619" s="789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  <c r="BL619" s="8"/>
      <c r="BM619" s="8"/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</row>
    <row r="620" spans="1:93" ht="15.75" customHeight="1">
      <c r="A620" s="8"/>
      <c r="B620" s="8"/>
      <c r="C620" s="8"/>
      <c r="D620" s="8"/>
      <c r="E620" s="8"/>
      <c r="F620" s="8"/>
      <c r="G620" s="789"/>
      <c r="H620" s="789"/>
      <c r="I620" s="789"/>
      <c r="J620" s="790"/>
      <c r="K620" s="789"/>
      <c r="L620" s="789"/>
      <c r="M620" s="789"/>
      <c r="N620" s="789"/>
      <c r="O620" s="8"/>
      <c r="P620" s="8"/>
      <c r="Q620" s="8"/>
      <c r="R620" s="8"/>
      <c r="S620" s="789"/>
      <c r="T620" s="789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  <c r="BL620" s="8"/>
      <c r="BM620" s="8"/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</row>
    <row r="621" spans="1:93" ht="15.75" customHeight="1">
      <c r="A621" s="8"/>
      <c r="B621" s="8"/>
      <c r="C621" s="8"/>
      <c r="D621" s="8"/>
      <c r="E621" s="8"/>
      <c r="F621" s="8"/>
      <c r="G621" s="789"/>
      <c r="H621" s="789"/>
      <c r="I621" s="789"/>
      <c r="J621" s="790"/>
      <c r="K621" s="789"/>
      <c r="L621" s="789"/>
      <c r="M621" s="789"/>
      <c r="N621" s="789"/>
      <c r="O621" s="8"/>
      <c r="P621" s="8"/>
      <c r="Q621" s="8"/>
      <c r="R621" s="8"/>
      <c r="S621" s="789"/>
      <c r="T621" s="789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  <c r="BL621" s="8"/>
      <c r="BM621" s="8"/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</row>
    <row r="622" spans="1:93" ht="15.75" customHeight="1">
      <c r="A622" s="8"/>
      <c r="B622" s="8"/>
      <c r="C622" s="8"/>
      <c r="D622" s="8"/>
      <c r="E622" s="8"/>
      <c r="F622" s="8"/>
      <c r="G622" s="789"/>
      <c r="H622" s="789"/>
      <c r="I622" s="789"/>
      <c r="J622" s="790"/>
      <c r="K622" s="789"/>
      <c r="L622" s="789"/>
      <c r="M622" s="789"/>
      <c r="N622" s="789"/>
      <c r="O622" s="8"/>
      <c r="P622" s="8"/>
      <c r="Q622" s="8"/>
      <c r="R622" s="8"/>
      <c r="S622" s="789"/>
      <c r="T622" s="789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  <c r="BL622" s="8"/>
      <c r="BM622" s="8"/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</row>
    <row r="623" spans="1:93" ht="15.75" customHeight="1">
      <c r="A623" s="8"/>
      <c r="B623" s="8"/>
      <c r="C623" s="8"/>
      <c r="D623" s="8"/>
      <c r="E623" s="8"/>
      <c r="F623" s="8"/>
      <c r="G623" s="789"/>
      <c r="H623" s="789"/>
      <c r="I623" s="789"/>
      <c r="J623" s="790"/>
      <c r="K623" s="789"/>
      <c r="L623" s="789"/>
      <c r="M623" s="789"/>
      <c r="N623" s="789"/>
      <c r="O623" s="8"/>
      <c r="P623" s="8"/>
      <c r="Q623" s="8"/>
      <c r="R623" s="8"/>
      <c r="S623" s="789"/>
      <c r="T623" s="789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  <c r="BL623" s="8"/>
      <c r="BM623" s="8"/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</row>
    <row r="624" spans="1:93" ht="15.75" customHeight="1">
      <c r="A624" s="8"/>
      <c r="B624" s="8"/>
      <c r="C624" s="8"/>
      <c r="D624" s="8"/>
      <c r="E624" s="8"/>
      <c r="F624" s="8"/>
      <c r="G624" s="789"/>
      <c r="H624" s="789"/>
      <c r="I624" s="789"/>
      <c r="J624" s="790"/>
      <c r="K624" s="789"/>
      <c r="L624" s="789"/>
      <c r="M624" s="789"/>
      <c r="N624" s="789"/>
      <c r="O624" s="8"/>
      <c r="P624" s="8"/>
      <c r="Q624" s="8"/>
      <c r="R624" s="8"/>
      <c r="S624" s="789"/>
      <c r="T624" s="789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  <c r="BL624" s="8"/>
      <c r="BM624" s="8"/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</row>
    <row r="625" spans="1:93" ht="15.75" customHeight="1">
      <c r="A625" s="8"/>
      <c r="B625" s="8"/>
      <c r="C625" s="8"/>
      <c r="D625" s="8"/>
      <c r="E625" s="8"/>
      <c r="F625" s="8"/>
      <c r="G625" s="789"/>
      <c r="H625" s="789"/>
      <c r="I625" s="789"/>
      <c r="J625" s="790"/>
      <c r="K625" s="789"/>
      <c r="L625" s="789"/>
      <c r="M625" s="789"/>
      <c r="N625" s="789"/>
      <c r="O625" s="8"/>
      <c r="P625" s="8"/>
      <c r="Q625" s="8"/>
      <c r="R625" s="8"/>
      <c r="S625" s="789"/>
      <c r="T625" s="789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  <c r="BL625" s="8"/>
      <c r="BM625" s="8"/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</row>
    <row r="626" spans="1:93" ht="15.75" customHeight="1">
      <c r="A626" s="8"/>
      <c r="B626" s="8"/>
      <c r="C626" s="8"/>
      <c r="D626" s="8"/>
      <c r="E626" s="8"/>
      <c r="F626" s="8"/>
      <c r="G626" s="789"/>
      <c r="H626" s="789"/>
      <c r="I626" s="789"/>
      <c r="J626" s="790"/>
      <c r="K626" s="789"/>
      <c r="L626" s="789"/>
      <c r="M626" s="789"/>
      <c r="N626" s="789"/>
      <c r="O626" s="8"/>
      <c r="P626" s="8"/>
      <c r="Q626" s="8"/>
      <c r="R626" s="8"/>
      <c r="S626" s="789"/>
      <c r="T626" s="789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  <c r="BL626" s="8"/>
      <c r="BM626" s="8"/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</row>
    <row r="627" spans="1:93" ht="15.75" customHeight="1">
      <c r="A627" s="8"/>
      <c r="B627" s="8"/>
      <c r="C627" s="8"/>
      <c r="D627" s="8"/>
      <c r="E627" s="8"/>
      <c r="F627" s="8"/>
      <c r="G627" s="789"/>
      <c r="H627" s="789"/>
      <c r="I627" s="789"/>
      <c r="J627" s="790"/>
      <c r="K627" s="789"/>
      <c r="L627" s="789"/>
      <c r="M627" s="789"/>
      <c r="N627" s="789"/>
      <c r="O627" s="8"/>
      <c r="P627" s="8"/>
      <c r="Q627" s="8"/>
      <c r="R627" s="8"/>
      <c r="S627" s="789"/>
      <c r="T627" s="789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  <c r="BL627" s="8"/>
      <c r="BM627" s="8"/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</row>
    <row r="628" spans="1:93" ht="15.75" customHeight="1">
      <c r="A628" s="8"/>
      <c r="B628" s="8"/>
      <c r="C628" s="8"/>
      <c r="D628" s="8"/>
      <c r="E628" s="8"/>
      <c r="F628" s="8"/>
      <c r="G628" s="789"/>
      <c r="H628" s="789"/>
      <c r="I628" s="789"/>
      <c r="J628" s="790"/>
      <c r="K628" s="789"/>
      <c r="L628" s="789"/>
      <c r="M628" s="789"/>
      <c r="N628" s="789"/>
      <c r="O628" s="8"/>
      <c r="P628" s="8"/>
      <c r="Q628" s="8"/>
      <c r="R628" s="8"/>
      <c r="S628" s="789"/>
      <c r="T628" s="789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  <c r="BL628" s="8"/>
      <c r="BM628" s="8"/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</row>
    <row r="629" spans="1:93" ht="15.75" customHeight="1">
      <c r="A629" s="8"/>
      <c r="B629" s="8"/>
      <c r="C629" s="8"/>
      <c r="D629" s="8"/>
      <c r="E629" s="8"/>
      <c r="F629" s="8"/>
      <c r="G629" s="789"/>
      <c r="H629" s="789"/>
      <c r="I629" s="789"/>
      <c r="J629" s="790"/>
      <c r="K629" s="789"/>
      <c r="L629" s="789"/>
      <c r="M629" s="789"/>
      <c r="N629" s="789"/>
      <c r="O629" s="8"/>
      <c r="P629" s="8"/>
      <c r="Q629" s="8"/>
      <c r="R629" s="8"/>
      <c r="S629" s="789"/>
      <c r="T629" s="789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  <c r="BL629" s="8"/>
      <c r="BM629" s="8"/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</row>
    <row r="630" spans="1:93" ht="15.75" customHeight="1">
      <c r="A630" s="8"/>
      <c r="B630" s="8"/>
      <c r="C630" s="8"/>
      <c r="D630" s="8"/>
      <c r="E630" s="8"/>
      <c r="F630" s="8"/>
      <c r="G630" s="789"/>
      <c r="H630" s="789"/>
      <c r="I630" s="789"/>
      <c r="J630" s="790"/>
      <c r="K630" s="789"/>
      <c r="L630" s="789"/>
      <c r="M630" s="789"/>
      <c r="N630" s="789"/>
      <c r="O630" s="8"/>
      <c r="P630" s="8"/>
      <c r="Q630" s="8"/>
      <c r="R630" s="8"/>
      <c r="S630" s="789"/>
      <c r="T630" s="789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  <c r="BL630" s="8"/>
      <c r="BM630" s="8"/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</row>
    <row r="631" spans="1:93" ht="15.75" customHeight="1">
      <c r="A631" s="8"/>
      <c r="B631" s="8"/>
      <c r="C631" s="8"/>
      <c r="D631" s="8"/>
      <c r="E631" s="8"/>
      <c r="F631" s="8"/>
      <c r="G631" s="789"/>
      <c r="H631" s="789"/>
      <c r="I631" s="789"/>
      <c r="J631" s="790"/>
      <c r="K631" s="789"/>
      <c r="L631" s="789"/>
      <c r="M631" s="789"/>
      <c r="N631" s="789"/>
      <c r="O631" s="8"/>
      <c r="P631" s="8"/>
      <c r="Q631" s="8"/>
      <c r="R631" s="8"/>
      <c r="S631" s="789"/>
      <c r="T631" s="789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  <c r="BL631" s="8"/>
      <c r="BM631" s="8"/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</row>
    <row r="632" spans="1:93" ht="15.75" customHeight="1">
      <c r="A632" s="8"/>
      <c r="B632" s="8"/>
      <c r="C632" s="8"/>
      <c r="D632" s="8"/>
      <c r="E632" s="8"/>
      <c r="F632" s="8"/>
      <c r="G632" s="789"/>
      <c r="H632" s="789"/>
      <c r="I632" s="789"/>
      <c r="J632" s="790"/>
      <c r="K632" s="789"/>
      <c r="L632" s="789"/>
      <c r="M632" s="789"/>
      <c r="N632" s="789"/>
      <c r="O632" s="8"/>
      <c r="P632" s="8"/>
      <c r="Q632" s="8"/>
      <c r="R632" s="8"/>
      <c r="S632" s="789"/>
      <c r="T632" s="789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  <c r="BL632" s="8"/>
      <c r="BM632" s="8"/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</row>
    <row r="633" spans="1:93" ht="15.75" customHeight="1">
      <c r="A633" s="8"/>
      <c r="B633" s="8"/>
      <c r="C633" s="8"/>
      <c r="D633" s="8"/>
      <c r="E633" s="8"/>
      <c r="F633" s="8"/>
      <c r="G633" s="789"/>
      <c r="H633" s="789"/>
      <c r="I633" s="789"/>
      <c r="J633" s="790"/>
      <c r="K633" s="789"/>
      <c r="L633" s="789"/>
      <c r="M633" s="789"/>
      <c r="N633" s="789"/>
      <c r="O633" s="8"/>
      <c r="P633" s="8"/>
      <c r="Q633" s="8"/>
      <c r="R633" s="8"/>
      <c r="S633" s="789"/>
      <c r="T633" s="789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  <c r="BL633" s="8"/>
      <c r="BM633" s="8"/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</row>
    <row r="634" spans="1:93" ht="15.75" customHeight="1">
      <c r="A634" s="8"/>
      <c r="B634" s="8"/>
      <c r="C634" s="8"/>
      <c r="D634" s="8"/>
      <c r="E634" s="8"/>
      <c r="F634" s="8"/>
      <c r="G634" s="789"/>
      <c r="H634" s="789"/>
      <c r="I634" s="789"/>
      <c r="J634" s="790"/>
      <c r="K634" s="789"/>
      <c r="L634" s="789"/>
      <c r="M634" s="789"/>
      <c r="N634" s="789"/>
      <c r="O634" s="8"/>
      <c r="P634" s="8"/>
      <c r="Q634" s="8"/>
      <c r="R634" s="8"/>
      <c r="S634" s="789"/>
      <c r="T634" s="789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  <c r="BL634" s="8"/>
      <c r="BM634" s="8"/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</row>
    <row r="635" spans="1:93" ht="15.75" customHeight="1">
      <c r="A635" s="8"/>
      <c r="B635" s="8"/>
      <c r="C635" s="8"/>
      <c r="D635" s="8"/>
      <c r="E635" s="8"/>
      <c r="F635" s="8"/>
      <c r="G635" s="789"/>
      <c r="H635" s="789"/>
      <c r="I635" s="789"/>
      <c r="J635" s="790"/>
      <c r="K635" s="789"/>
      <c r="L635" s="789"/>
      <c r="M635" s="789"/>
      <c r="N635" s="789"/>
      <c r="O635" s="8"/>
      <c r="P635" s="8"/>
      <c r="Q635" s="8"/>
      <c r="R635" s="8"/>
      <c r="S635" s="789"/>
      <c r="T635" s="789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  <c r="BL635" s="8"/>
      <c r="BM635" s="8"/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</row>
    <row r="636" spans="1:93" ht="15.75" customHeight="1">
      <c r="A636" s="8"/>
      <c r="B636" s="8"/>
      <c r="C636" s="8"/>
      <c r="D636" s="8"/>
      <c r="E636" s="8"/>
      <c r="F636" s="8"/>
      <c r="G636" s="789"/>
      <c r="H636" s="789"/>
      <c r="I636" s="789"/>
      <c r="J636" s="790"/>
      <c r="K636" s="789"/>
      <c r="L636" s="789"/>
      <c r="M636" s="789"/>
      <c r="N636" s="789"/>
      <c r="O636" s="8"/>
      <c r="P636" s="8"/>
      <c r="Q636" s="8"/>
      <c r="R636" s="8"/>
      <c r="S636" s="789"/>
      <c r="T636" s="789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  <c r="BL636" s="8"/>
      <c r="BM636" s="8"/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</row>
    <row r="637" spans="1:93" ht="15.75" customHeight="1">
      <c r="A637" s="8"/>
      <c r="B637" s="8"/>
      <c r="C637" s="8"/>
      <c r="D637" s="8"/>
      <c r="E637" s="8"/>
      <c r="F637" s="8"/>
      <c r="G637" s="789"/>
      <c r="H637" s="789"/>
      <c r="I637" s="789"/>
      <c r="J637" s="790"/>
      <c r="K637" s="789"/>
      <c r="L637" s="789"/>
      <c r="M637" s="789"/>
      <c r="N637" s="789"/>
      <c r="O637" s="8"/>
      <c r="P637" s="8"/>
      <c r="Q637" s="8"/>
      <c r="R637" s="8"/>
      <c r="S637" s="789"/>
      <c r="T637" s="789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  <c r="BL637" s="8"/>
      <c r="BM637" s="8"/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</row>
    <row r="638" spans="1:93" ht="15.75" customHeight="1">
      <c r="A638" s="8"/>
      <c r="B638" s="8"/>
      <c r="C638" s="8"/>
      <c r="D638" s="8"/>
      <c r="E638" s="8"/>
      <c r="F638" s="8"/>
      <c r="G638" s="789"/>
      <c r="H638" s="789"/>
      <c r="I638" s="789"/>
      <c r="J638" s="790"/>
      <c r="K638" s="789"/>
      <c r="L638" s="789"/>
      <c r="M638" s="789"/>
      <c r="N638" s="789"/>
      <c r="O638" s="8"/>
      <c r="P638" s="8"/>
      <c r="Q638" s="8"/>
      <c r="R638" s="8"/>
      <c r="S638" s="789"/>
      <c r="T638" s="789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  <c r="BL638" s="8"/>
      <c r="BM638" s="8"/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</row>
    <row r="639" spans="1:93" ht="15.75" customHeight="1">
      <c r="A639" s="8"/>
      <c r="B639" s="8"/>
      <c r="C639" s="8"/>
      <c r="D639" s="8"/>
      <c r="E639" s="8"/>
      <c r="F639" s="8"/>
      <c r="G639" s="789"/>
      <c r="H639" s="789"/>
      <c r="I639" s="789"/>
      <c r="J639" s="790"/>
      <c r="K639" s="789"/>
      <c r="L639" s="789"/>
      <c r="M639" s="789"/>
      <c r="N639" s="789"/>
      <c r="O639" s="8"/>
      <c r="P639" s="8"/>
      <c r="Q639" s="8"/>
      <c r="R639" s="8"/>
      <c r="S639" s="789"/>
      <c r="T639" s="789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  <c r="BL639" s="8"/>
      <c r="BM639" s="8"/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</row>
    <row r="640" spans="1:93" ht="15.75" customHeight="1">
      <c r="A640" s="8"/>
      <c r="B640" s="8"/>
      <c r="C640" s="8"/>
      <c r="D640" s="8"/>
      <c r="E640" s="8"/>
      <c r="F640" s="8"/>
      <c r="G640" s="789"/>
      <c r="H640" s="789"/>
      <c r="I640" s="789"/>
      <c r="J640" s="790"/>
      <c r="K640" s="789"/>
      <c r="L640" s="789"/>
      <c r="M640" s="789"/>
      <c r="N640" s="789"/>
      <c r="O640" s="8"/>
      <c r="P640" s="8"/>
      <c r="Q640" s="8"/>
      <c r="R640" s="8"/>
      <c r="S640" s="789"/>
      <c r="T640" s="789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  <c r="BL640" s="8"/>
      <c r="BM640" s="8"/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</row>
    <row r="641" spans="1:93" ht="15.75" customHeight="1">
      <c r="A641" s="8"/>
      <c r="B641" s="8"/>
      <c r="C641" s="8"/>
      <c r="D641" s="8"/>
      <c r="E641" s="8"/>
      <c r="F641" s="8"/>
      <c r="G641" s="789"/>
      <c r="H641" s="789"/>
      <c r="I641" s="789"/>
      <c r="J641" s="790"/>
      <c r="K641" s="789"/>
      <c r="L641" s="789"/>
      <c r="M641" s="789"/>
      <c r="N641" s="789"/>
      <c r="O641" s="8"/>
      <c r="P641" s="8"/>
      <c r="Q641" s="8"/>
      <c r="R641" s="8"/>
      <c r="S641" s="789"/>
      <c r="T641" s="789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  <c r="BL641" s="8"/>
      <c r="BM641" s="8"/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</row>
    <row r="642" spans="1:93" ht="15.75" customHeight="1">
      <c r="A642" s="8"/>
      <c r="B642" s="8"/>
      <c r="C642" s="8"/>
      <c r="D642" s="8"/>
      <c r="E642" s="8"/>
      <c r="F642" s="8"/>
      <c r="G642" s="789"/>
      <c r="H642" s="789"/>
      <c r="I642" s="789"/>
      <c r="J642" s="790"/>
      <c r="K642" s="789"/>
      <c r="L642" s="789"/>
      <c r="M642" s="789"/>
      <c r="N642" s="789"/>
      <c r="O642" s="8"/>
      <c r="P642" s="8"/>
      <c r="Q642" s="8"/>
      <c r="R642" s="8"/>
      <c r="S642" s="789"/>
      <c r="T642" s="789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  <c r="BL642" s="8"/>
      <c r="BM642" s="8"/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</row>
    <row r="643" spans="1:93" ht="15.75" customHeight="1">
      <c r="A643" s="8"/>
      <c r="B643" s="8"/>
      <c r="C643" s="8"/>
      <c r="D643" s="8"/>
      <c r="E643" s="8"/>
      <c r="F643" s="8"/>
      <c r="G643" s="789"/>
      <c r="H643" s="789"/>
      <c r="I643" s="789"/>
      <c r="J643" s="790"/>
      <c r="K643" s="789"/>
      <c r="L643" s="789"/>
      <c r="M643" s="789"/>
      <c r="N643" s="789"/>
      <c r="O643" s="8"/>
      <c r="P643" s="8"/>
      <c r="Q643" s="8"/>
      <c r="R643" s="8"/>
      <c r="S643" s="789"/>
      <c r="T643" s="789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  <c r="BL643" s="8"/>
      <c r="BM643" s="8"/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</row>
    <row r="644" spans="1:93" ht="15.75" customHeight="1">
      <c r="A644" s="8"/>
      <c r="B644" s="8"/>
      <c r="C644" s="8"/>
      <c r="D644" s="8"/>
      <c r="E644" s="8"/>
      <c r="F644" s="8"/>
      <c r="G644" s="789"/>
      <c r="H644" s="789"/>
      <c r="I644" s="789"/>
      <c r="J644" s="790"/>
      <c r="K644" s="789"/>
      <c r="L644" s="789"/>
      <c r="M644" s="789"/>
      <c r="N644" s="789"/>
      <c r="O644" s="8"/>
      <c r="P644" s="8"/>
      <c r="Q644" s="8"/>
      <c r="R644" s="8"/>
      <c r="S644" s="789"/>
      <c r="T644" s="789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  <c r="BL644" s="8"/>
      <c r="BM644" s="8"/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</row>
    <row r="645" spans="1:93" ht="15.75" customHeight="1">
      <c r="A645" s="8"/>
      <c r="B645" s="8"/>
      <c r="C645" s="8"/>
      <c r="D645" s="8"/>
      <c r="E645" s="8"/>
      <c r="F645" s="8"/>
      <c r="G645" s="789"/>
      <c r="H645" s="789"/>
      <c r="I645" s="789"/>
      <c r="J645" s="790"/>
      <c r="K645" s="789"/>
      <c r="L645" s="789"/>
      <c r="M645" s="789"/>
      <c r="N645" s="789"/>
      <c r="O645" s="8"/>
      <c r="P645" s="8"/>
      <c r="Q645" s="8"/>
      <c r="R645" s="8"/>
      <c r="S645" s="789"/>
      <c r="T645" s="789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  <c r="BL645" s="8"/>
      <c r="BM645" s="8"/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</row>
    <row r="646" spans="1:93" ht="15.75" customHeight="1">
      <c r="A646" s="8"/>
      <c r="B646" s="8"/>
      <c r="C646" s="8"/>
      <c r="D646" s="8"/>
      <c r="E646" s="8"/>
      <c r="F646" s="8"/>
      <c r="G646" s="789"/>
      <c r="H646" s="789"/>
      <c r="I646" s="789"/>
      <c r="J646" s="790"/>
      <c r="K646" s="789"/>
      <c r="L646" s="789"/>
      <c r="M646" s="789"/>
      <c r="N646" s="789"/>
      <c r="O646" s="8"/>
      <c r="P646" s="8"/>
      <c r="Q646" s="8"/>
      <c r="R646" s="8"/>
      <c r="S646" s="789"/>
      <c r="T646" s="789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  <c r="BL646" s="8"/>
      <c r="BM646" s="8"/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</row>
    <row r="647" spans="1:93" ht="15.75" customHeight="1">
      <c r="A647" s="8"/>
      <c r="B647" s="8"/>
      <c r="C647" s="8"/>
      <c r="D647" s="8"/>
      <c r="E647" s="8"/>
      <c r="F647" s="8"/>
      <c r="G647" s="789"/>
      <c r="H647" s="789"/>
      <c r="I647" s="789"/>
      <c r="J647" s="790"/>
      <c r="K647" s="789"/>
      <c r="L647" s="789"/>
      <c r="M647" s="789"/>
      <c r="N647" s="789"/>
      <c r="O647" s="8"/>
      <c r="P647" s="8"/>
      <c r="Q647" s="8"/>
      <c r="R647" s="8"/>
      <c r="S647" s="789"/>
      <c r="T647" s="789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  <c r="BL647" s="8"/>
      <c r="BM647" s="8"/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</row>
    <row r="648" spans="1:93" ht="15.75" customHeight="1">
      <c r="A648" s="8"/>
      <c r="B648" s="8"/>
      <c r="C648" s="8"/>
      <c r="D648" s="8"/>
      <c r="E648" s="8"/>
      <c r="F648" s="8"/>
      <c r="G648" s="789"/>
      <c r="H648" s="789"/>
      <c r="I648" s="789"/>
      <c r="J648" s="790"/>
      <c r="K648" s="789"/>
      <c r="L648" s="789"/>
      <c r="M648" s="789"/>
      <c r="N648" s="789"/>
      <c r="O648" s="8"/>
      <c r="P648" s="8"/>
      <c r="Q648" s="8"/>
      <c r="R648" s="8"/>
      <c r="S648" s="789"/>
      <c r="T648" s="789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  <c r="BL648" s="8"/>
      <c r="BM648" s="8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</row>
    <row r="649" spans="1:93" ht="15.75" customHeight="1">
      <c r="A649" s="8"/>
      <c r="B649" s="8"/>
      <c r="C649" s="8"/>
      <c r="D649" s="8"/>
      <c r="E649" s="8"/>
      <c r="F649" s="8"/>
      <c r="G649" s="789"/>
      <c r="H649" s="789"/>
      <c r="I649" s="789"/>
      <c r="J649" s="790"/>
      <c r="K649" s="789"/>
      <c r="L649" s="789"/>
      <c r="M649" s="789"/>
      <c r="N649" s="789"/>
      <c r="O649" s="8"/>
      <c r="P649" s="8"/>
      <c r="Q649" s="8"/>
      <c r="R649" s="8"/>
      <c r="S649" s="789"/>
      <c r="T649" s="789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  <c r="BL649" s="8"/>
      <c r="BM649" s="8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</row>
    <row r="650" spans="1:93" ht="15.75" customHeight="1">
      <c r="A650" s="8"/>
      <c r="B650" s="8"/>
      <c r="C650" s="8"/>
      <c r="D650" s="8"/>
      <c r="E650" s="8"/>
      <c r="F650" s="8"/>
      <c r="G650" s="789"/>
      <c r="H650" s="789"/>
      <c r="I650" s="789"/>
      <c r="J650" s="790"/>
      <c r="K650" s="789"/>
      <c r="L650" s="789"/>
      <c r="M650" s="789"/>
      <c r="N650" s="789"/>
      <c r="O650" s="8"/>
      <c r="P650" s="8"/>
      <c r="Q650" s="8"/>
      <c r="R650" s="8"/>
      <c r="S650" s="789"/>
      <c r="T650" s="789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  <c r="BL650" s="8"/>
      <c r="BM650" s="8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</row>
    <row r="651" spans="1:93" ht="15.75" customHeight="1">
      <c r="A651" s="8"/>
      <c r="B651" s="8"/>
      <c r="C651" s="8"/>
      <c r="D651" s="8"/>
      <c r="E651" s="8"/>
      <c r="F651" s="8"/>
      <c r="G651" s="789"/>
      <c r="H651" s="789"/>
      <c r="I651" s="789"/>
      <c r="J651" s="790"/>
      <c r="K651" s="789"/>
      <c r="L651" s="789"/>
      <c r="M651" s="789"/>
      <c r="N651" s="789"/>
      <c r="O651" s="8"/>
      <c r="P651" s="8"/>
      <c r="Q651" s="8"/>
      <c r="R651" s="8"/>
      <c r="S651" s="789"/>
      <c r="T651" s="789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  <c r="BL651" s="8"/>
      <c r="BM651" s="8"/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</row>
    <row r="652" spans="1:93" ht="15.75" customHeight="1">
      <c r="A652" s="8"/>
      <c r="B652" s="8"/>
      <c r="C652" s="8"/>
      <c r="D652" s="8"/>
      <c r="E652" s="8"/>
      <c r="F652" s="8"/>
      <c r="G652" s="789"/>
      <c r="H652" s="789"/>
      <c r="I652" s="789"/>
      <c r="J652" s="790"/>
      <c r="K652" s="789"/>
      <c r="L652" s="789"/>
      <c r="M652" s="789"/>
      <c r="N652" s="789"/>
      <c r="O652" s="8"/>
      <c r="P652" s="8"/>
      <c r="Q652" s="8"/>
      <c r="R652" s="8"/>
      <c r="S652" s="789"/>
      <c r="T652" s="789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  <c r="BL652" s="8"/>
      <c r="BM652" s="8"/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</row>
    <row r="653" spans="1:93" ht="15.75" customHeight="1">
      <c r="A653" s="8"/>
      <c r="B653" s="8"/>
      <c r="C653" s="8"/>
      <c r="D653" s="8"/>
      <c r="E653" s="8"/>
      <c r="F653" s="8"/>
      <c r="G653" s="789"/>
      <c r="H653" s="789"/>
      <c r="I653" s="789"/>
      <c r="J653" s="790"/>
      <c r="K653" s="789"/>
      <c r="L653" s="789"/>
      <c r="M653" s="789"/>
      <c r="N653" s="789"/>
      <c r="O653" s="8"/>
      <c r="P653" s="8"/>
      <c r="Q653" s="8"/>
      <c r="R653" s="8"/>
      <c r="S653" s="789"/>
      <c r="T653" s="789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  <c r="BL653" s="8"/>
      <c r="BM653" s="8"/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</row>
    <row r="654" spans="1:93" ht="15.75" customHeight="1">
      <c r="A654" s="8"/>
      <c r="B654" s="8"/>
      <c r="C654" s="8"/>
      <c r="D654" s="8"/>
      <c r="E654" s="8"/>
      <c r="F654" s="8"/>
      <c r="G654" s="789"/>
      <c r="H654" s="789"/>
      <c r="I654" s="789"/>
      <c r="J654" s="790"/>
      <c r="K654" s="789"/>
      <c r="L654" s="789"/>
      <c r="M654" s="789"/>
      <c r="N654" s="789"/>
      <c r="O654" s="8"/>
      <c r="P654" s="8"/>
      <c r="Q654" s="8"/>
      <c r="R654" s="8"/>
      <c r="S654" s="789"/>
      <c r="T654" s="789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  <c r="BL654" s="8"/>
      <c r="BM654" s="8"/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</row>
    <row r="655" spans="1:93" ht="15.75" customHeight="1">
      <c r="A655" s="8"/>
      <c r="B655" s="8"/>
      <c r="C655" s="8"/>
      <c r="D655" s="8"/>
      <c r="E655" s="8"/>
      <c r="F655" s="8"/>
      <c r="G655" s="789"/>
      <c r="H655" s="789"/>
      <c r="I655" s="789"/>
      <c r="J655" s="790"/>
      <c r="K655" s="789"/>
      <c r="L655" s="789"/>
      <c r="M655" s="789"/>
      <c r="N655" s="789"/>
      <c r="O655" s="8"/>
      <c r="P655" s="8"/>
      <c r="Q655" s="8"/>
      <c r="R655" s="8"/>
      <c r="S655" s="789"/>
      <c r="T655" s="789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  <c r="BL655" s="8"/>
      <c r="BM655" s="8"/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</row>
    <row r="656" spans="1:93" ht="15.75" customHeight="1">
      <c r="A656" s="8"/>
      <c r="B656" s="8"/>
      <c r="C656" s="8"/>
      <c r="D656" s="8"/>
      <c r="E656" s="8"/>
      <c r="F656" s="8"/>
      <c r="G656" s="789"/>
      <c r="H656" s="789"/>
      <c r="I656" s="789"/>
      <c r="J656" s="790"/>
      <c r="K656" s="789"/>
      <c r="L656" s="789"/>
      <c r="M656" s="789"/>
      <c r="N656" s="789"/>
      <c r="O656" s="8"/>
      <c r="P656" s="8"/>
      <c r="Q656" s="8"/>
      <c r="R656" s="8"/>
      <c r="S656" s="789"/>
      <c r="T656" s="789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  <c r="BL656" s="8"/>
      <c r="BM656" s="8"/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</row>
    <row r="657" spans="1:93" ht="15.75" customHeight="1">
      <c r="A657" s="8"/>
      <c r="B657" s="8"/>
      <c r="C657" s="8"/>
      <c r="D657" s="8"/>
      <c r="E657" s="8"/>
      <c r="F657" s="8"/>
      <c r="G657" s="789"/>
      <c r="H657" s="789"/>
      <c r="I657" s="789"/>
      <c r="J657" s="790"/>
      <c r="K657" s="789"/>
      <c r="L657" s="789"/>
      <c r="M657" s="789"/>
      <c r="N657" s="789"/>
      <c r="O657" s="8"/>
      <c r="P657" s="8"/>
      <c r="Q657" s="8"/>
      <c r="R657" s="8"/>
      <c r="S657" s="789"/>
      <c r="T657" s="789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  <c r="BL657" s="8"/>
      <c r="BM657" s="8"/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</row>
    <row r="658" spans="1:93" ht="15.75" customHeight="1">
      <c r="A658" s="8"/>
      <c r="B658" s="8"/>
      <c r="C658" s="8"/>
      <c r="D658" s="8"/>
      <c r="E658" s="8"/>
      <c r="F658" s="8"/>
      <c r="G658" s="789"/>
      <c r="H658" s="789"/>
      <c r="I658" s="789"/>
      <c r="J658" s="790"/>
      <c r="K658" s="789"/>
      <c r="L658" s="789"/>
      <c r="M658" s="789"/>
      <c r="N658" s="789"/>
      <c r="O658" s="8"/>
      <c r="P658" s="8"/>
      <c r="Q658" s="8"/>
      <c r="R658" s="8"/>
      <c r="S658" s="789"/>
      <c r="T658" s="789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  <c r="BL658" s="8"/>
      <c r="BM658" s="8"/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</row>
    <row r="659" spans="1:93" ht="15.75" customHeight="1">
      <c r="A659" s="8"/>
      <c r="B659" s="8"/>
      <c r="C659" s="8"/>
      <c r="D659" s="8"/>
      <c r="E659" s="8"/>
      <c r="F659" s="8"/>
      <c r="G659" s="789"/>
      <c r="H659" s="789"/>
      <c r="I659" s="789"/>
      <c r="J659" s="790"/>
      <c r="K659" s="789"/>
      <c r="L659" s="789"/>
      <c r="M659" s="789"/>
      <c r="N659" s="789"/>
      <c r="O659" s="8"/>
      <c r="P659" s="8"/>
      <c r="Q659" s="8"/>
      <c r="R659" s="8"/>
      <c r="S659" s="789"/>
      <c r="T659" s="789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  <c r="BL659" s="8"/>
      <c r="BM659" s="8"/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</row>
    <row r="660" spans="1:93" ht="15.75" customHeight="1">
      <c r="A660" s="8"/>
      <c r="B660" s="8"/>
      <c r="C660" s="8"/>
      <c r="D660" s="8"/>
      <c r="E660" s="8"/>
      <c r="F660" s="8"/>
      <c r="G660" s="789"/>
      <c r="H660" s="789"/>
      <c r="I660" s="789"/>
      <c r="J660" s="790"/>
      <c r="K660" s="789"/>
      <c r="L660" s="789"/>
      <c r="M660" s="789"/>
      <c r="N660" s="789"/>
      <c r="O660" s="8"/>
      <c r="P660" s="8"/>
      <c r="Q660" s="8"/>
      <c r="R660" s="8"/>
      <c r="S660" s="789"/>
      <c r="T660" s="789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  <c r="BL660" s="8"/>
      <c r="BM660" s="8"/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</row>
    <row r="661" spans="1:93" ht="15.75" customHeight="1">
      <c r="A661" s="8"/>
      <c r="B661" s="8"/>
      <c r="C661" s="8"/>
      <c r="D661" s="8"/>
      <c r="E661" s="8"/>
      <c r="F661" s="8"/>
      <c r="G661" s="789"/>
      <c r="H661" s="789"/>
      <c r="I661" s="789"/>
      <c r="J661" s="790"/>
      <c r="K661" s="789"/>
      <c r="L661" s="789"/>
      <c r="M661" s="789"/>
      <c r="N661" s="789"/>
      <c r="O661" s="8"/>
      <c r="P661" s="8"/>
      <c r="Q661" s="8"/>
      <c r="R661" s="8"/>
      <c r="S661" s="789"/>
      <c r="T661" s="789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  <c r="BL661" s="8"/>
      <c r="BM661" s="8"/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</row>
    <row r="662" spans="1:93" ht="15.75" customHeight="1">
      <c r="A662" s="8"/>
      <c r="B662" s="8"/>
      <c r="C662" s="8"/>
      <c r="D662" s="8"/>
      <c r="E662" s="8"/>
      <c r="F662" s="8"/>
      <c r="G662" s="789"/>
      <c r="H662" s="789"/>
      <c r="I662" s="789"/>
      <c r="J662" s="790"/>
      <c r="K662" s="789"/>
      <c r="L662" s="789"/>
      <c r="M662" s="789"/>
      <c r="N662" s="789"/>
      <c r="O662" s="8"/>
      <c r="P662" s="8"/>
      <c r="Q662" s="8"/>
      <c r="R662" s="8"/>
      <c r="S662" s="789"/>
      <c r="T662" s="789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  <c r="BL662" s="8"/>
      <c r="BM662" s="8"/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</row>
    <row r="663" spans="1:93" ht="15.75" customHeight="1">
      <c r="A663" s="8"/>
      <c r="B663" s="8"/>
      <c r="C663" s="8"/>
      <c r="D663" s="8"/>
      <c r="E663" s="8"/>
      <c r="F663" s="8"/>
      <c r="G663" s="789"/>
      <c r="H663" s="789"/>
      <c r="I663" s="789"/>
      <c r="J663" s="790"/>
      <c r="K663" s="789"/>
      <c r="L663" s="789"/>
      <c r="M663" s="789"/>
      <c r="N663" s="789"/>
      <c r="O663" s="8"/>
      <c r="P663" s="8"/>
      <c r="Q663" s="8"/>
      <c r="R663" s="8"/>
      <c r="S663" s="789"/>
      <c r="T663" s="789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  <c r="BL663" s="8"/>
      <c r="BM663" s="8"/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</row>
    <row r="664" spans="1:93" ht="15.75" customHeight="1">
      <c r="A664" s="8"/>
      <c r="B664" s="8"/>
      <c r="C664" s="8"/>
      <c r="D664" s="8"/>
      <c r="E664" s="8"/>
      <c r="F664" s="8"/>
      <c r="G664" s="789"/>
      <c r="H664" s="789"/>
      <c r="I664" s="789"/>
      <c r="J664" s="790"/>
      <c r="K664" s="789"/>
      <c r="L664" s="789"/>
      <c r="M664" s="789"/>
      <c r="N664" s="789"/>
      <c r="O664" s="8"/>
      <c r="P664" s="8"/>
      <c r="Q664" s="8"/>
      <c r="R664" s="8"/>
      <c r="S664" s="789"/>
      <c r="T664" s="789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  <c r="BL664" s="8"/>
      <c r="BM664" s="8"/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</row>
    <row r="665" spans="1:93" ht="15.75" customHeight="1">
      <c r="A665" s="8"/>
      <c r="B665" s="8"/>
      <c r="C665" s="8"/>
      <c r="D665" s="8"/>
      <c r="E665" s="8"/>
      <c r="F665" s="8"/>
      <c r="G665" s="789"/>
      <c r="H665" s="789"/>
      <c r="I665" s="789"/>
      <c r="J665" s="790"/>
      <c r="K665" s="789"/>
      <c r="L665" s="789"/>
      <c r="M665" s="789"/>
      <c r="N665" s="789"/>
      <c r="O665" s="8"/>
      <c r="P665" s="8"/>
      <c r="Q665" s="8"/>
      <c r="R665" s="8"/>
      <c r="S665" s="789"/>
      <c r="T665" s="789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  <c r="BL665" s="8"/>
      <c r="BM665" s="8"/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</row>
    <row r="666" spans="1:93" ht="15.75" customHeight="1">
      <c r="A666" s="8"/>
      <c r="B666" s="8"/>
      <c r="C666" s="8"/>
      <c r="D666" s="8"/>
      <c r="E666" s="8"/>
      <c r="F666" s="8"/>
      <c r="G666" s="789"/>
      <c r="H666" s="789"/>
      <c r="I666" s="789"/>
      <c r="J666" s="790"/>
      <c r="K666" s="789"/>
      <c r="L666" s="789"/>
      <c r="M666" s="789"/>
      <c r="N666" s="789"/>
      <c r="O666" s="8"/>
      <c r="P666" s="8"/>
      <c r="Q666" s="8"/>
      <c r="R666" s="8"/>
      <c r="S666" s="789"/>
      <c r="T666" s="789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  <c r="BL666" s="8"/>
      <c r="BM666" s="8"/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</row>
    <row r="667" spans="1:93" ht="15.75" customHeight="1">
      <c r="A667" s="8"/>
      <c r="B667" s="8"/>
      <c r="C667" s="8"/>
      <c r="D667" s="8"/>
      <c r="E667" s="8"/>
      <c r="F667" s="8"/>
      <c r="G667" s="789"/>
      <c r="H667" s="789"/>
      <c r="I667" s="789"/>
      <c r="J667" s="790"/>
      <c r="K667" s="789"/>
      <c r="L667" s="789"/>
      <c r="M667" s="789"/>
      <c r="N667" s="789"/>
      <c r="O667" s="8"/>
      <c r="P667" s="8"/>
      <c r="Q667" s="8"/>
      <c r="R667" s="8"/>
      <c r="S667" s="789"/>
      <c r="T667" s="789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  <c r="BL667" s="8"/>
      <c r="BM667" s="8"/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</row>
    <row r="668" spans="1:93" ht="15.75" customHeight="1">
      <c r="A668" s="8"/>
      <c r="B668" s="8"/>
      <c r="C668" s="8"/>
      <c r="D668" s="8"/>
      <c r="E668" s="8"/>
      <c r="F668" s="8"/>
      <c r="G668" s="789"/>
      <c r="H668" s="789"/>
      <c r="I668" s="789"/>
      <c r="J668" s="790"/>
      <c r="K668" s="789"/>
      <c r="L668" s="789"/>
      <c r="M668" s="789"/>
      <c r="N668" s="789"/>
      <c r="O668" s="8"/>
      <c r="P668" s="8"/>
      <c r="Q668" s="8"/>
      <c r="R668" s="8"/>
      <c r="S668" s="789"/>
      <c r="T668" s="789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  <c r="BL668" s="8"/>
      <c r="BM668" s="8"/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</row>
    <row r="669" spans="1:93" ht="15.75" customHeight="1">
      <c r="A669" s="8"/>
      <c r="B669" s="8"/>
      <c r="C669" s="8"/>
      <c r="D669" s="8"/>
      <c r="E669" s="8"/>
      <c r="F669" s="8"/>
      <c r="G669" s="789"/>
      <c r="H669" s="789"/>
      <c r="I669" s="789"/>
      <c r="J669" s="790"/>
      <c r="K669" s="789"/>
      <c r="L669" s="789"/>
      <c r="M669" s="789"/>
      <c r="N669" s="789"/>
      <c r="O669" s="8"/>
      <c r="P669" s="8"/>
      <c r="Q669" s="8"/>
      <c r="R669" s="8"/>
      <c r="S669" s="789"/>
      <c r="T669" s="789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  <c r="BL669" s="8"/>
      <c r="BM669" s="8"/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</row>
    <row r="670" spans="1:93" ht="15.75" customHeight="1">
      <c r="A670" s="8"/>
      <c r="B670" s="8"/>
      <c r="C670" s="8"/>
      <c r="D670" s="8"/>
      <c r="E670" s="8"/>
      <c r="F670" s="8"/>
      <c r="G670" s="789"/>
      <c r="H670" s="789"/>
      <c r="I670" s="789"/>
      <c r="J670" s="790"/>
      <c r="K670" s="789"/>
      <c r="L670" s="789"/>
      <c r="M670" s="789"/>
      <c r="N670" s="789"/>
      <c r="O670" s="8"/>
      <c r="P670" s="8"/>
      <c r="Q670" s="8"/>
      <c r="R670" s="8"/>
      <c r="S670" s="789"/>
      <c r="T670" s="789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  <c r="BL670" s="8"/>
      <c r="BM670" s="8"/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</row>
    <row r="671" spans="1:93" ht="15.75" customHeight="1">
      <c r="A671" s="8"/>
      <c r="B671" s="8"/>
      <c r="C671" s="8"/>
      <c r="D671" s="8"/>
      <c r="E671" s="8"/>
      <c r="F671" s="8"/>
      <c r="G671" s="789"/>
      <c r="H671" s="789"/>
      <c r="I671" s="789"/>
      <c r="J671" s="790"/>
      <c r="K671" s="789"/>
      <c r="L671" s="789"/>
      <c r="M671" s="789"/>
      <c r="N671" s="789"/>
      <c r="O671" s="8"/>
      <c r="P671" s="8"/>
      <c r="Q671" s="8"/>
      <c r="R671" s="8"/>
      <c r="S671" s="789"/>
      <c r="T671" s="789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  <c r="BL671" s="8"/>
      <c r="BM671" s="8"/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</row>
    <row r="672" spans="1:93" ht="15.75" customHeight="1">
      <c r="A672" s="8"/>
      <c r="B672" s="8"/>
      <c r="C672" s="8"/>
      <c r="D672" s="8"/>
      <c r="E672" s="8"/>
      <c r="F672" s="8"/>
      <c r="G672" s="789"/>
      <c r="H672" s="789"/>
      <c r="I672" s="789"/>
      <c r="J672" s="790"/>
      <c r="K672" s="789"/>
      <c r="L672" s="789"/>
      <c r="M672" s="789"/>
      <c r="N672" s="789"/>
      <c r="O672" s="8"/>
      <c r="P672" s="8"/>
      <c r="Q672" s="8"/>
      <c r="R672" s="8"/>
      <c r="S672" s="789"/>
      <c r="T672" s="789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  <c r="BL672" s="8"/>
      <c r="BM672" s="8"/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</row>
    <row r="673" spans="1:93" ht="15.75" customHeight="1">
      <c r="A673" s="8"/>
      <c r="B673" s="8"/>
      <c r="C673" s="8"/>
      <c r="D673" s="8"/>
      <c r="E673" s="8"/>
      <c r="F673" s="8"/>
      <c r="G673" s="789"/>
      <c r="H673" s="789"/>
      <c r="I673" s="789"/>
      <c r="J673" s="790"/>
      <c r="K673" s="789"/>
      <c r="L673" s="789"/>
      <c r="M673" s="789"/>
      <c r="N673" s="789"/>
      <c r="O673" s="8"/>
      <c r="P673" s="8"/>
      <c r="Q673" s="8"/>
      <c r="R673" s="8"/>
      <c r="S673" s="789"/>
      <c r="T673" s="789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  <c r="BL673" s="8"/>
      <c r="BM673" s="8"/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</row>
    <row r="674" spans="1:93" ht="15.75" customHeight="1">
      <c r="A674" s="8"/>
      <c r="B674" s="8"/>
      <c r="C674" s="8"/>
      <c r="D674" s="8"/>
      <c r="E674" s="8"/>
      <c r="F674" s="8"/>
      <c r="G674" s="789"/>
      <c r="H674" s="789"/>
      <c r="I674" s="789"/>
      <c r="J674" s="790"/>
      <c r="K674" s="789"/>
      <c r="L674" s="789"/>
      <c r="M674" s="789"/>
      <c r="N674" s="789"/>
      <c r="O674" s="8"/>
      <c r="P674" s="8"/>
      <c r="Q674" s="8"/>
      <c r="R674" s="8"/>
      <c r="S674" s="789"/>
      <c r="T674" s="789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  <c r="BL674" s="8"/>
      <c r="BM674" s="8"/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</row>
    <row r="675" spans="1:93" ht="15.75" customHeight="1">
      <c r="A675" s="8"/>
      <c r="B675" s="8"/>
      <c r="C675" s="8"/>
      <c r="D675" s="8"/>
      <c r="E675" s="8"/>
      <c r="F675" s="8"/>
      <c r="G675" s="789"/>
      <c r="H675" s="789"/>
      <c r="I675" s="789"/>
      <c r="J675" s="790"/>
      <c r="K675" s="789"/>
      <c r="L675" s="789"/>
      <c r="M675" s="789"/>
      <c r="N675" s="789"/>
      <c r="O675" s="8"/>
      <c r="P675" s="8"/>
      <c r="Q675" s="8"/>
      <c r="R675" s="8"/>
      <c r="S675" s="789"/>
      <c r="T675" s="789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  <c r="BL675" s="8"/>
      <c r="BM675" s="8"/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</row>
    <row r="676" spans="1:93" ht="15.75" customHeight="1">
      <c r="A676" s="8"/>
      <c r="B676" s="8"/>
      <c r="C676" s="8"/>
      <c r="D676" s="8"/>
      <c r="E676" s="8"/>
      <c r="F676" s="8"/>
      <c r="G676" s="789"/>
      <c r="H676" s="789"/>
      <c r="I676" s="789"/>
      <c r="J676" s="790"/>
      <c r="K676" s="789"/>
      <c r="L676" s="789"/>
      <c r="M676" s="789"/>
      <c r="N676" s="789"/>
      <c r="O676" s="8"/>
      <c r="P676" s="8"/>
      <c r="Q676" s="8"/>
      <c r="R676" s="8"/>
      <c r="S676" s="789"/>
      <c r="T676" s="789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  <c r="BL676" s="8"/>
      <c r="BM676" s="8"/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</row>
    <row r="677" spans="1:93" ht="15.75" customHeight="1">
      <c r="A677" s="8"/>
      <c r="B677" s="8"/>
      <c r="C677" s="8"/>
      <c r="D677" s="8"/>
      <c r="E677" s="8"/>
      <c r="F677" s="8"/>
      <c r="G677" s="789"/>
      <c r="H677" s="789"/>
      <c r="I677" s="789"/>
      <c r="J677" s="790"/>
      <c r="K677" s="789"/>
      <c r="L677" s="789"/>
      <c r="M677" s="789"/>
      <c r="N677" s="789"/>
      <c r="O677" s="8"/>
      <c r="P677" s="8"/>
      <c r="Q677" s="8"/>
      <c r="R677" s="8"/>
      <c r="S677" s="789"/>
      <c r="T677" s="789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  <c r="BL677" s="8"/>
      <c r="BM677" s="8"/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</row>
    <row r="678" spans="1:93" ht="15.75" customHeight="1">
      <c r="A678" s="8"/>
      <c r="B678" s="8"/>
      <c r="C678" s="8"/>
      <c r="D678" s="8"/>
      <c r="E678" s="8"/>
      <c r="F678" s="8"/>
      <c r="G678" s="789"/>
      <c r="H678" s="789"/>
      <c r="I678" s="789"/>
      <c r="J678" s="790"/>
      <c r="K678" s="789"/>
      <c r="L678" s="789"/>
      <c r="M678" s="789"/>
      <c r="N678" s="789"/>
      <c r="O678" s="8"/>
      <c r="P678" s="8"/>
      <c r="Q678" s="8"/>
      <c r="R678" s="8"/>
      <c r="S678" s="789"/>
      <c r="T678" s="789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  <c r="BL678" s="8"/>
      <c r="BM678" s="8"/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</row>
    <row r="679" spans="1:93" ht="15.75" customHeight="1">
      <c r="A679" s="8"/>
      <c r="B679" s="8"/>
      <c r="C679" s="8"/>
      <c r="D679" s="8"/>
      <c r="E679" s="8"/>
      <c r="F679" s="8"/>
      <c r="G679" s="789"/>
      <c r="H679" s="789"/>
      <c r="I679" s="789"/>
      <c r="J679" s="790"/>
      <c r="K679" s="789"/>
      <c r="L679" s="789"/>
      <c r="M679" s="789"/>
      <c r="N679" s="789"/>
      <c r="O679" s="8"/>
      <c r="P679" s="8"/>
      <c r="Q679" s="8"/>
      <c r="R679" s="8"/>
      <c r="S679" s="789"/>
      <c r="T679" s="789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  <c r="BL679" s="8"/>
      <c r="BM679" s="8"/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</row>
    <row r="680" spans="1:93" ht="15.75" customHeight="1">
      <c r="A680" s="8"/>
      <c r="B680" s="8"/>
      <c r="C680" s="8"/>
      <c r="D680" s="8"/>
      <c r="E680" s="8"/>
      <c r="F680" s="8"/>
      <c r="G680" s="789"/>
      <c r="H680" s="789"/>
      <c r="I680" s="789"/>
      <c r="J680" s="790"/>
      <c r="K680" s="789"/>
      <c r="L680" s="789"/>
      <c r="M680" s="789"/>
      <c r="N680" s="789"/>
      <c r="O680" s="8"/>
      <c r="P680" s="8"/>
      <c r="Q680" s="8"/>
      <c r="R680" s="8"/>
      <c r="S680" s="789"/>
      <c r="T680" s="789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  <c r="BL680" s="8"/>
      <c r="BM680" s="8"/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</row>
    <row r="681" spans="1:93" ht="15.75" customHeight="1">
      <c r="A681" s="8"/>
      <c r="B681" s="8"/>
      <c r="C681" s="8"/>
      <c r="D681" s="8"/>
      <c r="E681" s="8"/>
      <c r="F681" s="8"/>
      <c r="G681" s="789"/>
      <c r="H681" s="789"/>
      <c r="I681" s="789"/>
      <c r="J681" s="790"/>
      <c r="K681" s="789"/>
      <c r="L681" s="789"/>
      <c r="M681" s="789"/>
      <c r="N681" s="789"/>
      <c r="O681" s="8"/>
      <c r="P681" s="8"/>
      <c r="Q681" s="8"/>
      <c r="R681" s="8"/>
      <c r="S681" s="789"/>
      <c r="T681" s="789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  <c r="BL681" s="8"/>
      <c r="BM681" s="8"/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</row>
    <row r="682" spans="1:93" ht="15.75" customHeight="1">
      <c r="A682" s="8"/>
      <c r="B682" s="8"/>
      <c r="C682" s="8"/>
      <c r="D682" s="8"/>
      <c r="E682" s="8"/>
      <c r="F682" s="8"/>
      <c r="G682" s="789"/>
      <c r="H682" s="789"/>
      <c r="I682" s="789"/>
      <c r="J682" s="790"/>
      <c r="K682" s="789"/>
      <c r="L682" s="789"/>
      <c r="M682" s="789"/>
      <c r="N682" s="789"/>
      <c r="O682" s="8"/>
      <c r="P682" s="8"/>
      <c r="Q682" s="8"/>
      <c r="R682" s="8"/>
      <c r="S682" s="789"/>
      <c r="T682" s="789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  <c r="BL682" s="8"/>
      <c r="BM682" s="8"/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</row>
    <row r="683" spans="1:93" ht="15.75" customHeight="1">
      <c r="A683" s="8"/>
      <c r="B683" s="8"/>
      <c r="C683" s="8"/>
      <c r="D683" s="8"/>
      <c r="E683" s="8"/>
      <c r="F683" s="8"/>
      <c r="G683" s="789"/>
      <c r="H683" s="789"/>
      <c r="I683" s="789"/>
      <c r="J683" s="790"/>
      <c r="K683" s="789"/>
      <c r="L683" s="789"/>
      <c r="M683" s="789"/>
      <c r="N683" s="789"/>
      <c r="O683" s="8"/>
      <c r="P683" s="8"/>
      <c r="Q683" s="8"/>
      <c r="R683" s="8"/>
      <c r="S683" s="789"/>
      <c r="T683" s="789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  <c r="BL683" s="8"/>
      <c r="BM683" s="8"/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</row>
    <row r="684" spans="1:93" ht="15.75" customHeight="1">
      <c r="A684" s="8"/>
      <c r="B684" s="8"/>
      <c r="C684" s="8"/>
      <c r="D684" s="8"/>
      <c r="E684" s="8"/>
      <c r="F684" s="8"/>
      <c r="G684" s="789"/>
      <c r="H684" s="789"/>
      <c r="I684" s="789"/>
      <c r="J684" s="790"/>
      <c r="K684" s="789"/>
      <c r="L684" s="789"/>
      <c r="M684" s="789"/>
      <c r="N684" s="789"/>
      <c r="O684" s="8"/>
      <c r="P684" s="8"/>
      <c r="Q684" s="8"/>
      <c r="R684" s="8"/>
      <c r="S684" s="789"/>
      <c r="T684" s="789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  <c r="BL684" s="8"/>
      <c r="BM684" s="8"/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</row>
    <row r="685" spans="1:93" ht="15.75" customHeight="1">
      <c r="A685" s="8"/>
      <c r="B685" s="8"/>
      <c r="C685" s="8"/>
      <c r="D685" s="8"/>
      <c r="E685" s="8"/>
      <c r="F685" s="8"/>
      <c r="G685" s="789"/>
      <c r="H685" s="789"/>
      <c r="I685" s="789"/>
      <c r="J685" s="790"/>
      <c r="K685" s="789"/>
      <c r="L685" s="789"/>
      <c r="M685" s="789"/>
      <c r="N685" s="789"/>
      <c r="O685" s="8"/>
      <c r="P685" s="8"/>
      <c r="Q685" s="8"/>
      <c r="R685" s="8"/>
      <c r="S685" s="789"/>
      <c r="T685" s="789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  <c r="BL685" s="8"/>
      <c r="BM685" s="8"/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</row>
    <row r="686" spans="1:93" ht="15.75" customHeight="1">
      <c r="A686" s="8"/>
      <c r="B686" s="8"/>
      <c r="C686" s="8"/>
      <c r="D686" s="8"/>
      <c r="E686" s="8"/>
      <c r="F686" s="8"/>
      <c r="G686" s="789"/>
      <c r="H686" s="789"/>
      <c r="I686" s="789"/>
      <c r="J686" s="790"/>
      <c r="K686" s="789"/>
      <c r="L686" s="789"/>
      <c r="M686" s="789"/>
      <c r="N686" s="789"/>
      <c r="O686" s="8"/>
      <c r="P686" s="8"/>
      <c r="Q686" s="8"/>
      <c r="R686" s="8"/>
      <c r="S686" s="789"/>
      <c r="T686" s="789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  <c r="BL686" s="8"/>
      <c r="BM686" s="8"/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</row>
    <row r="687" spans="1:93" ht="15.75" customHeight="1">
      <c r="A687" s="8"/>
      <c r="B687" s="8"/>
      <c r="C687" s="8"/>
      <c r="D687" s="8"/>
      <c r="E687" s="8"/>
      <c r="F687" s="8"/>
      <c r="G687" s="789"/>
      <c r="H687" s="789"/>
      <c r="I687" s="789"/>
      <c r="J687" s="790"/>
      <c r="K687" s="789"/>
      <c r="L687" s="789"/>
      <c r="M687" s="789"/>
      <c r="N687" s="789"/>
      <c r="O687" s="8"/>
      <c r="P687" s="8"/>
      <c r="Q687" s="8"/>
      <c r="R687" s="8"/>
      <c r="S687" s="789"/>
      <c r="T687" s="789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  <c r="BL687" s="8"/>
      <c r="BM687" s="8"/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</row>
    <row r="688" spans="1:93" ht="15.75" customHeight="1">
      <c r="A688" s="8"/>
      <c r="B688" s="8"/>
      <c r="C688" s="8"/>
      <c r="D688" s="8"/>
      <c r="E688" s="8"/>
      <c r="F688" s="8"/>
      <c r="G688" s="789"/>
      <c r="H688" s="789"/>
      <c r="I688" s="789"/>
      <c r="J688" s="790"/>
      <c r="K688" s="789"/>
      <c r="L688" s="789"/>
      <c r="M688" s="789"/>
      <c r="N688" s="789"/>
      <c r="O688" s="8"/>
      <c r="P688" s="8"/>
      <c r="Q688" s="8"/>
      <c r="R688" s="8"/>
      <c r="S688" s="789"/>
      <c r="T688" s="789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  <c r="BL688" s="8"/>
      <c r="BM688" s="8"/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</row>
    <row r="689" spans="1:93" ht="15.75" customHeight="1">
      <c r="A689" s="8"/>
      <c r="B689" s="8"/>
      <c r="C689" s="8"/>
      <c r="D689" s="8"/>
      <c r="E689" s="8"/>
      <c r="F689" s="8"/>
      <c r="G689" s="789"/>
      <c r="H689" s="789"/>
      <c r="I689" s="789"/>
      <c r="J689" s="790"/>
      <c r="K689" s="789"/>
      <c r="L689" s="789"/>
      <c r="M689" s="789"/>
      <c r="N689" s="789"/>
      <c r="O689" s="8"/>
      <c r="P689" s="8"/>
      <c r="Q689" s="8"/>
      <c r="R689" s="8"/>
      <c r="S689" s="789"/>
      <c r="T689" s="789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  <c r="BL689" s="8"/>
      <c r="BM689" s="8"/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</row>
    <row r="690" spans="1:93" ht="15.75" customHeight="1">
      <c r="A690" s="8"/>
      <c r="B690" s="8"/>
      <c r="C690" s="8"/>
      <c r="D690" s="8"/>
      <c r="E690" s="8"/>
      <c r="F690" s="8"/>
      <c r="G690" s="789"/>
      <c r="H690" s="789"/>
      <c r="I690" s="789"/>
      <c r="J690" s="790"/>
      <c r="K690" s="789"/>
      <c r="L690" s="789"/>
      <c r="M690" s="789"/>
      <c r="N690" s="789"/>
      <c r="O690" s="8"/>
      <c r="P690" s="8"/>
      <c r="Q690" s="8"/>
      <c r="R690" s="8"/>
      <c r="S690" s="789"/>
      <c r="T690" s="789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  <c r="BL690" s="8"/>
      <c r="BM690" s="8"/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</row>
    <row r="691" spans="1:93" ht="15.75" customHeight="1">
      <c r="A691" s="8"/>
      <c r="B691" s="8"/>
      <c r="C691" s="8"/>
      <c r="D691" s="8"/>
      <c r="E691" s="8"/>
      <c r="F691" s="8"/>
      <c r="G691" s="789"/>
      <c r="H691" s="789"/>
      <c r="I691" s="789"/>
      <c r="J691" s="790"/>
      <c r="K691" s="789"/>
      <c r="L691" s="789"/>
      <c r="M691" s="789"/>
      <c r="N691" s="789"/>
      <c r="O691" s="8"/>
      <c r="P691" s="8"/>
      <c r="Q691" s="8"/>
      <c r="R691" s="8"/>
      <c r="S691" s="789"/>
      <c r="T691" s="789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  <c r="BL691" s="8"/>
      <c r="BM691" s="8"/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</row>
    <row r="692" spans="1:93" ht="15.75" customHeight="1">
      <c r="A692" s="8"/>
      <c r="B692" s="8"/>
      <c r="C692" s="8"/>
      <c r="D692" s="8"/>
      <c r="E692" s="8"/>
      <c r="F692" s="8"/>
      <c r="G692" s="789"/>
      <c r="H692" s="789"/>
      <c r="I692" s="789"/>
      <c r="J692" s="790"/>
      <c r="K692" s="789"/>
      <c r="L692" s="789"/>
      <c r="M692" s="789"/>
      <c r="N692" s="789"/>
      <c r="O692" s="8"/>
      <c r="P692" s="8"/>
      <c r="Q692" s="8"/>
      <c r="R692" s="8"/>
      <c r="S692" s="789"/>
      <c r="T692" s="789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  <c r="BL692" s="8"/>
      <c r="BM692" s="8"/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</row>
    <row r="693" spans="1:93" ht="15.75" customHeight="1">
      <c r="A693" s="8"/>
      <c r="B693" s="8"/>
      <c r="C693" s="8"/>
      <c r="D693" s="8"/>
      <c r="E693" s="8"/>
      <c r="F693" s="8"/>
      <c r="G693" s="789"/>
      <c r="H693" s="789"/>
      <c r="I693" s="789"/>
      <c r="J693" s="790"/>
      <c r="K693" s="789"/>
      <c r="L693" s="789"/>
      <c r="M693" s="789"/>
      <c r="N693" s="789"/>
      <c r="O693" s="8"/>
      <c r="P693" s="8"/>
      <c r="Q693" s="8"/>
      <c r="R693" s="8"/>
      <c r="S693" s="789"/>
      <c r="T693" s="789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  <c r="BL693" s="8"/>
      <c r="BM693" s="8"/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</row>
    <row r="694" spans="1:93" ht="15.75" customHeight="1">
      <c r="A694" s="8"/>
      <c r="B694" s="8"/>
      <c r="C694" s="8"/>
      <c r="D694" s="8"/>
      <c r="E694" s="8"/>
      <c r="F694" s="8"/>
      <c r="G694" s="789"/>
      <c r="H694" s="789"/>
      <c r="I694" s="789"/>
      <c r="J694" s="790"/>
      <c r="K694" s="789"/>
      <c r="L694" s="789"/>
      <c r="M694" s="789"/>
      <c r="N694" s="789"/>
      <c r="O694" s="8"/>
      <c r="P694" s="8"/>
      <c r="Q694" s="8"/>
      <c r="R694" s="8"/>
      <c r="S694" s="789"/>
      <c r="T694" s="789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  <c r="BL694" s="8"/>
      <c r="BM694" s="8"/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</row>
    <row r="695" spans="1:93" ht="15.75" customHeight="1">
      <c r="A695" s="8"/>
      <c r="B695" s="8"/>
      <c r="C695" s="8"/>
      <c r="D695" s="8"/>
      <c r="E695" s="8"/>
      <c r="F695" s="8"/>
      <c r="G695" s="789"/>
      <c r="H695" s="789"/>
      <c r="I695" s="789"/>
      <c r="J695" s="790"/>
      <c r="K695" s="789"/>
      <c r="L695" s="789"/>
      <c r="M695" s="789"/>
      <c r="N695" s="789"/>
      <c r="O695" s="8"/>
      <c r="P695" s="8"/>
      <c r="Q695" s="8"/>
      <c r="R695" s="8"/>
      <c r="S695" s="789"/>
      <c r="T695" s="789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  <c r="BL695" s="8"/>
      <c r="BM695" s="8"/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</row>
    <row r="696" spans="1:93" ht="15.75" customHeight="1">
      <c r="A696" s="8"/>
      <c r="B696" s="8"/>
      <c r="C696" s="8"/>
      <c r="D696" s="8"/>
      <c r="E696" s="8"/>
      <c r="F696" s="8"/>
      <c r="G696" s="789"/>
      <c r="H696" s="789"/>
      <c r="I696" s="789"/>
      <c r="J696" s="790"/>
      <c r="K696" s="789"/>
      <c r="L696" s="789"/>
      <c r="M696" s="789"/>
      <c r="N696" s="789"/>
      <c r="O696" s="8"/>
      <c r="P696" s="8"/>
      <c r="Q696" s="8"/>
      <c r="R696" s="8"/>
      <c r="S696" s="789"/>
      <c r="T696" s="789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  <c r="BL696" s="8"/>
      <c r="BM696" s="8"/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</row>
    <row r="697" spans="1:93" ht="15.75" customHeight="1">
      <c r="A697" s="8"/>
      <c r="B697" s="8"/>
      <c r="C697" s="8"/>
      <c r="D697" s="8"/>
      <c r="E697" s="8"/>
      <c r="F697" s="8"/>
      <c r="G697" s="789"/>
      <c r="H697" s="789"/>
      <c r="I697" s="789"/>
      <c r="J697" s="790"/>
      <c r="K697" s="789"/>
      <c r="L697" s="789"/>
      <c r="M697" s="789"/>
      <c r="N697" s="789"/>
      <c r="O697" s="8"/>
      <c r="P697" s="8"/>
      <c r="Q697" s="8"/>
      <c r="R697" s="8"/>
      <c r="S697" s="789"/>
      <c r="T697" s="789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  <c r="BL697" s="8"/>
      <c r="BM697" s="8"/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</row>
    <row r="698" spans="1:93" ht="15.75" customHeight="1">
      <c r="A698" s="8"/>
      <c r="B698" s="8"/>
      <c r="C698" s="8"/>
      <c r="D698" s="8"/>
      <c r="E698" s="8"/>
      <c r="F698" s="8"/>
      <c r="G698" s="789"/>
      <c r="H698" s="789"/>
      <c r="I698" s="789"/>
      <c r="J698" s="790"/>
      <c r="K698" s="789"/>
      <c r="L698" s="789"/>
      <c r="M698" s="789"/>
      <c r="N698" s="789"/>
      <c r="O698" s="8"/>
      <c r="P698" s="8"/>
      <c r="Q698" s="8"/>
      <c r="R698" s="8"/>
      <c r="S698" s="789"/>
      <c r="T698" s="789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  <c r="BL698" s="8"/>
      <c r="BM698" s="8"/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</row>
    <row r="699" spans="1:93" ht="15.75" customHeight="1">
      <c r="A699" s="8"/>
      <c r="B699" s="8"/>
      <c r="C699" s="8"/>
      <c r="D699" s="8"/>
      <c r="E699" s="8"/>
      <c r="F699" s="8"/>
      <c r="G699" s="789"/>
      <c r="H699" s="789"/>
      <c r="I699" s="789"/>
      <c r="J699" s="790"/>
      <c r="K699" s="789"/>
      <c r="L699" s="789"/>
      <c r="M699" s="789"/>
      <c r="N699" s="789"/>
      <c r="O699" s="8"/>
      <c r="P699" s="8"/>
      <c r="Q699" s="8"/>
      <c r="R699" s="8"/>
      <c r="S699" s="789"/>
      <c r="T699" s="789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  <c r="BL699" s="8"/>
      <c r="BM699" s="8"/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</row>
    <row r="700" spans="1:93" ht="15.75" customHeight="1">
      <c r="A700" s="8"/>
      <c r="B700" s="8"/>
      <c r="C700" s="8"/>
      <c r="D700" s="8"/>
      <c r="E700" s="8"/>
      <c r="F700" s="8"/>
      <c r="G700" s="789"/>
      <c r="H700" s="789"/>
      <c r="I700" s="789"/>
      <c r="J700" s="790"/>
      <c r="K700" s="789"/>
      <c r="L700" s="789"/>
      <c r="M700" s="789"/>
      <c r="N700" s="789"/>
      <c r="O700" s="8"/>
      <c r="P700" s="8"/>
      <c r="Q700" s="8"/>
      <c r="R700" s="8"/>
      <c r="S700" s="789"/>
      <c r="T700" s="789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  <c r="BL700" s="8"/>
      <c r="BM700" s="8"/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</row>
    <row r="701" spans="1:93" ht="15.75" customHeight="1">
      <c r="A701" s="8"/>
      <c r="B701" s="8"/>
      <c r="C701" s="8"/>
      <c r="D701" s="8"/>
      <c r="E701" s="8"/>
      <c r="F701" s="8"/>
      <c r="G701" s="789"/>
      <c r="H701" s="789"/>
      <c r="I701" s="789"/>
      <c r="J701" s="790"/>
      <c r="K701" s="789"/>
      <c r="L701" s="789"/>
      <c r="M701" s="789"/>
      <c r="N701" s="789"/>
      <c r="O701" s="8"/>
      <c r="P701" s="8"/>
      <c r="Q701" s="8"/>
      <c r="R701" s="8"/>
      <c r="S701" s="789"/>
      <c r="T701" s="789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  <c r="BL701" s="8"/>
      <c r="BM701" s="8"/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</row>
    <row r="702" spans="1:93" ht="15.75" customHeight="1">
      <c r="A702" s="8"/>
      <c r="B702" s="8"/>
      <c r="C702" s="8"/>
      <c r="D702" s="8"/>
      <c r="E702" s="8"/>
      <c r="F702" s="8"/>
      <c r="G702" s="789"/>
      <c r="H702" s="789"/>
      <c r="I702" s="789"/>
      <c r="J702" s="790"/>
      <c r="K702" s="789"/>
      <c r="L702" s="789"/>
      <c r="M702" s="789"/>
      <c r="N702" s="789"/>
      <c r="O702" s="8"/>
      <c r="P702" s="8"/>
      <c r="Q702" s="8"/>
      <c r="R702" s="8"/>
      <c r="S702" s="789"/>
      <c r="T702" s="789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  <c r="BL702" s="8"/>
      <c r="BM702" s="8"/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</row>
    <row r="703" spans="1:93" ht="15.75" customHeight="1">
      <c r="A703" s="8"/>
      <c r="B703" s="8"/>
      <c r="C703" s="8"/>
      <c r="D703" s="8"/>
      <c r="E703" s="8"/>
      <c r="F703" s="8"/>
      <c r="G703" s="789"/>
      <c r="H703" s="789"/>
      <c r="I703" s="789"/>
      <c r="J703" s="790"/>
      <c r="K703" s="789"/>
      <c r="L703" s="789"/>
      <c r="M703" s="789"/>
      <c r="N703" s="789"/>
      <c r="O703" s="8"/>
      <c r="P703" s="8"/>
      <c r="Q703" s="8"/>
      <c r="R703" s="8"/>
      <c r="S703" s="789"/>
      <c r="T703" s="789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  <c r="BL703" s="8"/>
      <c r="BM703" s="8"/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</row>
    <row r="704" spans="1:93" ht="15.75" customHeight="1">
      <c r="A704" s="8"/>
      <c r="B704" s="8"/>
      <c r="C704" s="8"/>
      <c r="D704" s="8"/>
      <c r="E704" s="8"/>
      <c r="F704" s="8"/>
      <c r="G704" s="789"/>
      <c r="H704" s="789"/>
      <c r="I704" s="789"/>
      <c r="J704" s="790"/>
      <c r="K704" s="789"/>
      <c r="L704" s="789"/>
      <c r="M704" s="789"/>
      <c r="N704" s="789"/>
      <c r="O704" s="8"/>
      <c r="P704" s="8"/>
      <c r="Q704" s="8"/>
      <c r="R704" s="8"/>
      <c r="S704" s="789"/>
      <c r="T704" s="789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  <c r="BL704" s="8"/>
      <c r="BM704" s="8"/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</row>
    <row r="705" spans="1:93" ht="15.75" customHeight="1">
      <c r="A705" s="8"/>
      <c r="B705" s="8"/>
      <c r="C705" s="8"/>
      <c r="D705" s="8"/>
      <c r="E705" s="8"/>
      <c r="F705" s="8"/>
      <c r="G705" s="789"/>
      <c r="H705" s="789"/>
      <c r="I705" s="789"/>
      <c r="J705" s="790"/>
      <c r="K705" s="789"/>
      <c r="L705" s="789"/>
      <c r="M705" s="789"/>
      <c r="N705" s="789"/>
      <c r="O705" s="8"/>
      <c r="P705" s="8"/>
      <c r="Q705" s="8"/>
      <c r="R705" s="8"/>
      <c r="S705" s="789"/>
      <c r="T705" s="789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  <c r="BL705" s="8"/>
      <c r="BM705" s="8"/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</row>
    <row r="706" spans="1:93" ht="15.75" customHeight="1">
      <c r="A706" s="8"/>
      <c r="B706" s="8"/>
      <c r="C706" s="8"/>
      <c r="D706" s="8"/>
      <c r="E706" s="8"/>
      <c r="F706" s="8"/>
      <c r="G706" s="789"/>
      <c r="H706" s="789"/>
      <c r="I706" s="789"/>
      <c r="J706" s="790"/>
      <c r="K706" s="789"/>
      <c r="L706" s="789"/>
      <c r="M706" s="789"/>
      <c r="N706" s="789"/>
      <c r="O706" s="8"/>
      <c r="P706" s="8"/>
      <c r="Q706" s="8"/>
      <c r="R706" s="8"/>
      <c r="S706" s="789"/>
      <c r="T706" s="789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  <c r="BL706" s="8"/>
      <c r="BM706" s="8"/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</row>
    <row r="707" spans="1:93" ht="15.75" customHeight="1">
      <c r="A707" s="8"/>
      <c r="B707" s="8"/>
      <c r="C707" s="8"/>
      <c r="D707" s="8"/>
      <c r="E707" s="8"/>
      <c r="F707" s="8"/>
      <c r="G707" s="789"/>
      <c r="H707" s="789"/>
      <c r="I707" s="789"/>
      <c r="J707" s="790"/>
      <c r="K707" s="789"/>
      <c r="L707" s="789"/>
      <c r="M707" s="789"/>
      <c r="N707" s="789"/>
      <c r="O707" s="8"/>
      <c r="P707" s="8"/>
      <c r="Q707" s="8"/>
      <c r="R707" s="8"/>
      <c r="S707" s="789"/>
      <c r="T707" s="789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  <c r="BL707" s="8"/>
      <c r="BM707" s="8"/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</row>
    <row r="708" spans="1:93" ht="15.75" customHeight="1">
      <c r="A708" s="8"/>
      <c r="B708" s="8"/>
      <c r="C708" s="8"/>
      <c r="D708" s="8"/>
      <c r="E708" s="8"/>
      <c r="F708" s="8"/>
      <c r="G708" s="789"/>
      <c r="H708" s="789"/>
      <c r="I708" s="789"/>
      <c r="J708" s="790"/>
      <c r="K708" s="789"/>
      <c r="L708" s="789"/>
      <c r="M708" s="789"/>
      <c r="N708" s="789"/>
      <c r="O708" s="8"/>
      <c r="P708" s="8"/>
      <c r="Q708" s="8"/>
      <c r="R708" s="8"/>
      <c r="S708" s="789"/>
      <c r="T708" s="789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  <c r="BL708" s="8"/>
      <c r="BM708" s="8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</row>
    <row r="709" spans="1:93" ht="15.75" customHeight="1">
      <c r="A709" s="8"/>
      <c r="B709" s="8"/>
      <c r="C709" s="8"/>
      <c r="D709" s="8"/>
      <c r="E709" s="8"/>
      <c r="F709" s="8"/>
      <c r="G709" s="789"/>
      <c r="H709" s="789"/>
      <c r="I709" s="789"/>
      <c r="J709" s="790"/>
      <c r="K709" s="789"/>
      <c r="L709" s="789"/>
      <c r="M709" s="789"/>
      <c r="N709" s="789"/>
      <c r="O709" s="8"/>
      <c r="P709" s="8"/>
      <c r="Q709" s="8"/>
      <c r="R709" s="8"/>
      <c r="S709" s="789"/>
      <c r="T709" s="789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  <c r="BL709" s="8"/>
      <c r="BM709" s="8"/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</row>
    <row r="710" spans="1:93" ht="15.75" customHeight="1">
      <c r="A710" s="8"/>
      <c r="B710" s="8"/>
      <c r="C710" s="8"/>
      <c r="D710" s="8"/>
      <c r="E710" s="8"/>
      <c r="F710" s="8"/>
      <c r="G710" s="789"/>
      <c r="H710" s="789"/>
      <c r="I710" s="789"/>
      <c r="J710" s="790"/>
      <c r="K710" s="789"/>
      <c r="L710" s="789"/>
      <c r="M710" s="789"/>
      <c r="N710" s="789"/>
      <c r="O710" s="8"/>
      <c r="P710" s="8"/>
      <c r="Q710" s="8"/>
      <c r="R710" s="8"/>
      <c r="S710" s="789"/>
      <c r="T710" s="789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  <c r="BL710" s="8"/>
      <c r="BM710" s="8"/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</row>
    <row r="711" spans="1:93" ht="15.75" customHeight="1">
      <c r="A711" s="8"/>
      <c r="B711" s="8"/>
      <c r="C711" s="8"/>
      <c r="D711" s="8"/>
      <c r="E711" s="8"/>
      <c r="F711" s="8"/>
      <c r="G711" s="789"/>
      <c r="H711" s="789"/>
      <c r="I711" s="789"/>
      <c r="J711" s="790"/>
      <c r="K711" s="789"/>
      <c r="L711" s="789"/>
      <c r="M711" s="789"/>
      <c r="N711" s="789"/>
      <c r="O711" s="8"/>
      <c r="P711" s="8"/>
      <c r="Q711" s="8"/>
      <c r="R711" s="8"/>
      <c r="S711" s="789"/>
      <c r="T711" s="789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  <c r="BL711" s="8"/>
      <c r="BM711" s="8"/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</row>
    <row r="712" spans="1:93" ht="15.75" customHeight="1">
      <c r="A712" s="8"/>
      <c r="B712" s="8"/>
      <c r="C712" s="8"/>
      <c r="D712" s="8"/>
      <c r="E712" s="8"/>
      <c r="F712" s="8"/>
      <c r="G712" s="789"/>
      <c r="H712" s="789"/>
      <c r="I712" s="789"/>
      <c r="J712" s="790"/>
      <c r="K712" s="789"/>
      <c r="L712" s="789"/>
      <c r="M712" s="789"/>
      <c r="N712" s="789"/>
      <c r="O712" s="8"/>
      <c r="P712" s="8"/>
      <c r="Q712" s="8"/>
      <c r="R712" s="8"/>
      <c r="S712" s="789"/>
      <c r="T712" s="789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  <c r="BL712" s="8"/>
      <c r="BM712" s="8"/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</row>
    <row r="713" spans="1:93" ht="15.75" customHeight="1">
      <c r="A713" s="8"/>
      <c r="B713" s="8"/>
      <c r="C713" s="8"/>
      <c r="D713" s="8"/>
      <c r="E713" s="8"/>
      <c r="F713" s="8"/>
      <c r="G713" s="789"/>
      <c r="H713" s="789"/>
      <c r="I713" s="789"/>
      <c r="J713" s="790"/>
      <c r="K713" s="789"/>
      <c r="L713" s="789"/>
      <c r="M713" s="789"/>
      <c r="N713" s="789"/>
      <c r="O713" s="8"/>
      <c r="P713" s="8"/>
      <c r="Q713" s="8"/>
      <c r="R713" s="8"/>
      <c r="S713" s="789"/>
      <c r="T713" s="789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  <c r="BL713" s="8"/>
      <c r="BM713" s="8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</row>
    <row r="714" spans="1:93" ht="15.75" customHeight="1">
      <c r="A714" s="8"/>
      <c r="B714" s="8"/>
      <c r="C714" s="8"/>
      <c r="D714" s="8"/>
      <c r="E714" s="8"/>
      <c r="F714" s="8"/>
      <c r="G714" s="789"/>
      <c r="H714" s="789"/>
      <c r="I714" s="789"/>
      <c r="J714" s="790"/>
      <c r="K714" s="789"/>
      <c r="L714" s="789"/>
      <c r="M714" s="789"/>
      <c r="N714" s="789"/>
      <c r="O714" s="8"/>
      <c r="P714" s="8"/>
      <c r="Q714" s="8"/>
      <c r="R714" s="8"/>
      <c r="S714" s="789"/>
      <c r="T714" s="789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  <c r="BL714" s="8"/>
      <c r="BM714" s="8"/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</row>
    <row r="715" spans="1:93" ht="15.75" customHeight="1">
      <c r="A715" s="8"/>
      <c r="B715" s="8"/>
      <c r="C715" s="8"/>
      <c r="D715" s="8"/>
      <c r="E715" s="8"/>
      <c r="F715" s="8"/>
      <c r="G715" s="789"/>
      <c r="H715" s="789"/>
      <c r="I715" s="789"/>
      <c r="J715" s="790"/>
      <c r="K715" s="789"/>
      <c r="L715" s="789"/>
      <c r="M715" s="789"/>
      <c r="N715" s="789"/>
      <c r="O715" s="8"/>
      <c r="P715" s="8"/>
      <c r="Q715" s="8"/>
      <c r="R715" s="8"/>
      <c r="S715" s="789"/>
      <c r="T715" s="789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  <c r="BL715" s="8"/>
      <c r="BM715" s="8"/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</row>
    <row r="716" spans="1:93" ht="15.75" customHeight="1">
      <c r="A716" s="8"/>
      <c r="B716" s="8"/>
      <c r="C716" s="8"/>
      <c r="D716" s="8"/>
      <c r="E716" s="8"/>
      <c r="F716" s="8"/>
      <c r="G716" s="789"/>
      <c r="H716" s="789"/>
      <c r="I716" s="789"/>
      <c r="J716" s="790"/>
      <c r="K716" s="789"/>
      <c r="L716" s="789"/>
      <c r="M716" s="789"/>
      <c r="N716" s="789"/>
      <c r="O716" s="8"/>
      <c r="P716" s="8"/>
      <c r="Q716" s="8"/>
      <c r="R716" s="8"/>
      <c r="S716" s="789"/>
      <c r="T716" s="789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  <c r="BL716" s="8"/>
      <c r="BM716" s="8"/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</row>
    <row r="717" spans="1:93" ht="15.75" customHeight="1">
      <c r="A717" s="8"/>
      <c r="B717" s="8"/>
      <c r="C717" s="8"/>
      <c r="D717" s="8"/>
      <c r="E717" s="8"/>
      <c r="F717" s="8"/>
      <c r="G717" s="789"/>
      <c r="H717" s="789"/>
      <c r="I717" s="789"/>
      <c r="J717" s="790"/>
      <c r="K717" s="789"/>
      <c r="L717" s="789"/>
      <c r="M717" s="789"/>
      <c r="N717" s="789"/>
      <c r="O717" s="8"/>
      <c r="P717" s="8"/>
      <c r="Q717" s="8"/>
      <c r="R717" s="8"/>
      <c r="S717" s="789"/>
      <c r="T717" s="789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  <c r="BL717" s="8"/>
      <c r="BM717" s="8"/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</row>
    <row r="718" spans="1:93" ht="15.75" customHeight="1">
      <c r="A718" s="8"/>
      <c r="B718" s="8"/>
      <c r="C718" s="8"/>
      <c r="D718" s="8"/>
      <c r="E718" s="8"/>
      <c r="F718" s="8"/>
      <c r="G718" s="789"/>
      <c r="H718" s="789"/>
      <c r="I718" s="789"/>
      <c r="J718" s="790"/>
      <c r="K718" s="789"/>
      <c r="L718" s="789"/>
      <c r="M718" s="789"/>
      <c r="N718" s="789"/>
      <c r="O718" s="8"/>
      <c r="P718" s="8"/>
      <c r="Q718" s="8"/>
      <c r="R718" s="8"/>
      <c r="S718" s="789"/>
      <c r="T718" s="789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  <c r="BL718" s="8"/>
      <c r="BM718" s="8"/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</row>
    <row r="719" spans="1:93" ht="15.75" customHeight="1">
      <c r="A719" s="8"/>
      <c r="B719" s="8"/>
      <c r="C719" s="8"/>
      <c r="D719" s="8"/>
      <c r="E719" s="8"/>
      <c r="F719" s="8"/>
      <c r="G719" s="789"/>
      <c r="H719" s="789"/>
      <c r="I719" s="789"/>
      <c r="J719" s="790"/>
      <c r="K719" s="789"/>
      <c r="L719" s="789"/>
      <c r="M719" s="789"/>
      <c r="N719" s="789"/>
      <c r="O719" s="8"/>
      <c r="P719" s="8"/>
      <c r="Q719" s="8"/>
      <c r="R719" s="8"/>
      <c r="S719" s="789"/>
      <c r="T719" s="789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  <c r="BL719" s="8"/>
      <c r="BM719" s="8"/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</row>
    <row r="720" spans="1:93" ht="15.75" customHeight="1">
      <c r="A720" s="8"/>
      <c r="B720" s="8"/>
      <c r="C720" s="8"/>
      <c r="D720" s="8"/>
      <c r="E720" s="8"/>
      <c r="F720" s="8"/>
      <c r="G720" s="789"/>
      <c r="H720" s="789"/>
      <c r="I720" s="789"/>
      <c r="J720" s="790"/>
      <c r="K720" s="789"/>
      <c r="L720" s="789"/>
      <c r="M720" s="789"/>
      <c r="N720" s="789"/>
      <c r="O720" s="8"/>
      <c r="P720" s="8"/>
      <c r="Q720" s="8"/>
      <c r="R720" s="8"/>
      <c r="S720" s="789"/>
      <c r="T720" s="789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  <c r="BL720" s="8"/>
      <c r="BM720" s="8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</row>
    <row r="721" spans="1:93" ht="15.75" customHeight="1">
      <c r="A721" s="8"/>
      <c r="B721" s="8"/>
      <c r="C721" s="8"/>
      <c r="D721" s="8"/>
      <c r="E721" s="8"/>
      <c r="F721" s="8"/>
      <c r="G721" s="789"/>
      <c r="H721" s="789"/>
      <c r="I721" s="789"/>
      <c r="J721" s="790"/>
      <c r="K721" s="789"/>
      <c r="L721" s="789"/>
      <c r="M721" s="789"/>
      <c r="N721" s="789"/>
      <c r="O721" s="8"/>
      <c r="P721" s="8"/>
      <c r="Q721" s="8"/>
      <c r="R721" s="8"/>
      <c r="S721" s="789"/>
      <c r="T721" s="789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  <c r="BL721" s="8"/>
      <c r="BM721" s="8"/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</row>
    <row r="722" spans="1:93" ht="15.75" customHeight="1">
      <c r="A722" s="8"/>
      <c r="B722" s="8"/>
      <c r="C722" s="8"/>
      <c r="D722" s="8"/>
      <c r="E722" s="8"/>
      <c r="F722" s="8"/>
      <c r="G722" s="789"/>
      <c r="H722" s="789"/>
      <c r="I722" s="789"/>
      <c r="J722" s="790"/>
      <c r="K722" s="789"/>
      <c r="L722" s="789"/>
      <c r="M722" s="789"/>
      <c r="N722" s="789"/>
      <c r="O722" s="8"/>
      <c r="P722" s="8"/>
      <c r="Q722" s="8"/>
      <c r="R722" s="8"/>
      <c r="S722" s="789"/>
      <c r="T722" s="789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  <c r="BL722" s="8"/>
      <c r="BM722" s="8"/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</row>
    <row r="723" spans="1:93" ht="15.75" customHeight="1">
      <c r="A723" s="8"/>
      <c r="B723" s="8"/>
      <c r="C723" s="8"/>
      <c r="D723" s="8"/>
      <c r="E723" s="8"/>
      <c r="F723" s="8"/>
      <c r="G723" s="789"/>
      <c r="H723" s="789"/>
      <c r="I723" s="789"/>
      <c r="J723" s="790"/>
      <c r="K723" s="789"/>
      <c r="L723" s="789"/>
      <c r="M723" s="789"/>
      <c r="N723" s="789"/>
      <c r="O723" s="8"/>
      <c r="P723" s="8"/>
      <c r="Q723" s="8"/>
      <c r="R723" s="8"/>
      <c r="S723" s="789"/>
      <c r="T723" s="789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  <c r="BL723" s="8"/>
      <c r="BM723" s="8"/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</row>
    <row r="724" spans="1:93" ht="15.75" customHeight="1">
      <c r="A724" s="8"/>
      <c r="B724" s="8"/>
      <c r="C724" s="8"/>
      <c r="D724" s="8"/>
      <c r="E724" s="8"/>
      <c r="F724" s="8"/>
      <c r="G724" s="789"/>
      <c r="H724" s="789"/>
      <c r="I724" s="789"/>
      <c r="J724" s="790"/>
      <c r="K724" s="789"/>
      <c r="L724" s="789"/>
      <c r="M724" s="789"/>
      <c r="N724" s="789"/>
      <c r="O724" s="8"/>
      <c r="P724" s="8"/>
      <c r="Q724" s="8"/>
      <c r="R724" s="8"/>
      <c r="S724" s="789"/>
      <c r="T724" s="789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  <c r="BL724" s="8"/>
      <c r="BM724" s="8"/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</row>
    <row r="725" spans="1:93" ht="15.75" customHeight="1">
      <c r="A725" s="8"/>
      <c r="B725" s="8"/>
      <c r="C725" s="8"/>
      <c r="D725" s="8"/>
      <c r="E725" s="8"/>
      <c r="F725" s="8"/>
      <c r="G725" s="789"/>
      <c r="H725" s="789"/>
      <c r="I725" s="789"/>
      <c r="J725" s="790"/>
      <c r="K725" s="789"/>
      <c r="L725" s="789"/>
      <c r="M725" s="789"/>
      <c r="N725" s="789"/>
      <c r="O725" s="8"/>
      <c r="P725" s="8"/>
      <c r="Q725" s="8"/>
      <c r="R725" s="8"/>
      <c r="S725" s="789"/>
      <c r="T725" s="789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  <c r="BL725" s="8"/>
      <c r="BM725" s="8"/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</row>
    <row r="726" spans="1:93" ht="15.75" customHeight="1">
      <c r="A726" s="8"/>
      <c r="B726" s="8"/>
      <c r="C726" s="8"/>
      <c r="D726" s="8"/>
      <c r="E726" s="8"/>
      <c r="F726" s="8"/>
      <c r="G726" s="789"/>
      <c r="H726" s="789"/>
      <c r="I726" s="789"/>
      <c r="J726" s="790"/>
      <c r="K726" s="789"/>
      <c r="L726" s="789"/>
      <c r="M726" s="789"/>
      <c r="N726" s="789"/>
      <c r="O726" s="8"/>
      <c r="P726" s="8"/>
      <c r="Q726" s="8"/>
      <c r="R726" s="8"/>
      <c r="S726" s="789"/>
      <c r="T726" s="789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  <c r="BL726" s="8"/>
      <c r="BM726" s="8"/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</row>
    <row r="727" spans="1:93" ht="15.75" customHeight="1">
      <c r="A727" s="8"/>
      <c r="B727" s="8"/>
      <c r="C727" s="8"/>
      <c r="D727" s="8"/>
      <c r="E727" s="8"/>
      <c r="F727" s="8"/>
      <c r="G727" s="789"/>
      <c r="H727" s="789"/>
      <c r="I727" s="789"/>
      <c r="J727" s="790"/>
      <c r="K727" s="789"/>
      <c r="L727" s="789"/>
      <c r="M727" s="789"/>
      <c r="N727" s="789"/>
      <c r="O727" s="8"/>
      <c r="P727" s="8"/>
      <c r="Q727" s="8"/>
      <c r="R727" s="8"/>
      <c r="S727" s="789"/>
      <c r="T727" s="789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  <c r="BL727" s="8"/>
      <c r="BM727" s="8"/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</row>
    <row r="728" spans="1:93" ht="15.75" customHeight="1">
      <c r="A728" s="8"/>
      <c r="B728" s="8"/>
      <c r="C728" s="8"/>
      <c r="D728" s="8"/>
      <c r="E728" s="8"/>
      <c r="F728" s="8"/>
      <c r="G728" s="789"/>
      <c r="H728" s="789"/>
      <c r="I728" s="789"/>
      <c r="J728" s="790"/>
      <c r="K728" s="789"/>
      <c r="L728" s="789"/>
      <c r="M728" s="789"/>
      <c r="N728" s="789"/>
      <c r="O728" s="8"/>
      <c r="P728" s="8"/>
      <c r="Q728" s="8"/>
      <c r="R728" s="8"/>
      <c r="S728" s="789"/>
      <c r="T728" s="789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  <c r="BL728" s="8"/>
      <c r="BM728" s="8"/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</row>
    <row r="729" spans="1:93" ht="15.75" customHeight="1">
      <c r="A729" s="8"/>
      <c r="B729" s="8"/>
      <c r="C729" s="8"/>
      <c r="D729" s="8"/>
      <c r="E729" s="8"/>
      <c r="F729" s="8"/>
      <c r="G729" s="789"/>
      <c r="H729" s="789"/>
      <c r="I729" s="789"/>
      <c r="J729" s="790"/>
      <c r="K729" s="789"/>
      <c r="L729" s="789"/>
      <c r="M729" s="789"/>
      <c r="N729" s="789"/>
      <c r="O729" s="8"/>
      <c r="P729" s="8"/>
      <c r="Q729" s="8"/>
      <c r="R729" s="8"/>
      <c r="S729" s="789"/>
      <c r="T729" s="789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  <c r="BL729" s="8"/>
      <c r="BM729" s="8"/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</row>
    <row r="730" spans="1:93" ht="15.75" customHeight="1">
      <c r="A730" s="8"/>
      <c r="B730" s="8"/>
      <c r="C730" s="8"/>
      <c r="D730" s="8"/>
      <c r="E730" s="8"/>
      <c r="F730" s="8"/>
      <c r="G730" s="789"/>
      <c r="H730" s="789"/>
      <c r="I730" s="789"/>
      <c r="J730" s="790"/>
      <c r="K730" s="789"/>
      <c r="L730" s="789"/>
      <c r="M730" s="789"/>
      <c r="N730" s="789"/>
      <c r="O730" s="8"/>
      <c r="P730" s="8"/>
      <c r="Q730" s="8"/>
      <c r="R730" s="8"/>
      <c r="S730" s="789"/>
      <c r="T730" s="789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  <c r="BL730" s="8"/>
      <c r="BM730" s="8"/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</row>
    <row r="731" spans="1:93" ht="15.75" customHeight="1">
      <c r="A731" s="8"/>
      <c r="B731" s="8"/>
      <c r="C731" s="8"/>
      <c r="D731" s="8"/>
      <c r="E731" s="8"/>
      <c r="F731" s="8"/>
      <c r="G731" s="789"/>
      <c r="H731" s="789"/>
      <c r="I731" s="789"/>
      <c r="J731" s="790"/>
      <c r="K731" s="789"/>
      <c r="L731" s="789"/>
      <c r="M731" s="789"/>
      <c r="N731" s="789"/>
      <c r="O731" s="8"/>
      <c r="P731" s="8"/>
      <c r="Q731" s="8"/>
      <c r="R731" s="8"/>
      <c r="S731" s="789"/>
      <c r="T731" s="789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  <c r="BL731" s="8"/>
      <c r="BM731" s="8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</row>
    <row r="732" spans="1:93" ht="15.75" customHeight="1">
      <c r="A732" s="8"/>
      <c r="B732" s="8"/>
      <c r="C732" s="8"/>
      <c r="D732" s="8"/>
      <c r="E732" s="8"/>
      <c r="F732" s="8"/>
      <c r="G732" s="789"/>
      <c r="H732" s="789"/>
      <c r="I732" s="789"/>
      <c r="J732" s="790"/>
      <c r="K732" s="789"/>
      <c r="L732" s="789"/>
      <c r="M732" s="789"/>
      <c r="N732" s="789"/>
      <c r="O732" s="8"/>
      <c r="P732" s="8"/>
      <c r="Q732" s="8"/>
      <c r="R732" s="8"/>
      <c r="S732" s="789"/>
      <c r="T732" s="789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  <c r="BL732" s="8"/>
      <c r="BM732" s="8"/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</row>
    <row r="733" spans="1:93" ht="15.75" customHeight="1">
      <c r="A733" s="8"/>
      <c r="B733" s="8"/>
      <c r="C733" s="8"/>
      <c r="D733" s="8"/>
      <c r="E733" s="8"/>
      <c r="F733" s="8"/>
      <c r="G733" s="789"/>
      <c r="H733" s="789"/>
      <c r="I733" s="789"/>
      <c r="J733" s="790"/>
      <c r="K733" s="789"/>
      <c r="L733" s="789"/>
      <c r="M733" s="789"/>
      <c r="N733" s="789"/>
      <c r="O733" s="8"/>
      <c r="P733" s="8"/>
      <c r="Q733" s="8"/>
      <c r="R733" s="8"/>
      <c r="S733" s="789"/>
      <c r="T733" s="789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  <c r="BL733" s="8"/>
      <c r="BM733" s="8"/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</row>
    <row r="734" spans="1:93" ht="15.75" customHeight="1">
      <c r="A734" s="8"/>
      <c r="B734" s="8"/>
      <c r="C734" s="8"/>
      <c r="D734" s="8"/>
      <c r="E734" s="8"/>
      <c r="F734" s="8"/>
      <c r="G734" s="789"/>
      <c r="H734" s="789"/>
      <c r="I734" s="789"/>
      <c r="J734" s="790"/>
      <c r="K734" s="789"/>
      <c r="L734" s="789"/>
      <c r="M734" s="789"/>
      <c r="N734" s="789"/>
      <c r="O734" s="8"/>
      <c r="P734" s="8"/>
      <c r="Q734" s="8"/>
      <c r="R734" s="8"/>
      <c r="S734" s="789"/>
      <c r="T734" s="789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  <c r="BL734" s="8"/>
      <c r="BM734" s="8"/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</row>
    <row r="735" spans="1:93" ht="15.75" customHeight="1">
      <c r="A735" s="8"/>
      <c r="B735" s="8"/>
      <c r="C735" s="8"/>
      <c r="D735" s="8"/>
      <c r="E735" s="8"/>
      <c r="F735" s="8"/>
      <c r="G735" s="789"/>
      <c r="H735" s="789"/>
      <c r="I735" s="789"/>
      <c r="J735" s="790"/>
      <c r="K735" s="789"/>
      <c r="L735" s="789"/>
      <c r="M735" s="789"/>
      <c r="N735" s="789"/>
      <c r="O735" s="8"/>
      <c r="P735" s="8"/>
      <c r="Q735" s="8"/>
      <c r="R735" s="8"/>
      <c r="S735" s="789"/>
      <c r="T735" s="789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  <c r="BL735" s="8"/>
      <c r="BM735" s="8"/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</row>
    <row r="736" spans="1:93" ht="15.75" customHeight="1">
      <c r="A736" s="8"/>
      <c r="B736" s="8"/>
      <c r="C736" s="8"/>
      <c r="D736" s="8"/>
      <c r="E736" s="8"/>
      <c r="F736" s="8"/>
      <c r="G736" s="789"/>
      <c r="H736" s="789"/>
      <c r="I736" s="789"/>
      <c r="J736" s="790"/>
      <c r="K736" s="789"/>
      <c r="L736" s="789"/>
      <c r="M736" s="789"/>
      <c r="N736" s="789"/>
      <c r="O736" s="8"/>
      <c r="P736" s="8"/>
      <c r="Q736" s="8"/>
      <c r="R736" s="8"/>
      <c r="S736" s="789"/>
      <c r="T736" s="789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  <c r="BL736" s="8"/>
      <c r="BM736" s="8"/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</row>
    <row r="737" spans="1:93" ht="15.75" customHeight="1">
      <c r="A737" s="8"/>
      <c r="B737" s="8"/>
      <c r="C737" s="8"/>
      <c r="D737" s="8"/>
      <c r="E737" s="8"/>
      <c r="F737" s="8"/>
      <c r="G737" s="789"/>
      <c r="H737" s="789"/>
      <c r="I737" s="789"/>
      <c r="J737" s="790"/>
      <c r="K737" s="789"/>
      <c r="L737" s="789"/>
      <c r="M737" s="789"/>
      <c r="N737" s="789"/>
      <c r="O737" s="8"/>
      <c r="P737" s="8"/>
      <c r="Q737" s="8"/>
      <c r="R737" s="8"/>
      <c r="S737" s="789"/>
      <c r="T737" s="789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  <c r="BL737" s="8"/>
      <c r="BM737" s="8"/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</row>
    <row r="738" spans="1:93" ht="15.75" customHeight="1">
      <c r="A738" s="8"/>
      <c r="B738" s="8"/>
      <c r="C738" s="8"/>
      <c r="D738" s="8"/>
      <c r="E738" s="8"/>
      <c r="F738" s="8"/>
      <c r="G738" s="789"/>
      <c r="H738" s="789"/>
      <c r="I738" s="789"/>
      <c r="J738" s="790"/>
      <c r="K738" s="789"/>
      <c r="L738" s="789"/>
      <c r="M738" s="789"/>
      <c r="N738" s="789"/>
      <c r="O738" s="8"/>
      <c r="P738" s="8"/>
      <c r="Q738" s="8"/>
      <c r="R738" s="8"/>
      <c r="S738" s="789"/>
      <c r="T738" s="789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  <c r="BL738" s="8"/>
      <c r="BM738" s="8"/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</row>
    <row r="739" spans="1:93" ht="15.75" customHeight="1">
      <c r="A739" s="8"/>
      <c r="B739" s="8"/>
      <c r="C739" s="8"/>
      <c r="D739" s="8"/>
      <c r="E739" s="8"/>
      <c r="F739" s="8"/>
      <c r="G739" s="789"/>
      <c r="H739" s="789"/>
      <c r="I739" s="789"/>
      <c r="J739" s="790"/>
      <c r="K739" s="789"/>
      <c r="L739" s="789"/>
      <c r="M739" s="789"/>
      <c r="N739" s="789"/>
      <c r="O739" s="8"/>
      <c r="P739" s="8"/>
      <c r="Q739" s="8"/>
      <c r="R739" s="8"/>
      <c r="S739" s="789"/>
      <c r="T739" s="789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  <c r="BL739" s="8"/>
      <c r="BM739" s="8"/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</row>
    <row r="740" spans="1:93" ht="15.75" customHeight="1">
      <c r="A740" s="8"/>
      <c r="B740" s="8"/>
      <c r="C740" s="8"/>
      <c r="D740" s="8"/>
      <c r="E740" s="8"/>
      <c r="F740" s="8"/>
      <c r="G740" s="789"/>
      <c r="H740" s="789"/>
      <c r="I740" s="789"/>
      <c r="J740" s="790"/>
      <c r="K740" s="789"/>
      <c r="L740" s="789"/>
      <c r="M740" s="789"/>
      <c r="N740" s="789"/>
      <c r="O740" s="8"/>
      <c r="P740" s="8"/>
      <c r="Q740" s="8"/>
      <c r="R740" s="8"/>
      <c r="S740" s="789"/>
      <c r="T740" s="789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  <c r="BL740" s="8"/>
      <c r="BM740" s="8"/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</row>
    <row r="741" spans="1:93" ht="15.75" customHeight="1">
      <c r="A741" s="8"/>
      <c r="B741" s="8"/>
      <c r="C741" s="8"/>
      <c r="D741" s="8"/>
      <c r="E741" s="8"/>
      <c r="F741" s="8"/>
      <c r="G741" s="789"/>
      <c r="H741" s="789"/>
      <c r="I741" s="789"/>
      <c r="J741" s="790"/>
      <c r="K741" s="789"/>
      <c r="L741" s="789"/>
      <c r="M741" s="789"/>
      <c r="N741" s="789"/>
      <c r="O741" s="8"/>
      <c r="P741" s="8"/>
      <c r="Q741" s="8"/>
      <c r="R741" s="8"/>
      <c r="S741" s="789"/>
      <c r="T741" s="789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  <c r="BL741" s="8"/>
      <c r="BM741" s="8"/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</row>
    <row r="742" spans="1:93" ht="15.75" customHeight="1">
      <c r="A742" s="8"/>
      <c r="B742" s="8"/>
      <c r="C742" s="8"/>
      <c r="D742" s="8"/>
      <c r="E742" s="8"/>
      <c r="F742" s="8"/>
      <c r="G742" s="789"/>
      <c r="H742" s="789"/>
      <c r="I742" s="789"/>
      <c r="J742" s="790"/>
      <c r="K742" s="789"/>
      <c r="L742" s="789"/>
      <c r="M742" s="789"/>
      <c r="N742" s="789"/>
      <c r="O742" s="8"/>
      <c r="P742" s="8"/>
      <c r="Q742" s="8"/>
      <c r="R742" s="8"/>
      <c r="S742" s="789"/>
      <c r="T742" s="789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  <c r="BL742" s="8"/>
      <c r="BM742" s="8"/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</row>
    <row r="743" spans="1:93" ht="15.75" customHeight="1">
      <c r="A743" s="8"/>
      <c r="B743" s="8"/>
      <c r="C743" s="8"/>
      <c r="D743" s="8"/>
      <c r="E743" s="8"/>
      <c r="F743" s="8"/>
      <c r="G743" s="789"/>
      <c r="H743" s="789"/>
      <c r="I743" s="789"/>
      <c r="J743" s="790"/>
      <c r="K743" s="789"/>
      <c r="L743" s="789"/>
      <c r="M743" s="789"/>
      <c r="N743" s="789"/>
      <c r="O743" s="8"/>
      <c r="P743" s="8"/>
      <c r="Q743" s="8"/>
      <c r="R743" s="8"/>
      <c r="S743" s="789"/>
      <c r="T743" s="789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  <c r="BL743" s="8"/>
      <c r="BM743" s="8"/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</row>
    <row r="744" spans="1:93" ht="15.75" customHeight="1">
      <c r="A744" s="8"/>
      <c r="B744" s="8"/>
      <c r="C744" s="8"/>
      <c r="D744" s="8"/>
      <c r="E744" s="8"/>
      <c r="F744" s="8"/>
      <c r="G744" s="789"/>
      <c r="H744" s="789"/>
      <c r="I744" s="789"/>
      <c r="J744" s="790"/>
      <c r="K744" s="789"/>
      <c r="L744" s="789"/>
      <c r="M744" s="789"/>
      <c r="N744" s="789"/>
      <c r="O744" s="8"/>
      <c r="P744" s="8"/>
      <c r="Q744" s="8"/>
      <c r="R744" s="8"/>
      <c r="S744" s="789"/>
      <c r="T744" s="789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  <c r="BL744" s="8"/>
      <c r="BM744" s="8"/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</row>
    <row r="745" spans="1:93" ht="15.75" customHeight="1">
      <c r="A745" s="8"/>
      <c r="B745" s="8"/>
      <c r="C745" s="8"/>
      <c r="D745" s="8"/>
      <c r="E745" s="8"/>
      <c r="F745" s="8"/>
      <c r="G745" s="789"/>
      <c r="H745" s="789"/>
      <c r="I745" s="789"/>
      <c r="J745" s="790"/>
      <c r="K745" s="789"/>
      <c r="L745" s="789"/>
      <c r="M745" s="789"/>
      <c r="N745" s="789"/>
      <c r="O745" s="8"/>
      <c r="P745" s="8"/>
      <c r="Q745" s="8"/>
      <c r="R745" s="8"/>
      <c r="S745" s="789"/>
      <c r="T745" s="789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  <c r="BL745" s="8"/>
      <c r="BM745" s="8"/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</row>
    <row r="746" spans="1:93" ht="15.75" customHeight="1">
      <c r="A746" s="8"/>
      <c r="B746" s="8"/>
      <c r="C746" s="8"/>
      <c r="D746" s="8"/>
      <c r="E746" s="8"/>
      <c r="F746" s="8"/>
      <c r="G746" s="789"/>
      <c r="H746" s="789"/>
      <c r="I746" s="789"/>
      <c r="J746" s="790"/>
      <c r="K746" s="789"/>
      <c r="L746" s="789"/>
      <c r="M746" s="789"/>
      <c r="N746" s="789"/>
      <c r="O746" s="8"/>
      <c r="P746" s="8"/>
      <c r="Q746" s="8"/>
      <c r="R746" s="8"/>
      <c r="S746" s="789"/>
      <c r="T746" s="789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  <c r="BL746" s="8"/>
      <c r="BM746" s="8"/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</row>
    <row r="747" spans="1:93" ht="15.75" customHeight="1">
      <c r="A747" s="8"/>
      <c r="B747" s="8"/>
      <c r="C747" s="8"/>
      <c r="D747" s="8"/>
      <c r="E747" s="8"/>
      <c r="F747" s="8"/>
      <c r="G747" s="789"/>
      <c r="H747" s="789"/>
      <c r="I747" s="789"/>
      <c r="J747" s="790"/>
      <c r="K747" s="789"/>
      <c r="L747" s="789"/>
      <c r="M747" s="789"/>
      <c r="N747" s="789"/>
      <c r="O747" s="8"/>
      <c r="P747" s="8"/>
      <c r="Q747" s="8"/>
      <c r="R747" s="8"/>
      <c r="S747" s="789"/>
      <c r="T747" s="789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  <c r="BL747" s="8"/>
      <c r="BM747" s="8"/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</row>
    <row r="748" spans="1:93" ht="15.75" customHeight="1">
      <c r="A748" s="8"/>
      <c r="B748" s="8"/>
      <c r="C748" s="8"/>
      <c r="D748" s="8"/>
      <c r="E748" s="8"/>
      <c r="F748" s="8"/>
      <c r="G748" s="789"/>
      <c r="H748" s="789"/>
      <c r="I748" s="789"/>
      <c r="J748" s="790"/>
      <c r="K748" s="789"/>
      <c r="L748" s="789"/>
      <c r="M748" s="789"/>
      <c r="N748" s="789"/>
      <c r="O748" s="8"/>
      <c r="P748" s="8"/>
      <c r="Q748" s="8"/>
      <c r="R748" s="8"/>
      <c r="S748" s="789"/>
      <c r="T748" s="789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  <c r="BL748" s="8"/>
      <c r="BM748" s="8"/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</row>
    <row r="749" spans="1:93" ht="15.75" customHeight="1">
      <c r="A749" s="8"/>
      <c r="B749" s="8"/>
      <c r="C749" s="8"/>
      <c r="D749" s="8"/>
      <c r="E749" s="8"/>
      <c r="F749" s="8"/>
      <c r="G749" s="789"/>
      <c r="H749" s="789"/>
      <c r="I749" s="789"/>
      <c r="J749" s="790"/>
      <c r="K749" s="789"/>
      <c r="L749" s="789"/>
      <c r="M749" s="789"/>
      <c r="N749" s="789"/>
      <c r="O749" s="8"/>
      <c r="P749" s="8"/>
      <c r="Q749" s="8"/>
      <c r="R749" s="8"/>
      <c r="S749" s="789"/>
      <c r="T749" s="789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  <c r="BL749" s="8"/>
      <c r="BM749" s="8"/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</row>
    <row r="750" spans="1:93" ht="15.75" customHeight="1">
      <c r="A750" s="8"/>
      <c r="B750" s="8"/>
      <c r="C750" s="8"/>
      <c r="D750" s="8"/>
      <c r="E750" s="8"/>
      <c r="F750" s="8"/>
      <c r="G750" s="789"/>
      <c r="H750" s="789"/>
      <c r="I750" s="789"/>
      <c r="J750" s="790"/>
      <c r="K750" s="789"/>
      <c r="L750" s="789"/>
      <c r="M750" s="789"/>
      <c r="N750" s="789"/>
      <c r="O750" s="8"/>
      <c r="P750" s="8"/>
      <c r="Q750" s="8"/>
      <c r="R750" s="8"/>
      <c r="S750" s="789"/>
      <c r="T750" s="789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  <c r="BL750" s="8"/>
      <c r="BM750" s="8"/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</row>
    <row r="751" spans="1:93" ht="15.75" customHeight="1">
      <c r="A751" s="8"/>
      <c r="B751" s="8"/>
      <c r="C751" s="8"/>
      <c r="D751" s="8"/>
      <c r="E751" s="8"/>
      <c r="F751" s="8"/>
      <c r="G751" s="789"/>
      <c r="H751" s="789"/>
      <c r="I751" s="789"/>
      <c r="J751" s="790"/>
      <c r="K751" s="789"/>
      <c r="L751" s="789"/>
      <c r="M751" s="789"/>
      <c r="N751" s="789"/>
      <c r="O751" s="8"/>
      <c r="P751" s="8"/>
      <c r="Q751" s="8"/>
      <c r="R751" s="8"/>
      <c r="S751" s="789"/>
      <c r="T751" s="789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  <c r="BL751" s="8"/>
      <c r="BM751" s="8"/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</row>
    <row r="752" spans="1:93" ht="15.75" customHeight="1">
      <c r="A752" s="8"/>
      <c r="B752" s="8"/>
      <c r="C752" s="8"/>
      <c r="D752" s="8"/>
      <c r="E752" s="8"/>
      <c r="F752" s="8"/>
      <c r="G752" s="789"/>
      <c r="H752" s="789"/>
      <c r="I752" s="789"/>
      <c r="J752" s="790"/>
      <c r="K752" s="789"/>
      <c r="L752" s="789"/>
      <c r="M752" s="789"/>
      <c r="N752" s="789"/>
      <c r="O752" s="8"/>
      <c r="P752" s="8"/>
      <c r="Q752" s="8"/>
      <c r="R752" s="8"/>
      <c r="S752" s="789"/>
      <c r="T752" s="789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  <c r="BL752" s="8"/>
      <c r="BM752" s="8"/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</row>
    <row r="753" spans="1:93" ht="15.75" customHeight="1">
      <c r="A753" s="8"/>
      <c r="B753" s="8"/>
      <c r="C753" s="8"/>
      <c r="D753" s="8"/>
      <c r="E753" s="8"/>
      <c r="F753" s="8"/>
      <c r="G753" s="789"/>
      <c r="H753" s="789"/>
      <c r="I753" s="789"/>
      <c r="J753" s="790"/>
      <c r="K753" s="789"/>
      <c r="L753" s="789"/>
      <c r="M753" s="789"/>
      <c r="N753" s="789"/>
      <c r="O753" s="8"/>
      <c r="P753" s="8"/>
      <c r="Q753" s="8"/>
      <c r="R753" s="8"/>
      <c r="S753" s="789"/>
      <c r="T753" s="789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  <c r="BL753" s="8"/>
      <c r="BM753" s="8"/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</row>
    <row r="754" spans="1:93" ht="15.75" customHeight="1">
      <c r="A754" s="8"/>
      <c r="B754" s="8"/>
      <c r="C754" s="8"/>
      <c r="D754" s="8"/>
      <c r="E754" s="8"/>
      <c r="F754" s="8"/>
      <c r="G754" s="789"/>
      <c r="H754" s="789"/>
      <c r="I754" s="789"/>
      <c r="J754" s="790"/>
      <c r="K754" s="789"/>
      <c r="L754" s="789"/>
      <c r="M754" s="789"/>
      <c r="N754" s="789"/>
      <c r="O754" s="8"/>
      <c r="P754" s="8"/>
      <c r="Q754" s="8"/>
      <c r="R754" s="8"/>
      <c r="S754" s="789"/>
      <c r="T754" s="789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  <c r="BL754" s="8"/>
      <c r="BM754" s="8"/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</row>
    <row r="755" spans="1:93" ht="15.75" customHeight="1">
      <c r="A755" s="8"/>
      <c r="B755" s="8"/>
      <c r="C755" s="8"/>
      <c r="D755" s="8"/>
      <c r="E755" s="8"/>
      <c r="F755" s="8"/>
      <c r="G755" s="789"/>
      <c r="H755" s="789"/>
      <c r="I755" s="789"/>
      <c r="J755" s="790"/>
      <c r="K755" s="789"/>
      <c r="L755" s="789"/>
      <c r="M755" s="789"/>
      <c r="N755" s="789"/>
      <c r="O755" s="8"/>
      <c r="P755" s="8"/>
      <c r="Q755" s="8"/>
      <c r="R755" s="8"/>
      <c r="S755" s="789"/>
      <c r="T755" s="789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  <c r="BL755" s="8"/>
      <c r="BM755" s="8"/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</row>
    <row r="756" spans="1:93" ht="15.75" customHeight="1">
      <c r="A756" s="8"/>
      <c r="B756" s="8"/>
      <c r="C756" s="8"/>
      <c r="D756" s="8"/>
      <c r="E756" s="8"/>
      <c r="F756" s="8"/>
      <c r="G756" s="789"/>
      <c r="H756" s="789"/>
      <c r="I756" s="789"/>
      <c r="J756" s="790"/>
      <c r="K756" s="789"/>
      <c r="L756" s="789"/>
      <c r="M756" s="789"/>
      <c r="N756" s="789"/>
      <c r="O756" s="8"/>
      <c r="P756" s="8"/>
      <c r="Q756" s="8"/>
      <c r="R756" s="8"/>
      <c r="S756" s="789"/>
      <c r="T756" s="789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  <c r="BL756" s="8"/>
      <c r="BM756" s="8"/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</row>
    <row r="757" spans="1:93" ht="15.75" customHeight="1">
      <c r="A757" s="8"/>
      <c r="B757" s="8"/>
      <c r="C757" s="8"/>
      <c r="D757" s="8"/>
      <c r="E757" s="8"/>
      <c r="F757" s="8"/>
      <c r="G757" s="789"/>
      <c r="H757" s="789"/>
      <c r="I757" s="789"/>
      <c r="J757" s="790"/>
      <c r="K757" s="789"/>
      <c r="L757" s="789"/>
      <c r="M757" s="789"/>
      <c r="N757" s="789"/>
      <c r="O757" s="8"/>
      <c r="P757" s="8"/>
      <c r="Q757" s="8"/>
      <c r="R757" s="8"/>
      <c r="S757" s="789"/>
      <c r="T757" s="789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  <c r="BL757" s="8"/>
      <c r="BM757" s="8"/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</row>
    <row r="758" spans="1:93" ht="15.75" customHeight="1">
      <c r="A758" s="8"/>
      <c r="B758" s="8"/>
      <c r="C758" s="8"/>
      <c r="D758" s="8"/>
      <c r="E758" s="8"/>
      <c r="F758" s="8"/>
      <c r="G758" s="789"/>
      <c r="H758" s="789"/>
      <c r="I758" s="789"/>
      <c r="J758" s="790"/>
      <c r="K758" s="789"/>
      <c r="L758" s="789"/>
      <c r="M758" s="789"/>
      <c r="N758" s="789"/>
      <c r="O758" s="8"/>
      <c r="P758" s="8"/>
      <c r="Q758" s="8"/>
      <c r="R758" s="8"/>
      <c r="S758" s="789"/>
      <c r="T758" s="789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  <c r="BL758" s="8"/>
      <c r="BM758" s="8"/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</row>
    <row r="759" spans="1:93" ht="15.75" customHeight="1">
      <c r="A759" s="8"/>
      <c r="B759" s="8"/>
      <c r="C759" s="8"/>
      <c r="D759" s="8"/>
      <c r="E759" s="8"/>
      <c r="F759" s="8"/>
      <c r="G759" s="789"/>
      <c r="H759" s="789"/>
      <c r="I759" s="789"/>
      <c r="J759" s="790"/>
      <c r="K759" s="789"/>
      <c r="L759" s="789"/>
      <c r="M759" s="789"/>
      <c r="N759" s="789"/>
      <c r="O759" s="8"/>
      <c r="P759" s="8"/>
      <c r="Q759" s="8"/>
      <c r="R759" s="8"/>
      <c r="S759" s="789"/>
      <c r="T759" s="789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  <c r="BL759" s="8"/>
      <c r="BM759" s="8"/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</row>
    <row r="760" spans="1:93" ht="15.75" customHeight="1">
      <c r="A760" s="8"/>
      <c r="B760" s="8"/>
      <c r="C760" s="8"/>
      <c r="D760" s="8"/>
      <c r="E760" s="8"/>
      <c r="F760" s="8"/>
      <c r="G760" s="789"/>
      <c r="H760" s="789"/>
      <c r="I760" s="789"/>
      <c r="J760" s="790"/>
      <c r="K760" s="789"/>
      <c r="L760" s="789"/>
      <c r="M760" s="789"/>
      <c r="N760" s="789"/>
      <c r="O760" s="8"/>
      <c r="P760" s="8"/>
      <c r="Q760" s="8"/>
      <c r="R760" s="8"/>
      <c r="S760" s="789"/>
      <c r="T760" s="789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  <c r="BL760" s="8"/>
      <c r="BM760" s="8"/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</row>
    <row r="761" spans="1:93" ht="15.75" customHeight="1">
      <c r="A761" s="8"/>
      <c r="B761" s="8"/>
      <c r="C761" s="8"/>
      <c r="D761" s="8"/>
      <c r="E761" s="8"/>
      <c r="F761" s="8"/>
      <c r="G761" s="789"/>
      <c r="H761" s="789"/>
      <c r="I761" s="789"/>
      <c r="J761" s="790"/>
      <c r="K761" s="789"/>
      <c r="L761" s="789"/>
      <c r="M761" s="789"/>
      <c r="N761" s="789"/>
      <c r="O761" s="8"/>
      <c r="P761" s="8"/>
      <c r="Q761" s="8"/>
      <c r="R761" s="8"/>
      <c r="S761" s="789"/>
      <c r="T761" s="789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  <c r="BL761" s="8"/>
      <c r="BM761" s="8"/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</row>
    <row r="762" spans="1:93" ht="15.75" customHeight="1">
      <c r="A762" s="8"/>
      <c r="B762" s="8"/>
      <c r="C762" s="8"/>
      <c r="D762" s="8"/>
      <c r="E762" s="8"/>
      <c r="F762" s="8"/>
      <c r="G762" s="789"/>
      <c r="H762" s="789"/>
      <c r="I762" s="789"/>
      <c r="J762" s="790"/>
      <c r="K762" s="789"/>
      <c r="L762" s="789"/>
      <c r="M762" s="789"/>
      <c r="N762" s="789"/>
      <c r="O762" s="8"/>
      <c r="P762" s="8"/>
      <c r="Q762" s="8"/>
      <c r="R762" s="8"/>
      <c r="S762" s="789"/>
      <c r="T762" s="789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  <c r="BL762" s="8"/>
      <c r="BM762" s="8"/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</row>
    <row r="763" spans="1:93" ht="15.75" customHeight="1">
      <c r="A763" s="8"/>
      <c r="B763" s="8"/>
      <c r="C763" s="8"/>
      <c r="D763" s="8"/>
      <c r="E763" s="8"/>
      <c r="F763" s="8"/>
      <c r="G763" s="789"/>
      <c r="H763" s="789"/>
      <c r="I763" s="789"/>
      <c r="J763" s="790"/>
      <c r="K763" s="789"/>
      <c r="L763" s="789"/>
      <c r="M763" s="789"/>
      <c r="N763" s="789"/>
      <c r="O763" s="8"/>
      <c r="P763" s="8"/>
      <c r="Q763" s="8"/>
      <c r="R763" s="8"/>
      <c r="S763" s="789"/>
      <c r="T763" s="789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  <c r="BL763" s="8"/>
      <c r="BM763" s="8"/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</row>
    <row r="764" spans="1:93" ht="15.75" customHeight="1">
      <c r="A764" s="8"/>
      <c r="B764" s="8"/>
      <c r="C764" s="8"/>
      <c r="D764" s="8"/>
      <c r="E764" s="8"/>
      <c r="F764" s="8"/>
      <c r="G764" s="789"/>
      <c r="H764" s="789"/>
      <c r="I764" s="789"/>
      <c r="J764" s="790"/>
      <c r="K764" s="789"/>
      <c r="L764" s="789"/>
      <c r="M764" s="789"/>
      <c r="N764" s="789"/>
      <c r="O764" s="8"/>
      <c r="P764" s="8"/>
      <c r="Q764" s="8"/>
      <c r="R764" s="8"/>
      <c r="S764" s="789"/>
      <c r="T764" s="789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  <c r="BL764" s="8"/>
      <c r="BM764" s="8"/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</row>
    <row r="765" spans="1:93" ht="15.75" customHeight="1">
      <c r="A765" s="8"/>
      <c r="B765" s="8"/>
      <c r="C765" s="8"/>
      <c r="D765" s="8"/>
      <c r="E765" s="8"/>
      <c r="F765" s="8"/>
      <c r="G765" s="789"/>
      <c r="H765" s="789"/>
      <c r="I765" s="789"/>
      <c r="J765" s="790"/>
      <c r="K765" s="789"/>
      <c r="L765" s="789"/>
      <c r="M765" s="789"/>
      <c r="N765" s="789"/>
      <c r="O765" s="8"/>
      <c r="P765" s="8"/>
      <c r="Q765" s="8"/>
      <c r="R765" s="8"/>
      <c r="S765" s="789"/>
      <c r="T765" s="789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  <c r="BL765" s="8"/>
      <c r="BM765" s="8"/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</row>
    <row r="766" spans="1:93" ht="15.75" customHeight="1">
      <c r="A766" s="8"/>
      <c r="B766" s="8"/>
      <c r="C766" s="8"/>
      <c r="D766" s="8"/>
      <c r="E766" s="8"/>
      <c r="F766" s="8"/>
      <c r="G766" s="789"/>
      <c r="H766" s="789"/>
      <c r="I766" s="789"/>
      <c r="J766" s="790"/>
      <c r="K766" s="789"/>
      <c r="L766" s="789"/>
      <c r="M766" s="789"/>
      <c r="N766" s="789"/>
      <c r="O766" s="8"/>
      <c r="P766" s="8"/>
      <c r="Q766" s="8"/>
      <c r="R766" s="8"/>
      <c r="S766" s="789"/>
      <c r="T766" s="789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  <c r="BL766" s="8"/>
      <c r="BM766" s="8"/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</row>
    <row r="767" spans="1:93" ht="15.75" customHeight="1">
      <c r="A767" s="8"/>
      <c r="B767" s="8"/>
      <c r="C767" s="8"/>
      <c r="D767" s="8"/>
      <c r="E767" s="8"/>
      <c r="F767" s="8"/>
      <c r="G767" s="789"/>
      <c r="H767" s="789"/>
      <c r="I767" s="789"/>
      <c r="J767" s="790"/>
      <c r="K767" s="789"/>
      <c r="L767" s="789"/>
      <c r="M767" s="789"/>
      <c r="N767" s="789"/>
      <c r="O767" s="8"/>
      <c r="P767" s="8"/>
      <c r="Q767" s="8"/>
      <c r="R767" s="8"/>
      <c r="S767" s="789"/>
      <c r="T767" s="789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  <c r="BL767" s="8"/>
      <c r="BM767" s="8"/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</row>
    <row r="768" spans="1:93" ht="15.75" customHeight="1">
      <c r="A768" s="8"/>
      <c r="B768" s="8"/>
      <c r="C768" s="8"/>
      <c r="D768" s="8"/>
      <c r="E768" s="8"/>
      <c r="F768" s="8"/>
      <c r="G768" s="789"/>
      <c r="H768" s="789"/>
      <c r="I768" s="789"/>
      <c r="J768" s="790"/>
      <c r="K768" s="789"/>
      <c r="L768" s="789"/>
      <c r="M768" s="789"/>
      <c r="N768" s="789"/>
      <c r="O768" s="8"/>
      <c r="P768" s="8"/>
      <c r="Q768" s="8"/>
      <c r="R768" s="8"/>
      <c r="S768" s="789"/>
      <c r="T768" s="789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  <c r="BL768" s="8"/>
      <c r="BM768" s="8"/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</row>
    <row r="769" spans="1:93" ht="15.75" customHeight="1">
      <c r="A769" s="8"/>
      <c r="B769" s="8"/>
      <c r="C769" s="8"/>
      <c r="D769" s="8"/>
      <c r="E769" s="8"/>
      <c r="F769" s="8"/>
      <c r="G769" s="789"/>
      <c r="H769" s="789"/>
      <c r="I769" s="789"/>
      <c r="J769" s="790"/>
      <c r="K769" s="789"/>
      <c r="L769" s="789"/>
      <c r="M769" s="789"/>
      <c r="N769" s="789"/>
      <c r="O769" s="8"/>
      <c r="P769" s="8"/>
      <c r="Q769" s="8"/>
      <c r="R769" s="8"/>
      <c r="S769" s="789"/>
      <c r="T769" s="789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  <c r="BL769" s="8"/>
      <c r="BM769" s="8"/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</row>
    <row r="770" spans="1:93" ht="15.75" customHeight="1">
      <c r="A770" s="8"/>
      <c r="B770" s="8"/>
      <c r="C770" s="8"/>
      <c r="D770" s="8"/>
      <c r="E770" s="8"/>
      <c r="F770" s="8"/>
      <c r="G770" s="789"/>
      <c r="H770" s="789"/>
      <c r="I770" s="789"/>
      <c r="J770" s="790"/>
      <c r="K770" s="789"/>
      <c r="L770" s="789"/>
      <c r="M770" s="789"/>
      <c r="N770" s="789"/>
      <c r="O770" s="8"/>
      <c r="P770" s="8"/>
      <c r="Q770" s="8"/>
      <c r="R770" s="8"/>
      <c r="S770" s="789"/>
      <c r="T770" s="789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  <c r="BL770" s="8"/>
      <c r="BM770" s="8"/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</row>
    <row r="771" spans="1:93" ht="15.75" customHeight="1">
      <c r="A771" s="8"/>
      <c r="B771" s="8"/>
      <c r="C771" s="8"/>
      <c r="D771" s="8"/>
      <c r="E771" s="8"/>
      <c r="F771" s="8"/>
      <c r="G771" s="789"/>
      <c r="H771" s="789"/>
      <c r="I771" s="789"/>
      <c r="J771" s="790"/>
      <c r="K771" s="789"/>
      <c r="L771" s="789"/>
      <c r="M771" s="789"/>
      <c r="N771" s="789"/>
      <c r="O771" s="8"/>
      <c r="P771" s="8"/>
      <c r="Q771" s="8"/>
      <c r="R771" s="8"/>
      <c r="S771" s="789"/>
      <c r="T771" s="789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  <c r="BL771" s="8"/>
      <c r="BM771" s="8"/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</row>
    <row r="772" spans="1:93" ht="15.75" customHeight="1">
      <c r="A772" s="8"/>
      <c r="B772" s="8"/>
      <c r="C772" s="8"/>
      <c r="D772" s="8"/>
      <c r="E772" s="8"/>
      <c r="F772" s="8"/>
      <c r="G772" s="789"/>
      <c r="H772" s="789"/>
      <c r="I772" s="789"/>
      <c r="J772" s="790"/>
      <c r="K772" s="789"/>
      <c r="L772" s="789"/>
      <c r="M772" s="789"/>
      <c r="N772" s="789"/>
      <c r="O772" s="8"/>
      <c r="P772" s="8"/>
      <c r="Q772" s="8"/>
      <c r="R772" s="8"/>
      <c r="S772" s="789"/>
      <c r="T772" s="789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  <c r="BL772" s="8"/>
      <c r="BM772" s="8"/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</row>
    <row r="773" spans="1:93" ht="15.75" customHeight="1">
      <c r="A773" s="8"/>
      <c r="B773" s="8"/>
      <c r="C773" s="8"/>
      <c r="D773" s="8"/>
      <c r="E773" s="8"/>
      <c r="F773" s="8"/>
      <c r="G773" s="789"/>
      <c r="H773" s="789"/>
      <c r="I773" s="789"/>
      <c r="J773" s="790"/>
      <c r="K773" s="789"/>
      <c r="L773" s="789"/>
      <c r="M773" s="789"/>
      <c r="N773" s="789"/>
      <c r="O773" s="8"/>
      <c r="P773" s="8"/>
      <c r="Q773" s="8"/>
      <c r="R773" s="8"/>
      <c r="S773" s="789"/>
      <c r="T773" s="789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  <c r="BL773" s="8"/>
      <c r="BM773" s="8"/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</row>
    <row r="774" spans="1:93" ht="15.75" customHeight="1">
      <c r="A774" s="8"/>
      <c r="B774" s="8"/>
      <c r="C774" s="8"/>
      <c r="D774" s="8"/>
      <c r="E774" s="8"/>
      <c r="F774" s="8"/>
      <c r="G774" s="789"/>
      <c r="H774" s="789"/>
      <c r="I774" s="789"/>
      <c r="J774" s="790"/>
      <c r="K774" s="789"/>
      <c r="L774" s="789"/>
      <c r="M774" s="789"/>
      <c r="N774" s="789"/>
      <c r="O774" s="8"/>
      <c r="P774" s="8"/>
      <c r="Q774" s="8"/>
      <c r="R774" s="8"/>
      <c r="S774" s="789"/>
      <c r="T774" s="789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  <c r="BL774" s="8"/>
      <c r="BM774" s="8"/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</row>
    <row r="775" spans="1:93" ht="15.75" customHeight="1">
      <c r="A775" s="8"/>
      <c r="B775" s="8"/>
      <c r="C775" s="8"/>
      <c r="D775" s="8"/>
      <c r="E775" s="8"/>
      <c r="F775" s="8"/>
      <c r="G775" s="789"/>
      <c r="H775" s="789"/>
      <c r="I775" s="789"/>
      <c r="J775" s="790"/>
      <c r="K775" s="789"/>
      <c r="L775" s="789"/>
      <c r="M775" s="789"/>
      <c r="N775" s="789"/>
      <c r="O775" s="8"/>
      <c r="P775" s="8"/>
      <c r="Q775" s="8"/>
      <c r="R775" s="8"/>
      <c r="S775" s="789"/>
      <c r="T775" s="789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  <c r="BL775" s="8"/>
      <c r="BM775" s="8"/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</row>
    <row r="776" spans="1:93" ht="15.75" customHeight="1">
      <c r="A776" s="8"/>
      <c r="B776" s="8"/>
      <c r="C776" s="8"/>
      <c r="D776" s="8"/>
      <c r="E776" s="8"/>
      <c r="F776" s="8"/>
      <c r="G776" s="789"/>
      <c r="H776" s="789"/>
      <c r="I776" s="789"/>
      <c r="J776" s="790"/>
      <c r="K776" s="789"/>
      <c r="L776" s="789"/>
      <c r="M776" s="789"/>
      <c r="N776" s="789"/>
      <c r="O776" s="8"/>
      <c r="P776" s="8"/>
      <c r="Q776" s="8"/>
      <c r="R776" s="8"/>
      <c r="S776" s="789"/>
      <c r="T776" s="789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  <c r="BL776" s="8"/>
      <c r="BM776" s="8"/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</row>
    <row r="777" spans="1:93" ht="15.75" customHeight="1">
      <c r="A777" s="8"/>
      <c r="B777" s="8"/>
      <c r="C777" s="8"/>
      <c r="D777" s="8"/>
      <c r="E777" s="8"/>
      <c r="F777" s="8"/>
      <c r="G777" s="789"/>
      <c r="H777" s="789"/>
      <c r="I777" s="789"/>
      <c r="J777" s="790"/>
      <c r="K777" s="789"/>
      <c r="L777" s="789"/>
      <c r="M777" s="789"/>
      <c r="N777" s="789"/>
      <c r="O777" s="8"/>
      <c r="P777" s="8"/>
      <c r="Q777" s="8"/>
      <c r="R777" s="8"/>
      <c r="S777" s="789"/>
      <c r="T777" s="789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  <c r="BL777" s="8"/>
      <c r="BM777" s="8"/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</row>
    <row r="778" spans="1:93" ht="15.75" customHeight="1">
      <c r="A778" s="8"/>
      <c r="B778" s="8"/>
      <c r="C778" s="8"/>
      <c r="D778" s="8"/>
      <c r="E778" s="8"/>
      <c r="F778" s="8"/>
      <c r="G778" s="789"/>
      <c r="H778" s="789"/>
      <c r="I778" s="789"/>
      <c r="J778" s="790"/>
      <c r="K778" s="789"/>
      <c r="L778" s="789"/>
      <c r="M778" s="789"/>
      <c r="N778" s="789"/>
      <c r="O778" s="8"/>
      <c r="P778" s="8"/>
      <c r="Q778" s="8"/>
      <c r="R778" s="8"/>
      <c r="S778" s="789"/>
      <c r="T778" s="789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  <c r="BL778" s="8"/>
      <c r="BM778" s="8"/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</row>
    <row r="779" spans="1:93" ht="15.75" customHeight="1">
      <c r="A779" s="8"/>
      <c r="B779" s="8"/>
      <c r="C779" s="8"/>
      <c r="D779" s="8"/>
      <c r="E779" s="8"/>
      <c r="F779" s="8"/>
      <c r="G779" s="789"/>
      <c r="H779" s="789"/>
      <c r="I779" s="789"/>
      <c r="J779" s="790"/>
      <c r="K779" s="789"/>
      <c r="L779" s="789"/>
      <c r="M779" s="789"/>
      <c r="N779" s="789"/>
      <c r="O779" s="8"/>
      <c r="P779" s="8"/>
      <c r="Q779" s="8"/>
      <c r="R779" s="8"/>
      <c r="S779" s="789"/>
      <c r="T779" s="789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  <c r="BL779" s="8"/>
      <c r="BM779" s="8"/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</row>
    <row r="780" spans="1:93" ht="15.75" customHeight="1">
      <c r="A780" s="8"/>
      <c r="B780" s="8"/>
      <c r="C780" s="8"/>
      <c r="D780" s="8"/>
      <c r="E780" s="8"/>
      <c r="F780" s="8"/>
      <c r="G780" s="789"/>
      <c r="H780" s="789"/>
      <c r="I780" s="789"/>
      <c r="J780" s="790"/>
      <c r="K780" s="789"/>
      <c r="L780" s="789"/>
      <c r="M780" s="789"/>
      <c r="N780" s="789"/>
      <c r="O780" s="8"/>
      <c r="P780" s="8"/>
      <c r="Q780" s="8"/>
      <c r="R780" s="8"/>
      <c r="S780" s="789"/>
      <c r="T780" s="789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  <c r="BL780" s="8"/>
      <c r="BM780" s="8"/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</row>
    <row r="781" spans="1:93" ht="15.75" customHeight="1">
      <c r="A781" s="8"/>
      <c r="B781" s="8"/>
      <c r="C781" s="8"/>
      <c r="D781" s="8"/>
      <c r="E781" s="8"/>
      <c r="F781" s="8"/>
      <c r="G781" s="789"/>
      <c r="H781" s="789"/>
      <c r="I781" s="789"/>
      <c r="J781" s="790"/>
      <c r="K781" s="789"/>
      <c r="L781" s="789"/>
      <c r="M781" s="789"/>
      <c r="N781" s="789"/>
      <c r="O781" s="8"/>
      <c r="P781" s="8"/>
      <c r="Q781" s="8"/>
      <c r="R781" s="8"/>
      <c r="S781" s="789"/>
      <c r="T781" s="789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  <c r="BL781" s="8"/>
      <c r="BM781" s="8"/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</row>
    <row r="782" spans="1:93" ht="15.75" customHeight="1">
      <c r="A782" s="8"/>
      <c r="B782" s="8"/>
      <c r="C782" s="8"/>
      <c r="D782" s="8"/>
      <c r="E782" s="8"/>
      <c r="F782" s="8"/>
      <c r="G782" s="789"/>
      <c r="H782" s="789"/>
      <c r="I782" s="789"/>
      <c r="J782" s="790"/>
      <c r="K782" s="789"/>
      <c r="L782" s="789"/>
      <c r="M782" s="789"/>
      <c r="N782" s="789"/>
      <c r="O782" s="8"/>
      <c r="P782" s="8"/>
      <c r="Q782" s="8"/>
      <c r="R782" s="8"/>
      <c r="S782" s="789"/>
      <c r="T782" s="789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  <c r="BL782" s="8"/>
      <c r="BM782" s="8"/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</row>
    <row r="783" spans="1:93" ht="15.75" customHeight="1">
      <c r="A783" s="8"/>
      <c r="B783" s="8"/>
      <c r="C783" s="8"/>
      <c r="D783" s="8"/>
      <c r="E783" s="8"/>
      <c r="F783" s="8"/>
      <c r="G783" s="789"/>
      <c r="H783" s="789"/>
      <c r="I783" s="789"/>
      <c r="J783" s="790"/>
      <c r="K783" s="789"/>
      <c r="L783" s="789"/>
      <c r="M783" s="789"/>
      <c r="N783" s="789"/>
      <c r="O783" s="8"/>
      <c r="P783" s="8"/>
      <c r="Q783" s="8"/>
      <c r="R783" s="8"/>
      <c r="S783" s="789"/>
      <c r="T783" s="789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  <c r="BL783" s="8"/>
      <c r="BM783" s="8"/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</row>
    <row r="784" spans="1:93" ht="15.75" customHeight="1">
      <c r="A784" s="8"/>
      <c r="B784" s="8"/>
      <c r="C784" s="8"/>
      <c r="D784" s="8"/>
      <c r="E784" s="8"/>
      <c r="F784" s="8"/>
      <c r="G784" s="789"/>
      <c r="H784" s="789"/>
      <c r="I784" s="789"/>
      <c r="J784" s="790"/>
      <c r="K784" s="789"/>
      <c r="L784" s="789"/>
      <c r="M784" s="789"/>
      <c r="N784" s="789"/>
      <c r="O784" s="8"/>
      <c r="P784" s="8"/>
      <c r="Q784" s="8"/>
      <c r="R784" s="8"/>
      <c r="S784" s="789"/>
      <c r="T784" s="789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  <c r="BL784" s="8"/>
      <c r="BM784" s="8"/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</row>
    <row r="785" spans="1:93" ht="15.75" customHeight="1">
      <c r="A785" s="8"/>
      <c r="B785" s="8"/>
      <c r="C785" s="8"/>
      <c r="D785" s="8"/>
      <c r="E785" s="8"/>
      <c r="F785" s="8"/>
      <c r="G785" s="789"/>
      <c r="H785" s="789"/>
      <c r="I785" s="789"/>
      <c r="J785" s="790"/>
      <c r="K785" s="789"/>
      <c r="L785" s="789"/>
      <c r="M785" s="789"/>
      <c r="N785" s="789"/>
      <c r="O785" s="8"/>
      <c r="P785" s="8"/>
      <c r="Q785" s="8"/>
      <c r="R785" s="8"/>
      <c r="S785" s="789"/>
      <c r="T785" s="789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  <c r="BL785" s="8"/>
      <c r="BM785" s="8"/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</row>
    <row r="786" spans="1:93" ht="15.75" customHeight="1">
      <c r="A786" s="8"/>
      <c r="B786" s="8"/>
      <c r="C786" s="8"/>
      <c r="D786" s="8"/>
      <c r="E786" s="8"/>
      <c r="F786" s="8"/>
      <c r="G786" s="789"/>
      <c r="H786" s="789"/>
      <c r="I786" s="789"/>
      <c r="J786" s="790"/>
      <c r="K786" s="789"/>
      <c r="L786" s="789"/>
      <c r="M786" s="789"/>
      <c r="N786" s="789"/>
      <c r="O786" s="8"/>
      <c r="P786" s="8"/>
      <c r="Q786" s="8"/>
      <c r="R786" s="8"/>
      <c r="S786" s="789"/>
      <c r="T786" s="789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  <c r="BL786" s="8"/>
      <c r="BM786" s="8"/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</row>
    <row r="787" spans="1:93" ht="15.75" customHeight="1">
      <c r="A787" s="8"/>
      <c r="B787" s="8"/>
      <c r="C787" s="8"/>
      <c r="D787" s="8"/>
      <c r="E787" s="8"/>
      <c r="F787" s="8"/>
      <c r="G787" s="789"/>
      <c r="H787" s="789"/>
      <c r="I787" s="789"/>
      <c r="J787" s="790"/>
      <c r="K787" s="789"/>
      <c r="L787" s="789"/>
      <c r="M787" s="789"/>
      <c r="N787" s="789"/>
      <c r="O787" s="8"/>
      <c r="P787" s="8"/>
      <c r="Q787" s="8"/>
      <c r="R787" s="8"/>
      <c r="S787" s="789"/>
      <c r="T787" s="789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  <c r="BL787" s="8"/>
      <c r="BM787" s="8"/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</row>
    <row r="788" spans="1:93" ht="15.75" customHeight="1">
      <c r="A788" s="8"/>
      <c r="B788" s="8"/>
      <c r="C788" s="8"/>
      <c r="D788" s="8"/>
      <c r="E788" s="8"/>
      <c r="F788" s="8"/>
      <c r="G788" s="789"/>
      <c r="H788" s="789"/>
      <c r="I788" s="789"/>
      <c r="J788" s="790"/>
      <c r="K788" s="789"/>
      <c r="L788" s="789"/>
      <c r="M788" s="789"/>
      <c r="N788" s="789"/>
      <c r="O788" s="8"/>
      <c r="P788" s="8"/>
      <c r="Q788" s="8"/>
      <c r="R788" s="8"/>
      <c r="S788" s="789"/>
      <c r="T788" s="789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  <c r="BL788" s="8"/>
      <c r="BM788" s="8"/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</row>
    <row r="789" spans="1:93" ht="15.75" customHeight="1">
      <c r="A789" s="8"/>
      <c r="B789" s="8"/>
      <c r="C789" s="8"/>
      <c r="D789" s="8"/>
      <c r="E789" s="8"/>
      <c r="F789" s="8"/>
      <c r="G789" s="789"/>
      <c r="H789" s="789"/>
      <c r="I789" s="789"/>
      <c r="J789" s="790"/>
      <c r="K789" s="789"/>
      <c r="L789" s="789"/>
      <c r="M789" s="789"/>
      <c r="N789" s="789"/>
      <c r="O789" s="8"/>
      <c r="P789" s="8"/>
      <c r="Q789" s="8"/>
      <c r="R789" s="8"/>
      <c r="S789" s="789"/>
      <c r="T789" s="789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  <c r="BL789" s="8"/>
      <c r="BM789" s="8"/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</row>
    <row r="790" spans="1:93" ht="15.75" customHeight="1">
      <c r="A790" s="8"/>
      <c r="B790" s="8"/>
      <c r="C790" s="8"/>
      <c r="D790" s="8"/>
      <c r="E790" s="8"/>
      <c r="F790" s="8"/>
      <c r="G790" s="789"/>
      <c r="H790" s="789"/>
      <c r="I790" s="789"/>
      <c r="J790" s="790"/>
      <c r="K790" s="789"/>
      <c r="L790" s="789"/>
      <c r="M790" s="789"/>
      <c r="N790" s="789"/>
      <c r="O790" s="8"/>
      <c r="P790" s="8"/>
      <c r="Q790" s="8"/>
      <c r="R790" s="8"/>
      <c r="S790" s="789"/>
      <c r="T790" s="789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  <c r="BL790" s="8"/>
      <c r="BM790" s="8"/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</row>
    <row r="791" spans="1:93" ht="15.75" customHeight="1">
      <c r="A791" s="8"/>
      <c r="B791" s="8"/>
      <c r="C791" s="8"/>
      <c r="D791" s="8"/>
      <c r="E791" s="8"/>
      <c r="F791" s="8"/>
      <c r="G791" s="789"/>
      <c r="H791" s="789"/>
      <c r="I791" s="789"/>
      <c r="J791" s="790"/>
      <c r="K791" s="789"/>
      <c r="L791" s="789"/>
      <c r="M791" s="789"/>
      <c r="N791" s="789"/>
      <c r="O791" s="8"/>
      <c r="P791" s="8"/>
      <c r="Q791" s="8"/>
      <c r="R791" s="8"/>
      <c r="S791" s="789"/>
      <c r="T791" s="789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  <c r="BL791" s="8"/>
      <c r="BM791" s="8"/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</row>
    <row r="792" spans="1:93" ht="15.75" customHeight="1">
      <c r="A792" s="8"/>
      <c r="B792" s="8"/>
      <c r="C792" s="8"/>
      <c r="D792" s="8"/>
      <c r="E792" s="8"/>
      <c r="F792" s="8"/>
      <c r="G792" s="789"/>
      <c r="H792" s="789"/>
      <c r="I792" s="789"/>
      <c r="J792" s="790"/>
      <c r="K792" s="789"/>
      <c r="L792" s="789"/>
      <c r="M792" s="789"/>
      <c r="N792" s="789"/>
      <c r="O792" s="8"/>
      <c r="P792" s="8"/>
      <c r="Q792" s="8"/>
      <c r="R792" s="8"/>
      <c r="S792" s="789"/>
      <c r="T792" s="789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  <c r="BL792" s="8"/>
      <c r="BM792" s="8"/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</row>
    <row r="793" spans="1:93" ht="15.75" customHeight="1">
      <c r="A793" s="8"/>
      <c r="B793" s="8"/>
      <c r="C793" s="8"/>
      <c r="D793" s="8"/>
      <c r="E793" s="8"/>
      <c r="F793" s="8"/>
      <c r="G793" s="789"/>
      <c r="H793" s="789"/>
      <c r="I793" s="789"/>
      <c r="J793" s="790"/>
      <c r="K793" s="789"/>
      <c r="L793" s="789"/>
      <c r="M793" s="789"/>
      <c r="N793" s="789"/>
      <c r="O793" s="8"/>
      <c r="P793" s="8"/>
      <c r="Q793" s="8"/>
      <c r="R793" s="8"/>
      <c r="S793" s="789"/>
      <c r="T793" s="789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  <c r="BL793" s="8"/>
      <c r="BM793" s="8"/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</row>
    <row r="794" spans="1:93" ht="15.75" customHeight="1">
      <c r="A794" s="8"/>
      <c r="B794" s="8"/>
      <c r="C794" s="8"/>
      <c r="D794" s="8"/>
      <c r="E794" s="8"/>
      <c r="F794" s="8"/>
      <c r="G794" s="789"/>
      <c r="H794" s="789"/>
      <c r="I794" s="789"/>
      <c r="J794" s="790"/>
      <c r="K794" s="789"/>
      <c r="L794" s="789"/>
      <c r="M794" s="789"/>
      <c r="N794" s="789"/>
      <c r="O794" s="8"/>
      <c r="P794" s="8"/>
      <c r="Q794" s="8"/>
      <c r="R794" s="8"/>
      <c r="S794" s="789"/>
      <c r="T794" s="789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  <c r="BL794" s="8"/>
      <c r="BM794" s="8"/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</row>
    <row r="795" spans="1:93" ht="15.75" customHeight="1">
      <c r="A795" s="8"/>
      <c r="B795" s="8"/>
      <c r="C795" s="8"/>
      <c r="D795" s="8"/>
      <c r="E795" s="8"/>
      <c r="F795" s="8"/>
      <c r="G795" s="789"/>
      <c r="H795" s="789"/>
      <c r="I795" s="789"/>
      <c r="J795" s="790"/>
      <c r="K795" s="789"/>
      <c r="L795" s="789"/>
      <c r="M795" s="789"/>
      <c r="N795" s="789"/>
      <c r="O795" s="8"/>
      <c r="P795" s="8"/>
      <c r="Q795" s="8"/>
      <c r="R795" s="8"/>
      <c r="S795" s="789"/>
      <c r="T795" s="789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  <c r="BL795" s="8"/>
      <c r="BM795" s="8"/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</row>
    <row r="796" spans="1:93" ht="15.75" customHeight="1">
      <c r="A796" s="8"/>
      <c r="B796" s="8"/>
      <c r="C796" s="8"/>
      <c r="D796" s="8"/>
      <c r="E796" s="8"/>
      <c r="F796" s="8"/>
      <c r="G796" s="789"/>
      <c r="H796" s="789"/>
      <c r="I796" s="789"/>
      <c r="J796" s="790"/>
      <c r="K796" s="789"/>
      <c r="L796" s="789"/>
      <c r="M796" s="789"/>
      <c r="N796" s="789"/>
      <c r="O796" s="8"/>
      <c r="P796" s="8"/>
      <c r="Q796" s="8"/>
      <c r="R796" s="8"/>
      <c r="S796" s="789"/>
      <c r="T796" s="789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  <c r="BL796" s="8"/>
      <c r="BM796" s="8"/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</row>
    <row r="797" spans="1:93" ht="15.75" customHeight="1">
      <c r="A797" s="8"/>
      <c r="B797" s="8"/>
      <c r="C797" s="8"/>
      <c r="D797" s="8"/>
      <c r="E797" s="8"/>
      <c r="F797" s="8"/>
      <c r="G797" s="789"/>
      <c r="H797" s="789"/>
      <c r="I797" s="789"/>
      <c r="J797" s="790"/>
      <c r="K797" s="789"/>
      <c r="L797" s="789"/>
      <c r="M797" s="789"/>
      <c r="N797" s="789"/>
      <c r="O797" s="8"/>
      <c r="P797" s="8"/>
      <c r="Q797" s="8"/>
      <c r="R797" s="8"/>
      <c r="S797" s="789"/>
      <c r="T797" s="789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  <c r="BL797" s="8"/>
      <c r="BM797" s="8"/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</row>
    <row r="798" spans="1:93" ht="15.75" customHeight="1">
      <c r="A798" s="8"/>
      <c r="B798" s="8"/>
      <c r="C798" s="8"/>
      <c r="D798" s="8"/>
      <c r="E798" s="8"/>
      <c r="F798" s="8"/>
      <c r="G798" s="789"/>
      <c r="H798" s="789"/>
      <c r="I798" s="789"/>
      <c r="J798" s="790"/>
      <c r="K798" s="789"/>
      <c r="L798" s="789"/>
      <c r="M798" s="789"/>
      <c r="N798" s="789"/>
      <c r="O798" s="8"/>
      <c r="P798" s="8"/>
      <c r="Q798" s="8"/>
      <c r="R798" s="8"/>
      <c r="S798" s="789"/>
      <c r="T798" s="789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  <c r="BL798" s="8"/>
      <c r="BM798" s="8"/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</row>
    <row r="799" spans="1:93" ht="15.75" customHeight="1">
      <c r="A799" s="8"/>
      <c r="B799" s="8"/>
      <c r="C799" s="8"/>
      <c r="D799" s="8"/>
      <c r="E799" s="8"/>
      <c r="F799" s="8"/>
      <c r="G799" s="789"/>
      <c r="H799" s="789"/>
      <c r="I799" s="789"/>
      <c r="J799" s="790"/>
      <c r="K799" s="789"/>
      <c r="L799" s="789"/>
      <c r="M799" s="789"/>
      <c r="N799" s="789"/>
      <c r="O799" s="8"/>
      <c r="P799" s="8"/>
      <c r="Q799" s="8"/>
      <c r="R799" s="8"/>
      <c r="S799" s="789"/>
      <c r="T799" s="789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  <c r="BL799" s="8"/>
      <c r="BM799" s="8"/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</row>
    <row r="800" spans="1:93" ht="15.75" customHeight="1">
      <c r="A800" s="8"/>
      <c r="B800" s="8"/>
      <c r="C800" s="8"/>
      <c r="D800" s="8"/>
      <c r="E800" s="8"/>
      <c r="F800" s="8"/>
      <c r="G800" s="789"/>
      <c r="H800" s="789"/>
      <c r="I800" s="789"/>
      <c r="J800" s="790"/>
      <c r="K800" s="789"/>
      <c r="L800" s="789"/>
      <c r="M800" s="789"/>
      <c r="N800" s="789"/>
      <c r="O800" s="8"/>
      <c r="P800" s="8"/>
      <c r="Q800" s="8"/>
      <c r="R800" s="8"/>
      <c r="S800" s="789"/>
      <c r="T800" s="789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  <c r="BL800" s="8"/>
      <c r="BM800" s="8"/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</row>
    <row r="801" spans="1:93" ht="15.75" customHeight="1">
      <c r="A801" s="8"/>
      <c r="B801" s="8"/>
      <c r="C801" s="8"/>
      <c r="D801" s="8"/>
      <c r="E801" s="8"/>
      <c r="F801" s="8"/>
      <c r="G801" s="789"/>
      <c r="H801" s="789"/>
      <c r="I801" s="789"/>
      <c r="J801" s="790"/>
      <c r="K801" s="789"/>
      <c r="L801" s="789"/>
      <c r="M801" s="789"/>
      <c r="N801" s="789"/>
      <c r="O801" s="8"/>
      <c r="P801" s="8"/>
      <c r="Q801" s="8"/>
      <c r="R801" s="8"/>
      <c r="S801" s="789"/>
      <c r="T801" s="789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  <c r="BL801" s="8"/>
      <c r="BM801" s="8"/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</row>
    <row r="802" spans="1:93" ht="15.75" customHeight="1">
      <c r="A802" s="8"/>
      <c r="B802" s="8"/>
      <c r="C802" s="8"/>
      <c r="D802" s="8"/>
      <c r="E802" s="8"/>
      <c r="F802" s="8"/>
      <c r="G802" s="789"/>
      <c r="H802" s="789"/>
      <c r="I802" s="789"/>
      <c r="J802" s="790"/>
      <c r="K802" s="789"/>
      <c r="L802" s="789"/>
      <c r="M802" s="789"/>
      <c r="N802" s="789"/>
      <c r="O802" s="8"/>
      <c r="P802" s="8"/>
      <c r="Q802" s="8"/>
      <c r="R802" s="8"/>
      <c r="S802" s="789"/>
      <c r="T802" s="789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  <c r="BL802" s="8"/>
      <c r="BM802" s="8"/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</row>
    <row r="803" spans="1:93" ht="15.75" customHeight="1">
      <c r="A803" s="8"/>
      <c r="B803" s="8"/>
      <c r="C803" s="8"/>
      <c r="D803" s="8"/>
      <c r="E803" s="8"/>
      <c r="F803" s="8"/>
      <c r="G803" s="789"/>
      <c r="H803" s="789"/>
      <c r="I803" s="789"/>
      <c r="J803" s="790"/>
      <c r="K803" s="789"/>
      <c r="L803" s="789"/>
      <c r="M803" s="789"/>
      <c r="N803" s="789"/>
      <c r="O803" s="8"/>
      <c r="P803" s="8"/>
      <c r="Q803" s="8"/>
      <c r="R803" s="8"/>
      <c r="S803" s="789"/>
      <c r="T803" s="789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  <c r="BL803" s="8"/>
      <c r="BM803" s="8"/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</row>
    <row r="804" spans="1:93" ht="15.75" customHeight="1">
      <c r="A804" s="8"/>
      <c r="B804" s="8"/>
      <c r="C804" s="8"/>
      <c r="D804" s="8"/>
      <c r="E804" s="8"/>
      <c r="F804" s="8"/>
      <c r="G804" s="789"/>
      <c r="H804" s="789"/>
      <c r="I804" s="789"/>
      <c r="J804" s="790"/>
      <c r="K804" s="789"/>
      <c r="L804" s="789"/>
      <c r="M804" s="789"/>
      <c r="N804" s="789"/>
      <c r="O804" s="8"/>
      <c r="P804" s="8"/>
      <c r="Q804" s="8"/>
      <c r="R804" s="8"/>
      <c r="S804" s="789"/>
      <c r="T804" s="789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  <c r="BL804" s="8"/>
      <c r="BM804" s="8"/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</row>
    <row r="805" spans="1:93" ht="15.75" customHeight="1">
      <c r="A805" s="8"/>
      <c r="B805" s="8"/>
      <c r="C805" s="8"/>
      <c r="D805" s="8"/>
      <c r="E805" s="8"/>
      <c r="F805" s="8"/>
      <c r="G805" s="789"/>
      <c r="H805" s="789"/>
      <c r="I805" s="789"/>
      <c r="J805" s="790"/>
      <c r="K805" s="789"/>
      <c r="L805" s="789"/>
      <c r="M805" s="789"/>
      <c r="N805" s="789"/>
      <c r="O805" s="8"/>
      <c r="P805" s="8"/>
      <c r="Q805" s="8"/>
      <c r="R805" s="8"/>
      <c r="S805" s="789"/>
      <c r="T805" s="789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  <c r="BL805" s="8"/>
      <c r="BM805" s="8"/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</row>
    <row r="806" spans="1:93" ht="15.75" customHeight="1">
      <c r="A806" s="8"/>
      <c r="B806" s="8"/>
      <c r="C806" s="8"/>
      <c r="D806" s="8"/>
      <c r="E806" s="8"/>
      <c r="F806" s="8"/>
      <c r="G806" s="789"/>
      <c r="H806" s="789"/>
      <c r="I806" s="789"/>
      <c r="J806" s="790"/>
      <c r="K806" s="789"/>
      <c r="L806" s="789"/>
      <c r="M806" s="789"/>
      <c r="N806" s="789"/>
      <c r="O806" s="8"/>
      <c r="P806" s="8"/>
      <c r="Q806" s="8"/>
      <c r="R806" s="8"/>
      <c r="S806" s="789"/>
      <c r="T806" s="789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  <c r="BL806" s="8"/>
      <c r="BM806" s="8"/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</row>
    <row r="807" spans="1:93" ht="15.75" customHeight="1">
      <c r="A807" s="8"/>
      <c r="B807" s="8"/>
      <c r="C807" s="8"/>
      <c r="D807" s="8"/>
      <c r="E807" s="8"/>
      <c r="F807" s="8"/>
      <c r="G807" s="789"/>
      <c r="H807" s="789"/>
      <c r="I807" s="789"/>
      <c r="J807" s="790"/>
      <c r="K807" s="789"/>
      <c r="L807" s="789"/>
      <c r="M807" s="789"/>
      <c r="N807" s="789"/>
      <c r="O807" s="8"/>
      <c r="P807" s="8"/>
      <c r="Q807" s="8"/>
      <c r="R807" s="8"/>
      <c r="S807" s="789"/>
      <c r="T807" s="789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  <c r="BL807" s="8"/>
      <c r="BM807" s="8"/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</row>
    <row r="808" spans="1:93" ht="15.75" customHeight="1">
      <c r="A808" s="8"/>
      <c r="B808" s="8"/>
      <c r="C808" s="8"/>
      <c r="D808" s="8"/>
      <c r="E808" s="8"/>
      <c r="F808" s="8"/>
      <c r="G808" s="789"/>
      <c r="H808" s="789"/>
      <c r="I808" s="789"/>
      <c r="J808" s="790"/>
      <c r="K808" s="789"/>
      <c r="L808" s="789"/>
      <c r="M808" s="789"/>
      <c r="N808" s="789"/>
      <c r="O808" s="8"/>
      <c r="P808" s="8"/>
      <c r="Q808" s="8"/>
      <c r="R808" s="8"/>
      <c r="S808" s="789"/>
      <c r="T808" s="789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  <c r="BL808" s="8"/>
      <c r="BM808" s="8"/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</row>
    <row r="809" spans="1:93" ht="15.75" customHeight="1">
      <c r="A809" s="8"/>
      <c r="B809" s="8"/>
      <c r="C809" s="8"/>
      <c r="D809" s="8"/>
      <c r="E809" s="8"/>
      <c r="F809" s="8"/>
      <c r="G809" s="789"/>
      <c r="H809" s="789"/>
      <c r="I809" s="789"/>
      <c r="J809" s="790"/>
      <c r="K809" s="789"/>
      <c r="L809" s="789"/>
      <c r="M809" s="789"/>
      <c r="N809" s="789"/>
      <c r="O809" s="8"/>
      <c r="P809" s="8"/>
      <c r="Q809" s="8"/>
      <c r="R809" s="8"/>
      <c r="S809" s="789"/>
      <c r="T809" s="789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  <c r="BL809" s="8"/>
      <c r="BM809" s="8"/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</row>
    <row r="810" spans="1:93" ht="15.75" customHeight="1">
      <c r="A810" s="8"/>
      <c r="B810" s="8"/>
      <c r="C810" s="8"/>
      <c r="D810" s="8"/>
      <c r="E810" s="8"/>
      <c r="F810" s="8"/>
      <c r="G810" s="789"/>
      <c r="H810" s="789"/>
      <c r="I810" s="789"/>
      <c r="J810" s="790"/>
      <c r="K810" s="789"/>
      <c r="L810" s="789"/>
      <c r="M810" s="789"/>
      <c r="N810" s="789"/>
      <c r="O810" s="8"/>
      <c r="P810" s="8"/>
      <c r="Q810" s="8"/>
      <c r="R810" s="8"/>
      <c r="S810" s="789"/>
      <c r="T810" s="789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  <c r="BL810" s="8"/>
      <c r="BM810" s="8"/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</row>
    <row r="811" spans="1:93" ht="15.75" customHeight="1">
      <c r="A811" s="8"/>
      <c r="B811" s="8"/>
      <c r="C811" s="8"/>
      <c r="D811" s="8"/>
      <c r="E811" s="8"/>
      <c r="F811" s="8"/>
      <c r="G811" s="789"/>
      <c r="H811" s="789"/>
      <c r="I811" s="789"/>
      <c r="J811" s="790"/>
      <c r="K811" s="789"/>
      <c r="L811" s="789"/>
      <c r="M811" s="789"/>
      <c r="N811" s="789"/>
      <c r="O811" s="8"/>
      <c r="P811" s="8"/>
      <c r="Q811" s="8"/>
      <c r="R811" s="8"/>
      <c r="S811" s="789"/>
      <c r="T811" s="789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  <c r="BL811" s="8"/>
      <c r="BM811" s="8"/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</row>
    <row r="812" spans="1:93" ht="15.75" customHeight="1">
      <c r="A812" s="8"/>
      <c r="B812" s="8"/>
      <c r="C812" s="8"/>
      <c r="D812" s="8"/>
      <c r="E812" s="8"/>
      <c r="F812" s="8"/>
      <c r="G812" s="789"/>
      <c r="H812" s="789"/>
      <c r="I812" s="789"/>
      <c r="J812" s="790"/>
      <c r="K812" s="789"/>
      <c r="L812" s="789"/>
      <c r="M812" s="789"/>
      <c r="N812" s="789"/>
      <c r="O812" s="8"/>
      <c r="P812" s="8"/>
      <c r="Q812" s="8"/>
      <c r="R812" s="8"/>
      <c r="S812" s="789"/>
      <c r="T812" s="789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  <c r="BL812" s="8"/>
      <c r="BM812" s="8"/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</row>
    <row r="813" spans="1:93" ht="15.75" customHeight="1">
      <c r="A813" s="8"/>
      <c r="B813" s="8"/>
      <c r="C813" s="8"/>
      <c r="D813" s="8"/>
      <c r="E813" s="8"/>
      <c r="F813" s="8"/>
      <c r="G813" s="789"/>
      <c r="H813" s="789"/>
      <c r="I813" s="789"/>
      <c r="J813" s="790"/>
      <c r="K813" s="789"/>
      <c r="L813" s="789"/>
      <c r="M813" s="789"/>
      <c r="N813" s="789"/>
      <c r="O813" s="8"/>
      <c r="P813" s="8"/>
      <c r="Q813" s="8"/>
      <c r="R813" s="8"/>
      <c r="S813" s="789"/>
      <c r="T813" s="789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  <c r="BL813" s="8"/>
      <c r="BM813" s="8"/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</row>
    <row r="814" spans="1:93" ht="15.75" customHeight="1">
      <c r="A814" s="8"/>
      <c r="B814" s="8"/>
      <c r="C814" s="8"/>
      <c r="D814" s="8"/>
      <c r="E814" s="8"/>
      <c r="F814" s="8"/>
      <c r="G814" s="789"/>
      <c r="H814" s="789"/>
      <c r="I814" s="789"/>
      <c r="J814" s="790"/>
      <c r="K814" s="789"/>
      <c r="L814" s="789"/>
      <c r="M814" s="789"/>
      <c r="N814" s="789"/>
      <c r="O814" s="8"/>
      <c r="P814" s="8"/>
      <c r="Q814" s="8"/>
      <c r="R814" s="8"/>
      <c r="S814" s="789"/>
      <c r="T814" s="789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  <c r="BL814" s="8"/>
      <c r="BM814" s="8"/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</row>
    <row r="815" spans="1:93" ht="15.75" customHeight="1">
      <c r="A815" s="8"/>
      <c r="B815" s="8"/>
      <c r="C815" s="8"/>
      <c r="D815" s="8"/>
      <c r="E815" s="8"/>
      <c r="F815" s="8"/>
      <c r="G815" s="789"/>
      <c r="H815" s="789"/>
      <c r="I815" s="789"/>
      <c r="J815" s="790"/>
      <c r="K815" s="789"/>
      <c r="L815" s="789"/>
      <c r="M815" s="789"/>
      <c r="N815" s="789"/>
      <c r="O815" s="8"/>
      <c r="P815" s="8"/>
      <c r="Q815" s="8"/>
      <c r="R815" s="8"/>
      <c r="S815" s="789"/>
      <c r="T815" s="789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  <c r="BL815" s="8"/>
      <c r="BM815" s="8"/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</row>
    <row r="816" spans="1:93" ht="15.75" customHeight="1">
      <c r="A816" s="8"/>
      <c r="B816" s="8"/>
      <c r="C816" s="8"/>
      <c r="D816" s="8"/>
      <c r="E816" s="8"/>
      <c r="F816" s="8"/>
      <c r="G816" s="789"/>
      <c r="H816" s="789"/>
      <c r="I816" s="789"/>
      <c r="J816" s="790"/>
      <c r="K816" s="789"/>
      <c r="L816" s="789"/>
      <c r="M816" s="789"/>
      <c r="N816" s="789"/>
      <c r="O816" s="8"/>
      <c r="P816" s="8"/>
      <c r="Q816" s="8"/>
      <c r="R816" s="8"/>
      <c r="S816" s="789"/>
      <c r="T816" s="789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  <c r="BL816" s="8"/>
      <c r="BM816" s="8"/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</row>
    <row r="817" spans="1:93" ht="15.75" customHeight="1">
      <c r="A817" s="8"/>
      <c r="B817" s="8"/>
      <c r="C817" s="8"/>
      <c r="D817" s="8"/>
      <c r="E817" s="8"/>
      <c r="F817" s="8"/>
      <c r="G817" s="789"/>
      <c r="H817" s="789"/>
      <c r="I817" s="789"/>
      <c r="J817" s="790"/>
      <c r="K817" s="789"/>
      <c r="L817" s="789"/>
      <c r="M817" s="789"/>
      <c r="N817" s="789"/>
      <c r="O817" s="8"/>
      <c r="P817" s="8"/>
      <c r="Q817" s="8"/>
      <c r="R817" s="8"/>
      <c r="S817" s="789"/>
      <c r="T817" s="789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  <c r="BL817" s="8"/>
      <c r="BM817" s="8"/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</row>
    <row r="818" spans="1:93" ht="15.75" customHeight="1">
      <c r="A818" s="8"/>
      <c r="B818" s="8"/>
      <c r="C818" s="8"/>
      <c r="D818" s="8"/>
      <c r="E818" s="8"/>
      <c r="F818" s="8"/>
      <c r="G818" s="789"/>
      <c r="H818" s="789"/>
      <c r="I818" s="789"/>
      <c r="J818" s="790"/>
      <c r="K818" s="789"/>
      <c r="L818" s="789"/>
      <c r="M818" s="789"/>
      <c r="N818" s="789"/>
      <c r="O818" s="8"/>
      <c r="P818" s="8"/>
      <c r="Q818" s="8"/>
      <c r="R818" s="8"/>
      <c r="S818" s="789"/>
      <c r="T818" s="789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  <c r="BL818" s="8"/>
      <c r="BM818" s="8"/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</row>
    <row r="819" spans="1:93" ht="15.75" customHeight="1">
      <c r="A819" s="8"/>
      <c r="B819" s="8"/>
      <c r="C819" s="8"/>
      <c r="D819" s="8"/>
      <c r="E819" s="8"/>
      <c r="F819" s="8"/>
      <c r="G819" s="789"/>
      <c r="H819" s="789"/>
      <c r="I819" s="789"/>
      <c r="J819" s="790"/>
      <c r="K819" s="789"/>
      <c r="L819" s="789"/>
      <c r="M819" s="789"/>
      <c r="N819" s="789"/>
      <c r="O819" s="8"/>
      <c r="P819" s="8"/>
      <c r="Q819" s="8"/>
      <c r="R819" s="8"/>
      <c r="S819" s="789"/>
      <c r="T819" s="789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  <c r="BL819" s="8"/>
      <c r="BM819" s="8"/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</row>
    <row r="820" spans="1:93" ht="15.75" customHeight="1">
      <c r="A820" s="8"/>
      <c r="B820" s="8"/>
      <c r="C820" s="8"/>
      <c r="D820" s="8"/>
      <c r="E820" s="8"/>
      <c r="F820" s="8"/>
      <c r="G820" s="789"/>
      <c r="H820" s="789"/>
      <c r="I820" s="789"/>
      <c r="J820" s="790"/>
      <c r="K820" s="789"/>
      <c r="L820" s="789"/>
      <c r="M820" s="789"/>
      <c r="N820" s="789"/>
      <c r="O820" s="8"/>
      <c r="P820" s="8"/>
      <c r="Q820" s="8"/>
      <c r="R820" s="8"/>
      <c r="S820" s="789"/>
      <c r="T820" s="789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  <c r="BL820" s="8"/>
      <c r="BM820" s="8"/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</row>
    <row r="821" spans="1:93" ht="15.75" customHeight="1">
      <c r="A821" s="8"/>
      <c r="B821" s="8"/>
      <c r="C821" s="8"/>
      <c r="D821" s="8"/>
      <c r="E821" s="8"/>
      <c r="F821" s="8"/>
      <c r="G821" s="789"/>
      <c r="H821" s="789"/>
      <c r="I821" s="789"/>
      <c r="J821" s="790"/>
      <c r="K821" s="789"/>
      <c r="L821" s="789"/>
      <c r="M821" s="789"/>
      <c r="N821" s="789"/>
      <c r="O821" s="8"/>
      <c r="P821" s="8"/>
      <c r="Q821" s="8"/>
      <c r="R821" s="8"/>
      <c r="S821" s="789"/>
      <c r="T821" s="789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  <c r="BL821" s="8"/>
      <c r="BM821" s="8"/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</row>
    <row r="822" spans="1:93" ht="15.75" customHeight="1">
      <c r="A822" s="8"/>
      <c r="B822" s="8"/>
      <c r="C822" s="8"/>
      <c r="D822" s="8"/>
      <c r="E822" s="8"/>
      <c r="F822" s="8"/>
      <c r="G822" s="789"/>
      <c r="H822" s="789"/>
      <c r="I822" s="789"/>
      <c r="J822" s="790"/>
      <c r="K822" s="789"/>
      <c r="L822" s="789"/>
      <c r="M822" s="789"/>
      <c r="N822" s="789"/>
      <c r="O822" s="8"/>
      <c r="P822" s="8"/>
      <c r="Q822" s="8"/>
      <c r="R822" s="8"/>
      <c r="S822" s="789"/>
      <c r="T822" s="789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  <c r="BL822" s="8"/>
      <c r="BM822" s="8"/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</row>
    <row r="823" spans="1:93" ht="15.75" customHeight="1">
      <c r="A823" s="8"/>
      <c r="B823" s="8"/>
      <c r="C823" s="8"/>
      <c r="D823" s="8"/>
      <c r="E823" s="8"/>
      <c r="F823" s="8"/>
      <c r="G823" s="789"/>
      <c r="H823" s="789"/>
      <c r="I823" s="789"/>
      <c r="J823" s="790"/>
      <c r="K823" s="789"/>
      <c r="L823" s="789"/>
      <c r="M823" s="789"/>
      <c r="N823" s="789"/>
      <c r="O823" s="8"/>
      <c r="P823" s="8"/>
      <c r="Q823" s="8"/>
      <c r="R823" s="8"/>
      <c r="S823" s="789"/>
      <c r="T823" s="789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  <c r="BL823" s="8"/>
      <c r="BM823" s="8"/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</row>
    <row r="824" spans="1:93" ht="15.75" customHeight="1">
      <c r="A824" s="8"/>
      <c r="B824" s="8"/>
      <c r="C824" s="8"/>
      <c r="D824" s="8"/>
      <c r="E824" s="8"/>
      <c r="F824" s="8"/>
      <c r="G824" s="789"/>
      <c r="H824" s="789"/>
      <c r="I824" s="789"/>
      <c r="J824" s="790"/>
      <c r="K824" s="789"/>
      <c r="L824" s="789"/>
      <c r="M824" s="789"/>
      <c r="N824" s="789"/>
      <c r="O824" s="8"/>
      <c r="P824" s="8"/>
      <c r="Q824" s="8"/>
      <c r="R824" s="8"/>
      <c r="S824" s="789"/>
      <c r="T824" s="789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  <c r="BL824" s="8"/>
      <c r="BM824" s="8"/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</row>
    <row r="825" spans="1:93" ht="15.75" customHeight="1">
      <c r="A825" s="8"/>
      <c r="B825" s="8"/>
      <c r="C825" s="8"/>
      <c r="D825" s="8"/>
      <c r="E825" s="8"/>
      <c r="F825" s="8"/>
      <c r="G825" s="789"/>
      <c r="H825" s="789"/>
      <c r="I825" s="789"/>
      <c r="J825" s="790"/>
      <c r="K825" s="789"/>
      <c r="L825" s="789"/>
      <c r="M825" s="789"/>
      <c r="N825" s="789"/>
      <c r="O825" s="8"/>
      <c r="P825" s="8"/>
      <c r="Q825" s="8"/>
      <c r="R825" s="8"/>
      <c r="S825" s="789"/>
      <c r="T825" s="789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  <c r="BL825" s="8"/>
      <c r="BM825" s="8"/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</row>
    <row r="826" spans="1:93" ht="15.75" customHeight="1">
      <c r="A826" s="8"/>
      <c r="B826" s="8"/>
      <c r="C826" s="8"/>
      <c r="D826" s="8"/>
      <c r="E826" s="8"/>
      <c r="F826" s="8"/>
      <c r="G826" s="789"/>
      <c r="H826" s="789"/>
      <c r="I826" s="789"/>
      <c r="J826" s="790"/>
      <c r="K826" s="789"/>
      <c r="L826" s="789"/>
      <c r="M826" s="789"/>
      <c r="N826" s="789"/>
      <c r="O826" s="8"/>
      <c r="P826" s="8"/>
      <c r="Q826" s="8"/>
      <c r="R826" s="8"/>
      <c r="S826" s="789"/>
      <c r="T826" s="789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  <c r="BL826" s="8"/>
      <c r="BM826" s="8"/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</row>
    <row r="827" spans="1:93" ht="15.75" customHeight="1">
      <c r="A827" s="8"/>
      <c r="B827" s="8"/>
      <c r="C827" s="8"/>
      <c r="D827" s="8"/>
      <c r="E827" s="8"/>
      <c r="F827" s="8"/>
      <c r="G827" s="789"/>
      <c r="H827" s="789"/>
      <c r="I827" s="789"/>
      <c r="J827" s="790"/>
      <c r="K827" s="789"/>
      <c r="L827" s="789"/>
      <c r="M827" s="789"/>
      <c r="N827" s="789"/>
      <c r="O827" s="8"/>
      <c r="P827" s="8"/>
      <c r="Q827" s="8"/>
      <c r="R827" s="8"/>
      <c r="S827" s="789"/>
      <c r="T827" s="789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  <c r="BL827" s="8"/>
      <c r="BM827" s="8"/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</row>
    <row r="828" spans="1:93" ht="15.75" customHeight="1">
      <c r="A828" s="8"/>
      <c r="B828" s="8"/>
      <c r="C828" s="8"/>
      <c r="D828" s="8"/>
      <c r="E828" s="8"/>
      <c r="F828" s="8"/>
      <c r="G828" s="789"/>
      <c r="H828" s="789"/>
      <c r="I828" s="789"/>
      <c r="J828" s="790"/>
      <c r="K828" s="789"/>
      <c r="L828" s="789"/>
      <c r="M828" s="789"/>
      <c r="N828" s="789"/>
      <c r="O828" s="8"/>
      <c r="P828" s="8"/>
      <c r="Q828" s="8"/>
      <c r="R828" s="8"/>
      <c r="S828" s="789"/>
      <c r="T828" s="789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  <c r="BL828" s="8"/>
      <c r="BM828" s="8"/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</row>
    <row r="829" spans="1:93" ht="15.75" customHeight="1">
      <c r="A829" s="8"/>
      <c r="B829" s="8"/>
      <c r="C829" s="8"/>
      <c r="D829" s="8"/>
      <c r="E829" s="8"/>
      <c r="F829" s="8"/>
      <c r="G829" s="789"/>
      <c r="H829" s="789"/>
      <c r="I829" s="789"/>
      <c r="J829" s="790"/>
      <c r="K829" s="789"/>
      <c r="L829" s="789"/>
      <c r="M829" s="789"/>
      <c r="N829" s="789"/>
      <c r="O829" s="8"/>
      <c r="P829" s="8"/>
      <c r="Q829" s="8"/>
      <c r="R829" s="8"/>
      <c r="S829" s="789"/>
      <c r="T829" s="789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  <c r="BL829" s="8"/>
      <c r="BM829" s="8"/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</row>
    <row r="830" spans="1:93" ht="15.75" customHeight="1">
      <c r="A830" s="8"/>
      <c r="B830" s="8"/>
      <c r="C830" s="8"/>
      <c r="D830" s="8"/>
      <c r="E830" s="8"/>
      <c r="F830" s="8"/>
      <c r="G830" s="789"/>
      <c r="H830" s="789"/>
      <c r="I830" s="789"/>
      <c r="J830" s="790"/>
      <c r="K830" s="789"/>
      <c r="L830" s="789"/>
      <c r="M830" s="789"/>
      <c r="N830" s="789"/>
      <c r="O830" s="8"/>
      <c r="P830" s="8"/>
      <c r="Q830" s="8"/>
      <c r="R830" s="8"/>
      <c r="S830" s="789"/>
      <c r="T830" s="789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  <c r="BL830" s="8"/>
      <c r="BM830" s="8"/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</row>
    <row r="831" spans="1:93" ht="15.75" customHeight="1">
      <c r="A831" s="8"/>
      <c r="B831" s="8"/>
      <c r="C831" s="8"/>
      <c r="D831" s="8"/>
      <c r="E831" s="8"/>
      <c r="F831" s="8"/>
      <c r="G831" s="789"/>
      <c r="H831" s="789"/>
      <c r="I831" s="789"/>
      <c r="J831" s="790"/>
      <c r="K831" s="789"/>
      <c r="L831" s="789"/>
      <c r="M831" s="789"/>
      <c r="N831" s="789"/>
      <c r="O831" s="8"/>
      <c r="P831" s="8"/>
      <c r="Q831" s="8"/>
      <c r="R831" s="8"/>
      <c r="S831" s="789"/>
      <c r="T831" s="789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  <c r="BL831" s="8"/>
      <c r="BM831" s="8"/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</row>
    <row r="832" spans="1:93" ht="15.75" customHeight="1">
      <c r="A832" s="8"/>
      <c r="B832" s="8"/>
      <c r="C832" s="8"/>
      <c r="D832" s="8"/>
      <c r="E832" s="8"/>
      <c r="F832" s="8"/>
      <c r="G832" s="789"/>
      <c r="H832" s="789"/>
      <c r="I832" s="789"/>
      <c r="J832" s="790"/>
      <c r="K832" s="789"/>
      <c r="L832" s="789"/>
      <c r="M832" s="789"/>
      <c r="N832" s="789"/>
      <c r="O832" s="8"/>
      <c r="P832" s="8"/>
      <c r="Q832" s="8"/>
      <c r="R832" s="8"/>
      <c r="S832" s="789"/>
      <c r="T832" s="789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  <c r="BL832" s="8"/>
      <c r="BM832" s="8"/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</row>
    <row r="833" spans="1:93" ht="15.75" customHeight="1">
      <c r="A833" s="8"/>
      <c r="B833" s="8"/>
      <c r="C833" s="8"/>
      <c r="D833" s="8"/>
      <c r="E833" s="8"/>
      <c r="F833" s="8"/>
      <c r="G833" s="789"/>
      <c r="H833" s="789"/>
      <c r="I833" s="789"/>
      <c r="J833" s="790"/>
      <c r="K833" s="789"/>
      <c r="L833" s="789"/>
      <c r="M833" s="789"/>
      <c r="N833" s="789"/>
      <c r="O833" s="8"/>
      <c r="P833" s="8"/>
      <c r="Q833" s="8"/>
      <c r="R833" s="8"/>
      <c r="S833" s="789"/>
      <c r="T833" s="789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  <c r="BL833" s="8"/>
      <c r="BM833" s="8"/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</row>
    <row r="834" spans="1:93" ht="15.75" customHeight="1">
      <c r="A834" s="8"/>
      <c r="B834" s="8"/>
      <c r="C834" s="8"/>
      <c r="D834" s="8"/>
      <c r="E834" s="8"/>
      <c r="F834" s="8"/>
      <c r="G834" s="789"/>
      <c r="H834" s="789"/>
      <c r="I834" s="789"/>
      <c r="J834" s="790"/>
      <c r="K834" s="789"/>
      <c r="L834" s="789"/>
      <c r="M834" s="789"/>
      <c r="N834" s="789"/>
      <c r="O834" s="8"/>
      <c r="P834" s="8"/>
      <c r="Q834" s="8"/>
      <c r="R834" s="8"/>
      <c r="S834" s="789"/>
      <c r="T834" s="789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  <c r="BL834" s="8"/>
      <c r="BM834" s="8"/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</row>
    <row r="835" spans="1:93" ht="15.75" customHeight="1">
      <c r="A835" s="8"/>
      <c r="B835" s="8"/>
      <c r="C835" s="8"/>
      <c r="D835" s="8"/>
      <c r="E835" s="8"/>
      <c r="F835" s="8"/>
      <c r="G835" s="789"/>
      <c r="H835" s="789"/>
      <c r="I835" s="789"/>
      <c r="J835" s="790"/>
      <c r="K835" s="789"/>
      <c r="L835" s="789"/>
      <c r="M835" s="789"/>
      <c r="N835" s="789"/>
      <c r="O835" s="8"/>
      <c r="P835" s="8"/>
      <c r="Q835" s="8"/>
      <c r="R835" s="8"/>
      <c r="S835" s="789"/>
      <c r="T835" s="789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  <c r="BL835" s="8"/>
      <c r="BM835" s="8"/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</row>
    <row r="836" spans="1:93" ht="15.75" customHeight="1">
      <c r="A836" s="8"/>
      <c r="B836" s="8"/>
      <c r="C836" s="8"/>
      <c r="D836" s="8"/>
      <c r="E836" s="8"/>
      <c r="F836" s="8"/>
      <c r="G836" s="789"/>
      <c r="H836" s="789"/>
      <c r="I836" s="789"/>
      <c r="J836" s="790"/>
      <c r="K836" s="789"/>
      <c r="L836" s="789"/>
      <c r="M836" s="789"/>
      <c r="N836" s="789"/>
      <c r="O836" s="8"/>
      <c r="P836" s="8"/>
      <c r="Q836" s="8"/>
      <c r="R836" s="8"/>
      <c r="S836" s="789"/>
      <c r="T836" s="789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  <c r="BL836" s="8"/>
      <c r="BM836" s="8"/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</row>
    <row r="837" spans="1:93" ht="15.75" customHeight="1">
      <c r="A837" s="8"/>
      <c r="B837" s="8"/>
      <c r="C837" s="8"/>
      <c r="D837" s="8"/>
      <c r="E837" s="8"/>
      <c r="F837" s="8"/>
      <c r="G837" s="789"/>
      <c r="H837" s="789"/>
      <c r="I837" s="789"/>
      <c r="J837" s="790"/>
      <c r="K837" s="789"/>
      <c r="L837" s="789"/>
      <c r="M837" s="789"/>
      <c r="N837" s="789"/>
      <c r="O837" s="8"/>
      <c r="P837" s="8"/>
      <c r="Q837" s="8"/>
      <c r="R837" s="8"/>
      <c r="S837" s="789"/>
      <c r="T837" s="789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  <c r="BL837" s="8"/>
      <c r="BM837" s="8"/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</row>
    <row r="838" spans="1:93" ht="15.75" customHeight="1">
      <c r="A838" s="8"/>
      <c r="B838" s="8"/>
      <c r="C838" s="8"/>
      <c r="D838" s="8"/>
      <c r="E838" s="8"/>
      <c r="F838" s="8"/>
      <c r="G838" s="789"/>
      <c r="H838" s="789"/>
      <c r="I838" s="789"/>
      <c r="J838" s="790"/>
      <c r="K838" s="789"/>
      <c r="L838" s="789"/>
      <c r="M838" s="789"/>
      <c r="N838" s="789"/>
      <c r="O838" s="8"/>
      <c r="P838" s="8"/>
      <c r="Q838" s="8"/>
      <c r="R838" s="8"/>
      <c r="S838" s="789"/>
      <c r="T838" s="789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  <c r="BL838" s="8"/>
      <c r="BM838" s="8"/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</row>
    <row r="839" spans="1:93" ht="15.75" customHeight="1">
      <c r="A839" s="8"/>
      <c r="B839" s="8"/>
      <c r="C839" s="8"/>
      <c r="D839" s="8"/>
      <c r="E839" s="8"/>
      <c r="F839" s="8"/>
      <c r="G839" s="789"/>
      <c r="H839" s="789"/>
      <c r="I839" s="789"/>
      <c r="J839" s="790"/>
      <c r="K839" s="789"/>
      <c r="L839" s="789"/>
      <c r="M839" s="789"/>
      <c r="N839" s="789"/>
      <c r="O839" s="8"/>
      <c r="P839" s="8"/>
      <c r="Q839" s="8"/>
      <c r="R839" s="8"/>
      <c r="S839" s="789"/>
      <c r="T839" s="789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  <c r="BL839" s="8"/>
      <c r="BM839" s="8"/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</row>
    <row r="840" spans="1:93" ht="15.75" customHeight="1">
      <c r="A840" s="8"/>
      <c r="B840" s="8"/>
      <c r="C840" s="8"/>
      <c r="D840" s="8"/>
      <c r="E840" s="8"/>
      <c r="F840" s="8"/>
      <c r="G840" s="789"/>
      <c r="H840" s="789"/>
      <c r="I840" s="789"/>
      <c r="J840" s="790"/>
      <c r="K840" s="789"/>
      <c r="L840" s="789"/>
      <c r="M840" s="789"/>
      <c r="N840" s="789"/>
      <c r="O840" s="8"/>
      <c r="P840" s="8"/>
      <c r="Q840" s="8"/>
      <c r="R840" s="8"/>
      <c r="S840" s="789"/>
      <c r="T840" s="789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  <c r="BL840" s="8"/>
      <c r="BM840" s="8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</row>
    <row r="841" spans="1:93" ht="15.75" customHeight="1">
      <c r="A841" s="8"/>
      <c r="B841" s="8"/>
      <c r="C841" s="8"/>
      <c r="D841" s="8"/>
      <c r="E841" s="8"/>
      <c r="F841" s="8"/>
      <c r="G841" s="789"/>
      <c r="H841" s="789"/>
      <c r="I841" s="789"/>
      <c r="J841" s="790"/>
      <c r="K841" s="789"/>
      <c r="L841" s="789"/>
      <c r="M841" s="789"/>
      <c r="N841" s="789"/>
      <c r="O841" s="8"/>
      <c r="P841" s="8"/>
      <c r="Q841" s="8"/>
      <c r="R841" s="8"/>
      <c r="S841" s="789"/>
      <c r="T841" s="789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  <c r="BL841" s="8"/>
      <c r="BM841" s="8"/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</row>
    <row r="842" spans="1:93" ht="15.75" customHeight="1">
      <c r="A842" s="8"/>
      <c r="B842" s="8"/>
      <c r="C842" s="8"/>
      <c r="D842" s="8"/>
      <c r="E842" s="8"/>
      <c r="F842" s="8"/>
      <c r="G842" s="789"/>
      <c r="H842" s="789"/>
      <c r="I842" s="789"/>
      <c r="J842" s="790"/>
      <c r="K842" s="789"/>
      <c r="L842" s="789"/>
      <c r="M842" s="789"/>
      <c r="N842" s="789"/>
      <c r="O842" s="8"/>
      <c r="P842" s="8"/>
      <c r="Q842" s="8"/>
      <c r="R842" s="8"/>
      <c r="S842" s="789"/>
      <c r="T842" s="789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  <c r="BL842" s="8"/>
      <c r="BM842" s="8"/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</row>
    <row r="843" spans="1:93" ht="15.75" customHeight="1">
      <c r="A843" s="8"/>
      <c r="B843" s="8"/>
      <c r="C843" s="8"/>
      <c r="D843" s="8"/>
      <c r="E843" s="8"/>
      <c r="F843" s="8"/>
      <c r="G843" s="789"/>
      <c r="H843" s="789"/>
      <c r="I843" s="789"/>
      <c r="J843" s="790"/>
      <c r="K843" s="789"/>
      <c r="L843" s="789"/>
      <c r="M843" s="789"/>
      <c r="N843" s="789"/>
      <c r="O843" s="8"/>
      <c r="P843" s="8"/>
      <c r="Q843" s="8"/>
      <c r="R843" s="8"/>
      <c r="S843" s="789"/>
      <c r="T843" s="789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  <c r="BL843" s="8"/>
      <c r="BM843" s="8"/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</row>
    <row r="844" spans="1:93" ht="15.75" customHeight="1">
      <c r="A844" s="8"/>
      <c r="B844" s="8"/>
      <c r="C844" s="8"/>
      <c r="D844" s="8"/>
      <c r="E844" s="8"/>
      <c r="F844" s="8"/>
      <c r="G844" s="789"/>
      <c r="H844" s="789"/>
      <c r="I844" s="789"/>
      <c r="J844" s="790"/>
      <c r="K844" s="789"/>
      <c r="L844" s="789"/>
      <c r="M844" s="789"/>
      <c r="N844" s="789"/>
      <c r="O844" s="8"/>
      <c r="P844" s="8"/>
      <c r="Q844" s="8"/>
      <c r="R844" s="8"/>
      <c r="S844" s="789"/>
      <c r="T844" s="789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  <c r="BL844" s="8"/>
      <c r="BM844" s="8"/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</row>
    <row r="845" spans="1:93" ht="15.75" customHeight="1">
      <c r="A845" s="8"/>
      <c r="B845" s="8"/>
      <c r="C845" s="8"/>
      <c r="D845" s="8"/>
      <c r="E845" s="8"/>
      <c r="F845" s="8"/>
      <c r="G845" s="789"/>
      <c r="H845" s="789"/>
      <c r="I845" s="789"/>
      <c r="J845" s="790"/>
      <c r="K845" s="789"/>
      <c r="L845" s="789"/>
      <c r="M845" s="789"/>
      <c r="N845" s="789"/>
      <c r="O845" s="8"/>
      <c r="P845" s="8"/>
      <c r="Q845" s="8"/>
      <c r="R845" s="8"/>
      <c r="S845" s="789"/>
      <c r="T845" s="789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  <c r="BL845" s="8"/>
      <c r="BM845" s="8"/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</row>
    <row r="846" spans="1:93" ht="15.75" customHeight="1">
      <c r="A846" s="8"/>
      <c r="B846" s="8"/>
      <c r="C846" s="8"/>
      <c r="D846" s="8"/>
      <c r="E846" s="8"/>
      <c r="F846" s="8"/>
      <c r="G846" s="789"/>
      <c r="H846" s="789"/>
      <c r="I846" s="789"/>
      <c r="J846" s="790"/>
      <c r="K846" s="789"/>
      <c r="L846" s="789"/>
      <c r="M846" s="789"/>
      <c r="N846" s="789"/>
      <c r="O846" s="8"/>
      <c r="P846" s="8"/>
      <c r="Q846" s="8"/>
      <c r="R846" s="8"/>
      <c r="S846" s="789"/>
      <c r="T846" s="789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  <c r="BL846" s="8"/>
      <c r="BM846" s="8"/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</row>
    <row r="847" spans="1:93" ht="15.75" customHeight="1">
      <c r="A847" s="8"/>
      <c r="B847" s="8"/>
      <c r="C847" s="8"/>
      <c r="D847" s="8"/>
      <c r="E847" s="8"/>
      <c r="F847" s="8"/>
      <c r="G847" s="789"/>
      <c r="H847" s="789"/>
      <c r="I847" s="789"/>
      <c r="J847" s="790"/>
      <c r="K847" s="789"/>
      <c r="L847" s="789"/>
      <c r="M847" s="789"/>
      <c r="N847" s="789"/>
      <c r="O847" s="8"/>
      <c r="P847" s="8"/>
      <c r="Q847" s="8"/>
      <c r="R847" s="8"/>
      <c r="S847" s="789"/>
      <c r="T847" s="789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  <c r="BL847" s="8"/>
      <c r="BM847" s="8"/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</row>
    <row r="848" spans="1:93" ht="15.75" customHeight="1">
      <c r="A848" s="8"/>
      <c r="B848" s="8"/>
      <c r="C848" s="8"/>
      <c r="D848" s="8"/>
      <c r="E848" s="8"/>
      <c r="F848" s="8"/>
      <c r="G848" s="789"/>
      <c r="H848" s="789"/>
      <c r="I848" s="789"/>
      <c r="J848" s="790"/>
      <c r="K848" s="789"/>
      <c r="L848" s="789"/>
      <c r="M848" s="789"/>
      <c r="N848" s="789"/>
      <c r="O848" s="8"/>
      <c r="P848" s="8"/>
      <c r="Q848" s="8"/>
      <c r="R848" s="8"/>
      <c r="S848" s="789"/>
      <c r="T848" s="789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  <c r="BL848" s="8"/>
      <c r="BM848" s="8"/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</row>
    <row r="849" spans="1:93" ht="15.75" customHeight="1">
      <c r="A849" s="8"/>
      <c r="B849" s="8"/>
      <c r="C849" s="8"/>
      <c r="D849" s="8"/>
      <c r="E849" s="8"/>
      <c r="F849" s="8"/>
      <c r="G849" s="789"/>
      <c r="H849" s="789"/>
      <c r="I849" s="789"/>
      <c r="J849" s="790"/>
      <c r="K849" s="789"/>
      <c r="L849" s="789"/>
      <c r="M849" s="789"/>
      <c r="N849" s="789"/>
      <c r="O849" s="8"/>
      <c r="P849" s="8"/>
      <c r="Q849" s="8"/>
      <c r="R849" s="8"/>
      <c r="S849" s="789"/>
      <c r="T849" s="789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  <c r="BL849" s="8"/>
      <c r="BM849" s="8"/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</row>
    <row r="850" spans="1:93" ht="15.75" customHeight="1">
      <c r="A850" s="8"/>
      <c r="B850" s="8"/>
      <c r="C850" s="8"/>
      <c r="D850" s="8"/>
      <c r="E850" s="8"/>
      <c r="F850" s="8"/>
      <c r="G850" s="789"/>
      <c r="H850" s="789"/>
      <c r="I850" s="789"/>
      <c r="J850" s="790"/>
      <c r="K850" s="789"/>
      <c r="L850" s="789"/>
      <c r="M850" s="789"/>
      <c r="N850" s="789"/>
      <c r="O850" s="8"/>
      <c r="P850" s="8"/>
      <c r="Q850" s="8"/>
      <c r="R850" s="8"/>
      <c r="S850" s="789"/>
      <c r="T850" s="789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  <c r="BL850" s="8"/>
      <c r="BM850" s="8"/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</row>
    <row r="851" spans="1:93" ht="15.75" customHeight="1">
      <c r="A851" s="8"/>
      <c r="B851" s="8"/>
      <c r="C851" s="8"/>
      <c r="D851" s="8"/>
      <c r="E851" s="8"/>
      <c r="F851" s="8"/>
      <c r="G851" s="789"/>
      <c r="H851" s="789"/>
      <c r="I851" s="789"/>
      <c r="J851" s="790"/>
      <c r="K851" s="789"/>
      <c r="L851" s="789"/>
      <c r="M851" s="789"/>
      <c r="N851" s="789"/>
      <c r="O851" s="8"/>
      <c r="P851" s="8"/>
      <c r="Q851" s="8"/>
      <c r="R851" s="8"/>
      <c r="S851" s="789"/>
      <c r="T851" s="789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  <c r="BL851" s="8"/>
      <c r="BM851" s="8"/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</row>
    <row r="852" spans="1:93" ht="15.75" customHeight="1">
      <c r="A852" s="8"/>
      <c r="B852" s="8"/>
      <c r="C852" s="8"/>
      <c r="D852" s="8"/>
      <c r="E852" s="8"/>
      <c r="F852" s="8"/>
      <c r="G852" s="789"/>
      <c r="H852" s="789"/>
      <c r="I852" s="789"/>
      <c r="J852" s="790"/>
      <c r="K852" s="789"/>
      <c r="L852" s="789"/>
      <c r="M852" s="789"/>
      <c r="N852" s="789"/>
      <c r="O852" s="8"/>
      <c r="P852" s="8"/>
      <c r="Q852" s="8"/>
      <c r="R852" s="8"/>
      <c r="S852" s="789"/>
      <c r="T852" s="789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  <c r="BL852" s="8"/>
      <c r="BM852" s="8"/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</row>
    <row r="853" spans="1:93" ht="15.75" customHeight="1">
      <c r="A853" s="8"/>
      <c r="B853" s="8"/>
      <c r="C853" s="8"/>
      <c r="D853" s="8"/>
      <c r="E853" s="8"/>
      <c r="F853" s="8"/>
      <c r="G853" s="789"/>
      <c r="H853" s="789"/>
      <c r="I853" s="789"/>
      <c r="J853" s="790"/>
      <c r="K853" s="789"/>
      <c r="L853" s="789"/>
      <c r="M853" s="789"/>
      <c r="N853" s="789"/>
      <c r="O853" s="8"/>
      <c r="P853" s="8"/>
      <c r="Q853" s="8"/>
      <c r="R853" s="8"/>
      <c r="S853" s="789"/>
      <c r="T853" s="789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  <c r="BL853" s="8"/>
      <c r="BM853" s="8"/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</row>
    <row r="854" spans="1:93" ht="15.75" customHeight="1">
      <c r="A854" s="8"/>
      <c r="B854" s="8"/>
      <c r="C854" s="8"/>
      <c r="D854" s="8"/>
      <c r="E854" s="8"/>
      <c r="F854" s="8"/>
      <c r="G854" s="789"/>
      <c r="H854" s="789"/>
      <c r="I854" s="789"/>
      <c r="J854" s="790"/>
      <c r="K854" s="789"/>
      <c r="L854" s="789"/>
      <c r="M854" s="789"/>
      <c r="N854" s="789"/>
      <c r="O854" s="8"/>
      <c r="P854" s="8"/>
      <c r="Q854" s="8"/>
      <c r="R854" s="8"/>
      <c r="S854" s="789"/>
      <c r="T854" s="789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  <c r="BL854" s="8"/>
      <c r="BM854" s="8"/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</row>
    <row r="855" spans="1:93" ht="15.75" customHeight="1">
      <c r="A855" s="8"/>
      <c r="B855" s="8"/>
      <c r="C855" s="8"/>
      <c r="D855" s="8"/>
      <c r="E855" s="8"/>
      <c r="F855" s="8"/>
      <c r="G855" s="789"/>
      <c r="H855" s="789"/>
      <c r="I855" s="789"/>
      <c r="J855" s="790"/>
      <c r="K855" s="789"/>
      <c r="L855" s="789"/>
      <c r="M855" s="789"/>
      <c r="N855" s="789"/>
      <c r="O855" s="8"/>
      <c r="P855" s="8"/>
      <c r="Q855" s="8"/>
      <c r="R855" s="8"/>
      <c r="S855" s="789"/>
      <c r="T855" s="789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  <c r="BL855" s="8"/>
      <c r="BM855" s="8"/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</row>
    <row r="856" spans="1:93" ht="15.75" customHeight="1">
      <c r="A856" s="8"/>
      <c r="B856" s="8"/>
      <c r="C856" s="8"/>
      <c r="D856" s="8"/>
      <c r="E856" s="8"/>
      <c r="F856" s="8"/>
      <c r="G856" s="789"/>
      <c r="H856" s="789"/>
      <c r="I856" s="789"/>
      <c r="J856" s="790"/>
      <c r="K856" s="789"/>
      <c r="L856" s="789"/>
      <c r="M856" s="789"/>
      <c r="N856" s="789"/>
      <c r="O856" s="8"/>
      <c r="P856" s="8"/>
      <c r="Q856" s="8"/>
      <c r="R856" s="8"/>
      <c r="S856" s="789"/>
      <c r="T856" s="789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  <c r="BL856" s="8"/>
      <c r="BM856" s="8"/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</row>
    <row r="857" spans="1:93" ht="15.75" customHeight="1">
      <c r="A857" s="8"/>
      <c r="B857" s="8"/>
      <c r="C857" s="8"/>
      <c r="D857" s="8"/>
      <c r="E857" s="8"/>
      <c r="F857" s="8"/>
      <c r="G857" s="789"/>
      <c r="H857" s="789"/>
      <c r="I857" s="789"/>
      <c r="J857" s="790"/>
      <c r="K857" s="789"/>
      <c r="L857" s="789"/>
      <c r="M857" s="789"/>
      <c r="N857" s="789"/>
      <c r="O857" s="8"/>
      <c r="P857" s="8"/>
      <c r="Q857" s="8"/>
      <c r="R857" s="8"/>
      <c r="S857" s="789"/>
      <c r="T857" s="789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  <c r="BL857" s="8"/>
      <c r="BM857" s="8"/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</row>
    <row r="858" spans="1:93" ht="15.75" customHeight="1">
      <c r="A858" s="8"/>
      <c r="B858" s="8"/>
      <c r="C858" s="8"/>
      <c r="D858" s="8"/>
      <c r="E858" s="8"/>
      <c r="F858" s="8"/>
      <c r="G858" s="789"/>
      <c r="H858" s="789"/>
      <c r="I858" s="789"/>
      <c r="J858" s="790"/>
      <c r="K858" s="789"/>
      <c r="L858" s="789"/>
      <c r="M858" s="789"/>
      <c r="N858" s="789"/>
      <c r="O858" s="8"/>
      <c r="P858" s="8"/>
      <c r="Q858" s="8"/>
      <c r="R858" s="8"/>
      <c r="S858" s="789"/>
      <c r="T858" s="789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  <c r="BL858" s="8"/>
      <c r="BM858" s="8"/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</row>
    <row r="859" spans="1:93" ht="15.75" customHeight="1">
      <c r="A859" s="8"/>
      <c r="B859" s="8"/>
      <c r="C859" s="8"/>
      <c r="D859" s="8"/>
      <c r="E859" s="8"/>
      <c r="F859" s="8"/>
      <c r="G859" s="789"/>
      <c r="H859" s="789"/>
      <c r="I859" s="789"/>
      <c r="J859" s="790"/>
      <c r="K859" s="789"/>
      <c r="L859" s="789"/>
      <c r="M859" s="789"/>
      <c r="N859" s="789"/>
      <c r="O859" s="8"/>
      <c r="P859" s="8"/>
      <c r="Q859" s="8"/>
      <c r="R859" s="8"/>
      <c r="S859" s="789"/>
      <c r="T859" s="789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  <c r="BL859" s="8"/>
      <c r="BM859" s="8"/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</row>
    <row r="860" spans="1:93" ht="15.75" customHeight="1">
      <c r="A860" s="8"/>
      <c r="B860" s="8"/>
      <c r="C860" s="8"/>
      <c r="D860" s="8"/>
      <c r="E860" s="8"/>
      <c r="F860" s="8"/>
      <c r="G860" s="789"/>
      <c r="H860" s="789"/>
      <c r="I860" s="789"/>
      <c r="J860" s="790"/>
      <c r="K860" s="789"/>
      <c r="L860" s="789"/>
      <c r="M860" s="789"/>
      <c r="N860" s="789"/>
      <c r="O860" s="8"/>
      <c r="P860" s="8"/>
      <c r="Q860" s="8"/>
      <c r="R860" s="8"/>
      <c r="S860" s="789"/>
      <c r="T860" s="789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  <c r="BL860" s="8"/>
      <c r="BM860" s="8"/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</row>
    <row r="861" spans="1:93" ht="15.75" customHeight="1">
      <c r="A861" s="8"/>
      <c r="B861" s="8"/>
      <c r="C861" s="8"/>
      <c r="D861" s="8"/>
      <c r="E861" s="8"/>
      <c r="F861" s="8"/>
      <c r="G861" s="789"/>
      <c r="H861" s="789"/>
      <c r="I861" s="789"/>
      <c r="J861" s="790"/>
      <c r="K861" s="789"/>
      <c r="L861" s="789"/>
      <c r="M861" s="789"/>
      <c r="N861" s="789"/>
      <c r="O861" s="8"/>
      <c r="P861" s="8"/>
      <c r="Q861" s="8"/>
      <c r="R861" s="8"/>
      <c r="S861" s="789"/>
      <c r="T861" s="789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  <c r="BL861" s="8"/>
      <c r="BM861" s="8"/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</row>
    <row r="862" spans="1:93" ht="15.75" customHeight="1">
      <c r="A862" s="8"/>
      <c r="B862" s="8"/>
      <c r="C862" s="8"/>
      <c r="D862" s="8"/>
      <c r="E862" s="8"/>
      <c r="F862" s="8"/>
      <c r="G862" s="789"/>
      <c r="H862" s="789"/>
      <c r="I862" s="789"/>
      <c r="J862" s="790"/>
      <c r="K862" s="789"/>
      <c r="L862" s="789"/>
      <c r="M862" s="789"/>
      <c r="N862" s="789"/>
      <c r="O862" s="8"/>
      <c r="P862" s="8"/>
      <c r="Q862" s="8"/>
      <c r="R862" s="8"/>
      <c r="S862" s="789"/>
      <c r="T862" s="789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  <c r="BL862" s="8"/>
      <c r="BM862" s="8"/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</row>
    <row r="863" spans="1:93" ht="15.75" customHeight="1">
      <c r="A863" s="8"/>
      <c r="B863" s="8"/>
      <c r="C863" s="8"/>
      <c r="D863" s="8"/>
      <c r="E863" s="8"/>
      <c r="F863" s="8"/>
      <c r="G863" s="789"/>
      <c r="H863" s="789"/>
      <c r="I863" s="789"/>
      <c r="J863" s="790"/>
      <c r="K863" s="789"/>
      <c r="L863" s="789"/>
      <c r="M863" s="789"/>
      <c r="N863" s="789"/>
      <c r="O863" s="8"/>
      <c r="P863" s="8"/>
      <c r="Q863" s="8"/>
      <c r="R863" s="8"/>
      <c r="S863" s="789"/>
      <c r="T863" s="789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  <c r="BL863" s="8"/>
      <c r="BM863" s="8"/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</row>
    <row r="864" spans="1:93" ht="15.75" customHeight="1">
      <c r="A864" s="8"/>
      <c r="B864" s="8"/>
      <c r="C864" s="8"/>
      <c r="D864" s="8"/>
      <c r="E864" s="8"/>
      <c r="F864" s="8"/>
      <c r="G864" s="789"/>
      <c r="H864" s="789"/>
      <c r="I864" s="789"/>
      <c r="J864" s="790"/>
      <c r="K864" s="789"/>
      <c r="L864" s="789"/>
      <c r="M864" s="789"/>
      <c r="N864" s="789"/>
      <c r="O864" s="8"/>
      <c r="P864" s="8"/>
      <c r="Q864" s="8"/>
      <c r="R864" s="8"/>
      <c r="S864" s="789"/>
      <c r="T864" s="789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  <c r="BL864" s="8"/>
      <c r="BM864" s="8"/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</row>
    <row r="865" spans="1:93" ht="15.75" customHeight="1">
      <c r="A865" s="8"/>
      <c r="B865" s="8"/>
      <c r="C865" s="8"/>
      <c r="D865" s="8"/>
      <c r="E865" s="8"/>
      <c r="F865" s="8"/>
      <c r="G865" s="789"/>
      <c r="H865" s="789"/>
      <c r="I865" s="789"/>
      <c r="J865" s="790"/>
      <c r="K865" s="789"/>
      <c r="L865" s="789"/>
      <c r="M865" s="789"/>
      <c r="N865" s="789"/>
      <c r="O865" s="8"/>
      <c r="P865" s="8"/>
      <c r="Q865" s="8"/>
      <c r="R865" s="8"/>
      <c r="S865" s="789"/>
      <c r="T865" s="789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  <c r="BL865" s="8"/>
      <c r="BM865" s="8"/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</row>
    <row r="866" spans="1:93" ht="15.75" customHeight="1">
      <c r="A866" s="8"/>
      <c r="B866" s="8"/>
      <c r="C866" s="8"/>
      <c r="D866" s="8"/>
      <c r="E866" s="8"/>
      <c r="F866" s="8"/>
      <c r="G866" s="789"/>
      <c r="H866" s="789"/>
      <c r="I866" s="789"/>
      <c r="J866" s="790"/>
      <c r="K866" s="789"/>
      <c r="L866" s="789"/>
      <c r="M866" s="789"/>
      <c r="N866" s="789"/>
      <c r="O866" s="8"/>
      <c r="P866" s="8"/>
      <c r="Q866" s="8"/>
      <c r="R866" s="8"/>
      <c r="S866" s="789"/>
      <c r="T866" s="789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  <c r="BL866" s="8"/>
      <c r="BM866" s="8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</row>
    <row r="867" spans="1:93" ht="15.75" customHeight="1">
      <c r="A867" s="8"/>
      <c r="B867" s="8"/>
      <c r="C867" s="8"/>
      <c r="D867" s="8"/>
      <c r="E867" s="8"/>
      <c r="F867" s="8"/>
      <c r="G867" s="789"/>
      <c r="H867" s="789"/>
      <c r="I867" s="789"/>
      <c r="J867" s="790"/>
      <c r="K867" s="789"/>
      <c r="L867" s="789"/>
      <c r="M867" s="789"/>
      <c r="N867" s="789"/>
      <c r="O867" s="8"/>
      <c r="P867" s="8"/>
      <c r="Q867" s="8"/>
      <c r="R867" s="8"/>
      <c r="S867" s="789"/>
      <c r="T867" s="789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  <c r="BL867" s="8"/>
      <c r="BM867" s="8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</row>
    <row r="868" spans="1:93" ht="15.75" customHeight="1">
      <c r="A868" s="8"/>
      <c r="B868" s="8"/>
      <c r="C868" s="8"/>
      <c r="D868" s="8"/>
      <c r="E868" s="8"/>
      <c r="F868" s="8"/>
      <c r="G868" s="789"/>
      <c r="H868" s="789"/>
      <c r="I868" s="789"/>
      <c r="J868" s="790"/>
      <c r="K868" s="789"/>
      <c r="L868" s="789"/>
      <c r="M868" s="789"/>
      <c r="N868" s="789"/>
      <c r="O868" s="8"/>
      <c r="P868" s="8"/>
      <c r="Q868" s="8"/>
      <c r="R868" s="8"/>
      <c r="S868" s="789"/>
      <c r="T868" s="789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  <c r="BL868" s="8"/>
      <c r="BM868" s="8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</row>
    <row r="869" spans="1:93" ht="15.75" customHeight="1">
      <c r="A869" s="8"/>
      <c r="B869" s="8"/>
      <c r="C869" s="8"/>
      <c r="D869" s="8"/>
      <c r="E869" s="8"/>
      <c r="F869" s="8"/>
      <c r="G869" s="789"/>
      <c r="H869" s="789"/>
      <c r="I869" s="789"/>
      <c r="J869" s="790"/>
      <c r="K869" s="789"/>
      <c r="L869" s="789"/>
      <c r="M869" s="789"/>
      <c r="N869" s="789"/>
      <c r="O869" s="8"/>
      <c r="P869" s="8"/>
      <c r="Q869" s="8"/>
      <c r="R869" s="8"/>
      <c r="S869" s="789"/>
      <c r="T869" s="789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  <c r="BL869" s="8"/>
      <c r="BM869" s="8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</row>
    <row r="870" spans="1:93" ht="15.75" customHeight="1">
      <c r="A870" s="8"/>
      <c r="B870" s="8"/>
      <c r="C870" s="8"/>
      <c r="D870" s="8"/>
      <c r="E870" s="8"/>
      <c r="F870" s="8"/>
      <c r="G870" s="789"/>
      <c r="H870" s="789"/>
      <c r="I870" s="789"/>
      <c r="J870" s="790"/>
      <c r="K870" s="789"/>
      <c r="L870" s="789"/>
      <c r="M870" s="789"/>
      <c r="N870" s="789"/>
      <c r="O870" s="8"/>
      <c r="P870" s="8"/>
      <c r="Q870" s="8"/>
      <c r="R870" s="8"/>
      <c r="S870" s="789"/>
      <c r="T870" s="789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  <c r="BL870" s="8"/>
      <c r="BM870" s="8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</row>
    <row r="871" spans="1:93" ht="15.75" customHeight="1">
      <c r="A871" s="8"/>
      <c r="B871" s="8"/>
      <c r="C871" s="8"/>
      <c r="D871" s="8"/>
      <c r="E871" s="8"/>
      <c r="F871" s="8"/>
      <c r="G871" s="789"/>
      <c r="H871" s="789"/>
      <c r="I871" s="789"/>
      <c r="J871" s="790"/>
      <c r="K871" s="789"/>
      <c r="L871" s="789"/>
      <c r="M871" s="789"/>
      <c r="N871" s="789"/>
      <c r="O871" s="8"/>
      <c r="P871" s="8"/>
      <c r="Q871" s="8"/>
      <c r="R871" s="8"/>
      <c r="S871" s="789"/>
      <c r="T871" s="789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  <c r="BL871" s="8"/>
      <c r="BM871" s="8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</row>
    <row r="872" spans="1:93" ht="15.75" customHeight="1">
      <c r="A872" s="8"/>
      <c r="B872" s="8"/>
      <c r="C872" s="8"/>
      <c r="D872" s="8"/>
      <c r="E872" s="8"/>
      <c r="F872" s="8"/>
      <c r="G872" s="789"/>
      <c r="H872" s="789"/>
      <c r="I872" s="789"/>
      <c r="J872" s="790"/>
      <c r="K872" s="789"/>
      <c r="L872" s="789"/>
      <c r="M872" s="789"/>
      <c r="N872" s="789"/>
      <c r="O872" s="8"/>
      <c r="P872" s="8"/>
      <c r="Q872" s="8"/>
      <c r="R872" s="8"/>
      <c r="S872" s="789"/>
      <c r="T872" s="789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  <c r="BL872" s="8"/>
      <c r="BM872" s="8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</row>
    <row r="873" spans="1:93" ht="15.75" customHeight="1">
      <c r="A873" s="8"/>
      <c r="B873" s="8"/>
      <c r="C873" s="8"/>
      <c r="D873" s="8"/>
      <c r="E873" s="8"/>
      <c r="F873" s="8"/>
      <c r="G873" s="789"/>
      <c r="H873" s="789"/>
      <c r="I873" s="789"/>
      <c r="J873" s="790"/>
      <c r="K873" s="789"/>
      <c r="L873" s="789"/>
      <c r="M873" s="789"/>
      <c r="N873" s="789"/>
      <c r="O873" s="8"/>
      <c r="P873" s="8"/>
      <c r="Q873" s="8"/>
      <c r="R873" s="8"/>
      <c r="S873" s="789"/>
      <c r="T873" s="789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  <c r="BL873" s="8"/>
      <c r="BM873" s="8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</row>
    <row r="874" spans="1:93" ht="15.75" customHeight="1">
      <c r="A874" s="8"/>
      <c r="B874" s="8"/>
      <c r="C874" s="8"/>
      <c r="D874" s="8"/>
      <c r="E874" s="8"/>
      <c r="F874" s="8"/>
      <c r="G874" s="789"/>
      <c r="H874" s="789"/>
      <c r="I874" s="789"/>
      <c r="J874" s="790"/>
      <c r="K874" s="789"/>
      <c r="L874" s="789"/>
      <c r="M874" s="789"/>
      <c r="N874" s="789"/>
      <c r="O874" s="8"/>
      <c r="P874" s="8"/>
      <c r="Q874" s="8"/>
      <c r="R874" s="8"/>
      <c r="S874" s="789"/>
      <c r="T874" s="789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  <c r="BL874" s="8"/>
      <c r="BM874" s="8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</row>
    <row r="875" spans="1:93" ht="15.75" customHeight="1">
      <c r="A875" s="8"/>
      <c r="B875" s="8"/>
      <c r="C875" s="8"/>
      <c r="D875" s="8"/>
      <c r="E875" s="8"/>
      <c r="F875" s="8"/>
      <c r="G875" s="789"/>
      <c r="H875" s="789"/>
      <c r="I875" s="789"/>
      <c r="J875" s="790"/>
      <c r="K875" s="789"/>
      <c r="L875" s="789"/>
      <c r="M875" s="789"/>
      <c r="N875" s="789"/>
      <c r="O875" s="8"/>
      <c r="P875" s="8"/>
      <c r="Q875" s="8"/>
      <c r="R875" s="8"/>
      <c r="S875" s="789"/>
      <c r="T875" s="789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  <c r="BL875" s="8"/>
      <c r="BM875" s="8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</row>
    <row r="876" spans="1:93" ht="15.75" customHeight="1">
      <c r="A876" s="8"/>
      <c r="B876" s="8"/>
      <c r="C876" s="8"/>
      <c r="D876" s="8"/>
      <c r="E876" s="8"/>
      <c r="F876" s="8"/>
      <c r="G876" s="789"/>
      <c r="H876" s="789"/>
      <c r="I876" s="789"/>
      <c r="J876" s="790"/>
      <c r="K876" s="789"/>
      <c r="L876" s="789"/>
      <c r="M876" s="789"/>
      <c r="N876" s="789"/>
      <c r="O876" s="8"/>
      <c r="P876" s="8"/>
      <c r="Q876" s="8"/>
      <c r="R876" s="8"/>
      <c r="S876" s="789"/>
      <c r="T876" s="789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  <c r="BL876" s="8"/>
      <c r="BM876" s="8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</row>
    <row r="877" spans="1:93" ht="15.75" customHeight="1">
      <c r="A877" s="8"/>
      <c r="B877" s="8"/>
      <c r="C877" s="8"/>
      <c r="D877" s="8"/>
      <c r="E877" s="8"/>
      <c r="F877" s="8"/>
      <c r="G877" s="789"/>
      <c r="H877" s="789"/>
      <c r="I877" s="789"/>
      <c r="J877" s="790"/>
      <c r="K877" s="789"/>
      <c r="L877" s="789"/>
      <c r="M877" s="789"/>
      <c r="N877" s="789"/>
      <c r="O877" s="8"/>
      <c r="P877" s="8"/>
      <c r="Q877" s="8"/>
      <c r="R877" s="8"/>
      <c r="S877" s="789"/>
      <c r="T877" s="789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  <c r="BL877" s="8"/>
      <c r="BM877" s="8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</row>
    <row r="878" spans="1:93" ht="15.75" customHeight="1">
      <c r="A878" s="8"/>
      <c r="B878" s="8"/>
      <c r="C878" s="8"/>
      <c r="D878" s="8"/>
      <c r="E878" s="8"/>
      <c r="F878" s="8"/>
      <c r="G878" s="789"/>
      <c r="H878" s="789"/>
      <c r="I878" s="789"/>
      <c r="J878" s="790"/>
      <c r="K878" s="789"/>
      <c r="L878" s="789"/>
      <c r="M878" s="789"/>
      <c r="N878" s="789"/>
      <c r="O878" s="8"/>
      <c r="P878" s="8"/>
      <c r="Q878" s="8"/>
      <c r="R878" s="8"/>
      <c r="S878" s="789"/>
      <c r="T878" s="789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  <c r="BL878" s="8"/>
      <c r="BM878" s="8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</row>
    <row r="879" spans="1:93" ht="15.75" customHeight="1">
      <c r="A879" s="8"/>
      <c r="B879" s="8"/>
      <c r="C879" s="8"/>
      <c r="D879" s="8"/>
      <c r="E879" s="8"/>
      <c r="F879" s="8"/>
      <c r="G879" s="789"/>
      <c r="H879" s="789"/>
      <c r="I879" s="789"/>
      <c r="J879" s="790"/>
      <c r="K879" s="789"/>
      <c r="L879" s="789"/>
      <c r="M879" s="789"/>
      <c r="N879" s="789"/>
      <c r="O879" s="8"/>
      <c r="P879" s="8"/>
      <c r="Q879" s="8"/>
      <c r="R879" s="8"/>
      <c r="S879" s="789"/>
      <c r="T879" s="789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  <c r="BL879" s="8"/>
      <c r="BM879" s="8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</row>
    <row r="880" spans="1:93" ht="15.75" customHeight="1">
      <c r="A880" s="8"/>
      <c r="B880" s="8"/>
      <c r="C880" s="8"/>
      <c r="D880" s="8"/>
      <c r="E880" s="8"/>
      <c r="F880" s="8"/>
      <c r="G880" s="789"/>
      <c r="H880" s="789"/>
      <c r="I880" s="789"/>
      <c r="J880" s="790"/>
      <c r="K880" s="789"/>
      <c r="L880" s="789"/>
      <c r="M880" s="789"/>
      <c r="N880" s="789"/>
      <c r="O880" s="8"/>
      <c r="P880" s="8"/>
      <c r="Q880" s="8"/>
      <c r="R880" s="8"/>
      <c r="S880" s="789"/>
      <c r="T880" s="789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  <c r="BL880" s="8"/>
      <c r="BM880" s="8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</row>
    <row r="881" spans="1:93" ht="15.75" customHeight="1">
      <c r="A881" s="8"/>
      <c r="B881" s="8"/>
      <c r="C881" s="8"/>
      <c r="D881" s="8"/>
      <c r="E881" s="8"/>
      <c r="F881" s="8"/>
      <c r="G881" s="789"/>
      <c r="H881" s="789"/>
      <c r="I881" s="789"/>
      <c r="J881" s="790"/>
      <c r="K881" s="789"/>
      <c r="L881" s="789"/>
      <c r="M881" s="789"/>
      <c r="N881" s="789"/>
      <c r="O881" s="8"/>
      <c r="P881" s="8"/>
      <c r="Q881" s="8"/>
      <c r="R881" s="8"/>
      <c r="S881" s="789"/>
      <c r="T881" s="789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  <c r="BL881" s="8"/>
      <c r="BM881" s="8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</row>
    <row r="882" spans="1:93" ht="15.75" customHeight="1">
      <c r="A882" s="8"/>
      <c r="B882" s="8"/>
      <c r="C882" s="8"/>
      <c r="D882" s="8"/>
      <c r="E882" s="8"/>
      <c r="F882" s="8"/>
      <c r="G882" s="789"/>
      <c r="H882" s="789"/>
      <c r="I882" s="789"/>
      <c r="J882" s="790"/>
      <c r="K882" s="789"/>
      <c r="L882" s="789"/>
      <c r="M882" s="789"/>
      <c r="N882" s="789"/>
      <c r="O882" s="8"/>
      <c r="P882" s="8"/>
      <c r="Q882" s="8"/>
      <c r="R882" s="8"/>
      <c r="S882" s="789"/>
      <c r="T882" s="789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  <c r="BL882" s="8"/>
      <c r="BM882" s="8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</row>
    <row r="883" spans="1:93" ht="15.75" customHeight="1">
      <c r="A883" s="8"/>
      <c r="B883" s="8"/>
      <c r="C883" s="8"/>
      <c r="D883" s="8"/>
      <c r="E883" s="8"/>
      <c r="F883" s="8"/>
      <c r="G883" s="789"/>
      <c r="H883" s="789"/>
      <c r="I883" s="789"/>
      <c r="J883" s="790"/>
      <c r="K883" s="789"/>
      <c r="L883" s="789"/>
      <c r="M883" s="789"/>
      <c r="N883" s="789"/>
      <c r="O883" s="8"/>
      <c r="P883" s="8"/>
      <c r="Q883" s="8"/>
      <c r="R883" s="8"/>
      <c r="S883" s="789"/>
      <c r="T883" s="789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  <c r="BL883" s="8"/>
      <c r="BM883" s="8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</row>
    <row r="884" spans="1:93" ht="15.75" customHeight="1">
      <c r="A884" s="8"/>
      <c r="B884" s="8"/>
      <c r="C884" s="8"/>
      <c r="D884" s="8"/>
      <c r="E884" s="8"/>
      <c r="F884" s="8"/>
      <c r="G884" s="789"/>
      <c r="H884" s="789"/>
      <c r="I884" s="789"/>
      <c r="J884" s="790"/>
      <c r="K884" s="789"/>
      <c r="L884" s="789"/>
      <c r="M884" s="789"/>
      <c r="N884" s="789"/>
      <c r="O884" s="8"/>
      <c r="P884" s="8"/>
      <c r="Q884" s="8"/>
      <c r="R884" s="8"/>
      <c r="S884" s="789"/>
      <c r="T884" s="789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  <c r="BL884" s="8"/>
      <c r="BM884" s="8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</row>
    <row r="885" spans="1:93" ht="15.75" customHeight="1">
      <c r="A885" s="8"/>
      <c r="B885" s="8"/>
      <c r="C885" s="8"/>
      <c r="D885" s="8"/>
      <c r="E885" s="8"/>
      <c r="F885" s="8"/>
      <c r="G885" s="789"/>
      <c r="H885" s="789"/>
      <c r="I885" s="789"/>
      <c r="J885" s="790"/>
      <c r="K885" s="789"/>
      <c r="L885" s="789"/>
      <c r="M885" s="789"/>
      <c r="N885" s="789"/>
      <c r="O885" s="8"/>
      <c r="P885" s="8"/>
      <c r="Q885" s="8"/>
      <c r="R885" s="8"/>
      <c r="S885" s="789"/>
      <c r="T885" s="789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  <c r="BL885" s="8"/>
      <c r="BM885" s="8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</row>
    <row r="886" spans="1:93" ht="15.75" customHeight="1">
      <c r="A886" s="8"/>
      <c r="B886" s="8"/>
      <c r="C886" s="8"/>
      <c r="D886" s="8"/>
      <c r="E886" s="8"/>
      <c r="F886" s="8"/>
      <c r="G886" s="789"/>
      <c r="H886" s="789"/>
      <c r="I886" s="789"/>
      <c r="J886" s="790"/>
      <c r="K886" s="789"/>
      <c r="L886" s="789"/>
      <c r="M886" s="789"/>
      <c r="N886" s="789"/>
      <c r="O886" s="8"/>
      <c r="P886" s="8"/>
      <c r="Q886" s="8"/>
      <c r="R886" s="8"/>
      <c r="S886" s="789"/>
      <c r="T886" s="789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  <c r="BL886" s="8"/>
      <c r="BM886" s="8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</row>
    <row r="887" spans="1:93" ht="15.75" customHeight="1">
      <c r="A887" s="8"/>
      <c r="B887" s="8"/>
      <c r="C887" s="8"/>
      <c r="D887" s="8"/>
      <c r="E887" s="8"/>
      <c r="F887" s="8"/>
      <c r="G887" s="789"/>
      <c r="H887" s="789"/>
      <c r="I887" s="789"/>
      <c r="J887" s="790"/>
      <c r="K887" s="789"/>
      <c r="L887" s="789"/>
      <c r="M887" s="789"/>
      <c r="N887" s="789"/>
      <c r="O887" s="8"/>
      <c r="P887" s="8"/>
      <c r="Q887" s="8"/>
      <c r="R887" s="8"/>
      <c r="S887" s="789"/>
      <c r="T887" s="789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  <c r="BL887" s="8"/>
      <c r="BM887" s="8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</row>
    <row r="888" spans="1:93" ht="15.75" customHeight="1">
      <c r="A888" s="8"/>
      <c r="B888" s="8"/>
      <c r="C888" s="8"/>
      <c r="D888" s="8"/>
      <c r="E888" s="8"/>
      <c r="F888" s="8"/>
      <c r="G888" s="789"/>
      <c r="H888" s="789"/>
      <c r="I888" s="789"/>
      <c r="J888" s="790"/>
      <c r="K888" s="789"/>
      <c r="L888" s="789"/>
      <c r="M888" s="789"/>
      <c r="N888" s="789"/>
      <c r="O888" s="8"/>
      <c r="P888" s="8"/>
      <c r="Q888" s="8"/>
      <c r="R888" s="8"/>
      <c r="S888" s="789"/>
      <c r="T888" s="789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  <c r="BL888" s="8"/>
      <c r="BM888" s="8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</row>
    <row r="889" spans="1:93" ht="15.75" customHeight="1">
      <c r="A889" s="8"/>
      <c r="B889" s="8"/>
      <c r="C889" s="8"/>
      <c r="D889" s="8"/>
      <c r="E889" s="8"/>
      <c r="F889" s="8"/>
      <c r="G889" s="789"/>
      <c r="H889" s="789"/>
      <c r="I889" s="789"/>
      <c r="J889" s="790"/>
      <c r="K889" s="789"/>
      <c r="L889" s="789"/>
      <c r="M889" s="789"/>
      <c r="N889" s="789"/>
      <c r="O889" s="8"/>
      <c r="P889" s="8"/>
      <c r="Q889" s="8"/>
      <c r="R889" s="8"/>
      <c r="S889" s="789"/>
      <c r="T889" s="789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  <c r="BL889" s="8"/>
      <c r="BM889" s="8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</row>
    <row r="890" spans="1:93" ht="15.75" customHeight="1">
      <c r="A890" s="8"/>
      <c r="B890" s="8"/>
      <c r="C890" s="8"/>
      <c r="D890" s="8"/>
      <c r="E890" s="8"/>
      <c r="F890" s="8"/>
      <c r="G890" s="789"/>
      <c r="H890" s="789"/>
      <c r="I890" s="789"/>
      <c r="J890" s="790"/>
      <c r="K890" s="789"/>
      <c r="L890" s="789"/>
      <c r="M890" s="789"/>
      <c r="N890" s="789"/>
      <c r="O890" s="8"/>
      <c r="P890" s="8"/>
      <c r="Q890" s="8"/>
      <c r="R890" s="8"/>
      <c r="S890" s="789"/>
      <c r="T890" s="789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  <c r="BL890" s="8"/>
      <c r="BM890" s="8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</row>
    <row r="891" spans="1:93" ht="15.75" customHeight="1">
      <c r="A891" s="8"/>
      <c r="B891" s="8"/>
      <c r="C891" s="8"/>
      <c r="D891" s="8"/>
      <c r="E891" s="8"/>
      <c r="F891" s="8"/>
      <c r="G891" s="789"/>
      <c r="H891" s="789"/>
      <c r="I891" s="789"/>
      <c r="J891" s="790"/>
      <c r="K891" s="789"/>
      <c r="L891" s="789"/>
      <c r="M891" s="789"/>
      <c r="N891" s="789"/>
      <c r="O891" s="8"/>
      <c r="P891" s="8"/>
      <c r="Q891" s="8"/>
      <c r="R891" s="8"/>
      <c r="S891" s="789"/>
      <c r="T891" s="789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  <c r="BL891" s="8"/>
      <c r="BM891" s="8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</row>
    <row r="892" spans="1:93" ht="15.75" customHeight="1">
      <c r="A892" s="8"/>
      <c r="B892" s="8"/>
      <c r="C892" s="8"/>
      <c r="D892" s="8"/>
      <c r="E892" s="8"/>
      <c r="F892" s="8"/>
      <c r="G892" s="789"/>
      <c r="H892" s="789"/>
      <c r="I892" s="789"/>
      <c r="J892" s="790"/>
      <c r="K892" s="789"/>
      <c r="L892" s="789"/>
      <c r="M892" s="789"/>
      <c r="N892" s="789"/>
      <c r="O892" s="8"/>
      <c r="P892" s="8"/>
      <c r="Q892" s="8"/>
      <c r="R892" s="8"/>
      <c r="S892" s="789"/>
      <c r="T892" s="789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  <c r="BL892" s="8"/>
      <c r="BM892" s="8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</row>
    <row r="893" spans="1:93" ht="15.75" customHeight="1">
      <c r="A893" s="8"/>
      <c r="B893" s="8"/>
      <c r="C893" s="8"/>
      <c r="D893" s="8"/>
      <c r="E893" s="8"/>
      <c r="F893" s="8"/>
      <c r="G893" s="789"/>
      <c r="H893" s="789"/>
      <c r="I893" s="789"/>
      <c r="J893" s="790"/>
      <c r="K893" s="789"/>
      <c r="L893" s="789"/>
      <c r="M893" s="789"/>
      <c r="N893" s="789"/>
      <c r="O893" s="8"/>
      <c r="P893" s="8"/>
      <c r="Q893" s="8"/>
      <c r="R893" s="8"/>
      <c r="S893" s="789"/>
      <c r="T893" s="789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  <c r="BL893" s="8"/>
      <c r="BM893" s="8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</row>
    <row r="894" spans="1:93" ht="15.75" customHeight="1">
      <c r="A894" s="8"/>
      <c r="B894" s="8"/>
      <c r="C894" s="8"/>
      <c r="D894" s="8"/>
      <c r="E894" s="8"/>
      <c r="F894" s="8"/>
      <c r="G894" s="789"/>
      <c r="H894" s="789"/>
      <c r="I894" s="789"/>
      <c r="J894" s="790"/>
      <c r="K894" s="789"/>
      <c r="L894" s="789"/>
      <c r="M894" s="789"/>
      <c r="N894" s="789"/>
      <c r="O894" s="8"/>
      <c r="P894" s="8"/>
      <c r="Q894" s="8"/>
      <c r="R894" s="8"/>
      <c r="S894" s="789"/>
      <c r="T894" s="789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  <c r="BL894" s="8"/>
      <c r="BM894" s="8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</row>
    <row r="895" spans="1:93" ht="15.75" customHeight="1">
      <c r="A895" s="8"/>
      <c r="B895" s="8"/>
      <c r="C895" s="8"/>
      <c r="D895" s="8"/>
      <c r="E895" s="8"/>
      <c r="F895" s="8"/>
      <c r="G895" s="789"/>
      <c r="H895" s="789"/>
      <c r="I895" s="789"/>
      <c r="J895" s="790"/>
      <c r="K895" s="789"/>
      <c r="L895" s="789"/>
      <c r="M895" s="789"/>
      <c r="N895" s="789"/>
      <c r="O895" s="8"/>
      <c r="P895" s="8"/>
      <c r="Q895" s="8"/>
      <c r="R895" s="8"/>
      <c r="S895" s="789"/>
      <c r="T895" s="789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  <c r="BL895" s="8"/>
      <c r="BM895" s="8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</row>
    <row r="896" spans="1:93" ht="15.75" customHeight="1">
      <c r="A896" s="8"/>
      <c r="B896" s="8"/>
      <c r="C896" s="8"/>
      <c r="D896" s="8"/>
      <c r="E896" s="8"/>
      <c r="F896" s="8"/>
      <c r="G896" s="789"/>
      <c r="H896" s="789"/>
      <c r="I896" s="789"/>
      <c r="J896" s="790"/>
      <c r="K896" s="789"/>
      <c r="L896" s="789"/>
      <c r="M896" s="789"/>
      <c r="N896" s="789"/>
      <c r="O896" s="8"/>
      <c r="P896" s="8"/>
      <c r="Q896" s="8"/>
      <c r="R896" s="8"/>
      <c r="S896" s="789"/>
      <c r="T896" s="789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  <c r="BL896" s="8"/>
      <c r="BM896" s="8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</row>
    <row r="897" spans="1:93" ht="15.75" customHeight="1">
      <c r="A897" s="8"/>
      <c r="B897" s="8"/>
      <c r="C897" s="8"/>
      <c r="D897" s="8"/>
      <c r="E897" s="8"/>
      <c r="F897" s="8"/>
      <c r="G897" s="789"/>
      <c r="H897" s="789"/>
      <c r="I897" s="789"/>
      <c r="J897" s="790"/>
      <c r="K897" s="789"/>
      <c r="L897" s="789"/>
      <c r="M897" s="789"/>
      <c r="N897" s="789"/>
      <c r="O897" s="8"/>
      <c r="P897" s="8"/>
      <c r="Q897" s="8"/>
      <c r="R897" s="8"/>
      <c r="S897" s="789"/>
      <c r="T897" s="789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  <c r="BL897" s="8"/>
      <c r="BM897" s="8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</row>
    <row r="898" spans="1:93" ht="15.75" customHeight="1">
      <c r="A898" s="8"/>
      <c r="B898" s="8"/>
      <c r="C898" s="8"/>
      <c r="D898" s="8"/>
      <c r="E898" s="8"/>
      <c r="F898" s="8"/>
      <c r="G898" s="789"/>
      <c r="H898" s="789"/>
      <c r="I898" s="789"/>
      <c r="J898" s="790"/>
      <c r="K898" s="789"/>
      <c r="L898" s="789"/>
      <c r="M898" s="789"/>
      <c r="N898" s="789"/>
      <c r="O898" s="8"/>
      <c r="P898" s="8"/>
      <c r="Q898" s="8"/>
      <c r="R898" s="8"/>
      <c r="S898" s="789"/>
      <c r="T898" s="789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  <c r="BL898" s="8"/>
      <c r="BM898" s="8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</row>
    <row r="899" spans="1:93" ht="15.75" customHeight="1">
      <c r="A899" s="8"/>
      <c r="B899" s="8"/>
      <c r="C899" s="8"/>
      <c r="D899" s="8"/>
      <c r="E899" s="8"/>
      <c r="F899" s="8"/>
      <c r="G899" s="789"/>
      <c r="H899" s="789"/>
      <c r="I899" s="789"/>
      <c r="J899" s="790"/>
      <c r="K899" s="789"/>
      <c r="L899" s="789"/>
      <c r="M899" s="789"/>
      <c r="N899" s="789"/>
      <c r="O899" s="8"/>
      <c r="P899" s="8"/>
      <c r="Q899" s="8"/>
      <c r="R899" s="8"/>
      <c r="S899" s="789"/>
      <c r="T899" s="789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  <c r="BL899" s="8"/>
      <c r="BM899" s="8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</row>
    <row r="900" spans="1:93" ht="15.75" customHeight="1">
      <c r="A900" s="8"/>
      <c r="B900" s="8"/>
      <c r="C900" s="8"/>
      <c r="D900" s="8"/>
      <c r="E900" s="8"/>
      <c r="F900" s="8"/>
      <c r="G900" s="789"/>
      <c r="H900" s="789"/>
      <c r="I900" s="789"/>
      <c r="J900" s="790"/>
      <c r="K900" s="789"/>
      <c r="L900" s="789"/>
      <c r="M900" s="789"/>
      <c r="N900" s="789"/>
      <c r="O900" s="8"/>
      <c r="P900" s="8"/>
      <c r="Q900" s="8"/>
      <c r="R900" s="8"/>
      <c r="S900" s="789"/>
      <c r="T900" s="789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  <c r="BL900" s="8"/>
      <c r="BM900" s="8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</row>
    <row r="901" spans="1:93" ht="15.75" customHeight="1">
      <c r="A901" s="8"/>
      <c r="B901" s="8"/>
      <c r="C901" s="8"/>
      <c r="D901" s="8"/>
      <c r="E901" s="8"/>
      <c r="F901" s="8"/>
      <c r="G901" s="789"/>
      <c r="H901" s="789"/>
      <c r="I901" s="789"/>
      <c r="J901" s="790"/>
      <c r="K901" s="789"/>
      <c r="L901" s="789"/>
      <c r="M901" s="789"/>
      <c r="N901" s="789"/>
      <c r="O901" s="8"/>
      <c r="P901" s="8"/>
      <c r="Q901" s="8"/>
      <c r="R901" s="8"/>
      <c r="S901" s="789"/>
      <c r="T901" s="789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  <c r="BL901" s="8"/>
      <c r="BM901" s="8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</row>
    <row r="902" spans="1:93" ht="15.75" customHeight="1">
      <c r="A902" s="8"/>
      <c r="B902" s="8"/>
      <c r="C902" s="8"/>
      <c r="D902" s="8"/>
      <c r="E902" s="8"/>
      <c r="F902" s="8"/>
      <c r="G902" s="789"/>
      <c r="H902" s="789"/>
      <c r="I902" s="789"/>
      <c r="J902" s="790"/>
      <c r="K902" s="789"/>
      <c r="L902" s="789"/>
      <c r="M902" s="789"/>
      <c r="N902" s="789"/>
      <c r="O902" s="8"/>
      <c r="P902" s="8"/>
      <c r="Q902" s="8"/>
      <c r="R902" s="8"/>
      <c r="S902" s="789"/>
      <c r="T902" s="789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  <c r="BL902" s="8"/>
      <c r="BM902" s="8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</row>
    <row r="903" spans="1:93" ht="15.75" customHeight="1">
      <c r="A903" s="8"/>
      <c r="B903" s="8"/>
      <c r="C903" s="8"/>
      <c r="D903" s="8"/>
      <c r="E903" s="8"/>
      <c r="F903" s="8"/>
      <c r="G903" s="789"/>
      <c r="H903" s="789"/>
      <c r="I903" s="789"/>
      <c r="J903" s="790"/>
      <c r="K903" s="789"/>
      <c r="L903" s="789"/>
      <c r="M903" s="789"/>
      <c r="N903" s="789"/>
      <c r="O903" s="8"/>
      <c r="P903" s="8"/>
      <c r="Q903" s="8"/>
      <c r="R903" s="8"/>
      <c r="S903" s="789"/>
      <c r="T903" s="789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  <c r="BL903" s="8"/>
      <c r="BM903" s="8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</row>
    <row r="904" spans="1:93" ht="15.75" customHeight="1">
      <c r="A904" s="8"/>
      <c r="B904" s="8"/>
      <c r="C904" s="8"/>
      <c r="D904" s="8"/>
      <c r="E904" s="8"/>
      <c r="F904" s="8"/>
      <c r="G904" s="789"/>
      <c r="H904" s="789"/>
      <c r="I904" s="789"/>
      <c r="J904" s="790"/>
      <c r="K904" s="789"/>
      <c r="L904" s="789"/>
      <c r="M904" s="789"/>
      <c r="N904" s="789"/>
      <c r="O904" s="8"/>
      <c r="P904" s="8"/>
      <c r="Q904" s="8"/>
      <c r="R904" s="8"/>
      <c r="S904" s="789"/>
      <c r="T904" s="789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  <c r="BL904" s="8"/>
      <c r="BM904" s="8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</row>
    <row r="905" spans="1:93" ht="15.75" customHeight="1">
      <c r="A905" s="8"/>
      <c r="B905" s="8"/>
      <c r="C905" s="8"/>
      <c r="D905" s="8"/>
      <c r="E905" s="8"/>
      <c r="F905" s="8"/>
      <c r="G905" s="789"/>
      <c r="H905" s="789"/>
      <c r="I905" s="789"/>
      <c r="J905" s="790"/>
      <c r="K905" s="789"/>
      <c r="L905" s="789"/>
      <c r="M905" s="789"/>
      <c r="N905" s="789"/>
      <c r="O905" s="8"/>
      <c r="P905" s="8"/>
      <c r="Q905" s="8"/>
      <c r="R905" s="8"/>
      <c r="S905" s="789"/>
      <c r="T905" s="789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  <c r="BL905" s="8"/>
      <c r="BM905" s="8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</row>
    <row r="906" spans="1:93" ht="15.75" customHeight="1">
      <c r="A906" s="8"/>
      <c r="B906" s="8"/>
      <c r="C906" s="8"/>
      <c r="D906" s="8"/>
      <c r="E906" s="8"/>
      <c r="F906" s="8"/>
      <c r="G906" s="789"/>
      <c r="H906" s="789"/>
      <c r="I906" s="789"/>
      <c r="J906" s="790"/>
      <c r="K906" s="789"/>
      <c r="L906" s="789"/>
      <c r="M906" s="789"/>
      <c r="N906" s="789"/>
      <c r="O906" s="8"/>
      <c r="P906" s="8"/>
      <c r="Q906" s="8"/>
      <c r="R906" s="8"/>
      <c r="S906" s="789"/>
      <c r="T906" s="789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  <c r="BL906" s="8"/>
      <c r="BM906" s="8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</row>
    <row r="907" spans="1:93" ht="15.75" customHeight="1">
      <c r="A907" s="8"/>
      <c r="B907" s="8"/>
      <c r="C907" s="8"/>
      <c r="D907" s="8"/>
      <c r="E907" s="8"/>
      <c r="F907" s="8"/>
      <c r="G907" s="789"/>
      <c r="H907" s="789"/>
      <c r="I907" s="789"/>
      <c r="J907" s="790"/>
      <c r="K907" s="789"/>
      <c r="L907" s="789"/>
      <c r="M907" s="789"/>
      <c r="N907" s="789"/>
      <c r="O907" s="8"/>
      <c r="P907" s="8"/>
      <c r="Q907" s="8"/>
      <c r="R907" s="8"/>
      <c r="S907" s="789"/>
      <c r="T907" s="789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  <c r="BL907" s="8"/>
      <c r="BM907" s="8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</row>
    <row r="908" spans="1:93" ht="15.75" customHeight="1">
      <c r="A908" s="8"/>
      <c r="B908" s="8"/>
      <c r="C908" s="8"/>
      <c r="D908" s="8"/>
      <c r="E908" s="8"/>
      <c r="F908" s="8"/>
      <c r="G908" s="789"/>
      <c r="H908" s="789"/>
      <c r="I908" s="789"/>
      <c r="J908" s="790"/>
      <c r="K908" s="789"/>
      <c r="L908" s="789"/>
      <c r="M908" s="789"/>
      <c r="N908" s="789"/>
      <c r="O908" s="8"/>
      <c r="P908" s="8"/>
      <c r="Q908" s="8"/>
      <c r="R908" s="8"/>
      <c r="S908" s="789"/>
      <c r="T908" s="789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  <c r="BL908" s="8"/>
      <c r="BM908" s="8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</row>
    <row r="909" spans="1:93" ht="15.75" customHeight="1">
      <c r="A909" s="8"/>
      <c r="B909" s="8"/>
      <c r="C909" s="8"/>
      <c r="D909" s="8"/>
      <c r="E909" s="8"/>
      <c r="F909" s="8"/>
      <c r="G909" s="789"/>
      <c r="H909" s="789"/>
      <c r="I909" s="789"/>
      <c r="J909" s="790"/>
      <c r="K909" s="789"/>
      <c r="L909" s="789"/>
      <c r="M909" s="789"/>
      <c r="N909" s="789"/>
      <c r="O909" s="8"/>
      <c r="P909" s="8"/>
      <c r="Q909" s="8"/>
      <c r="R909" s="8"/>
      <c r="S909" s="789"/>
      <c r="T909" s="789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  <c r="BL909" s="8"/>
      <c r="BM909" s="8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</row>
    <row r="910" spans="1:93" ht="15.75" customHeight="1">
      <c r="A910" s="8"/>
      <c r="B910" s="8"/>
      <c r="C910" s="8"/>
      <c r="D910" s="8"/>
      <c r="E910" s="8"/>
      <c r="F910" s="8"/>
      <c r="G910" s="789"/>
      <c r="H910" s="789"/>
      <c r="I910" s="789"/>
      <c r="J910" s="790"/>
      <c r="K910" s="789"/>
      <c r="L910" s="789"/>
      <c r="M910" s="789"/>
      <c r="N910" s="789"/>
      <c r="O910" s="8"/>
      <c r="P910" s="8"/>
      <c r="Q910" s="8"/>
      <c r="R910" s="8"/>
      <c r="S910" s="789"/>
      <c r="T910" s="789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  <c r="BL910" s="8"/>
      <c r="BM910" s="8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</row>
    <row r="911" spans="1:93" ht="15.75" customHeight="1">
      <c r="A911" s="8"/>
      <c r="B911" s="8"/>
      <c r="C911" s="8"/>
      <c r="D911" s="8"/>
      <c r="E911" s="8"/>
      <c r="F911" s="8"/>
      <c r="G911" s="789"/>
      <c r="H911" s="789"/>
      <c r="I911" s="789"/>
      <c r="J911" s="790"/>
      <c r="K911" s="789"/>
      <c r="L911" s="789"/>
      <c r="M911" s="789"/>
      <c r="N911" s="789"/>
      <c r="O911" s="8"/>
      <c r="P911" s="8"/>
      <c r="Q911" s="8"/>
      <c r="R911" s="8"/>
      <c r="S911" s="789"/>
      <c r="T911" s="789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  <c r="BL911" s="8"/>
      <c r="BM911" s="8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</row>
    <row r="912" spans="1:93" ht="15.75" customHeight="1">
      <c r="A912" s="8"/>
      <c r="B912" s="8"/>
      <c r="C912" s="8"/>
      <c r="D912" s="8"/>
      <c r="E912" s="8"/>
      <c r="F912" s="8"/>
      <c r="G912" s="789"/>
      <c r="H912" s="789"/>
      <c r="I912" s="789"/>
      <c r="J912" s="790"/>
      <c r="K912" s="789"/>
      <c r="L912" s="789"/>
      <c r="M912" s="789"/>
      <c r="N912" s="789"/>
      <c r="O912" s="8"/>
      <c r="P912" s="8"/>
      <c r="Q912" s="8"/>
      <c r="R912" s="8"/>
      <c r="S912" s="789"/>
      <c r="T912" s="789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  <c r="BL912" s="8"/>
      <c r="BM912" s="8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</row>
    <row r="913" spans="1:93" ht="15.75" customHeight="1">
      <c r="A913" s="8"/>
      <c r="B913" s="8"/>
      <c r="C913" s="8"/>
      <c r="D913" s="8"/>
      <c r="E913" s="8"/>
      <c r="F913" s="8"/>
      <c r="G913" s="789"/>
      <c r="H913" s="789"/>
      <c r="I913" s="789"/>
      <c r="J913" s="790"/>
      <c r="K913" s="789"/>
      <c r="L913" s="789"/>
      <c r="M913" s="789"/>
      <c r="N913" s="789"/>
      <c r="O913" s="8"/>
      <c r="P913" s="8"/>
      <c r="Q913" s="8"/>
      <c r="R913" s="8"/>
      <c r="S913" s="789"/>
      <c r="T913" s="789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  <c r="BL913" s="8"/>
      <c r="BM913" s="8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</row>
    <row r="914" spans="1:93" ht="15.75" customHeight="1">
      <c r="A914" s="8"/>
      <c r="B914" s="8"/>
      <c r="C914" s="8"/>
      <c r="D914" s="8"/>
      <c r="E914" s="8"/>
      <c r="F914" s="8"/>
      <c r="G914" s="789"/>
      <c r="H914" s="789"/>
      <c r="I914" s="789"/>
      <c r="J914" s="790"/>
      <c r="K914" s="789"/>
      <c r="L914" s="789"/>
      <c r="M914" s="789"/>
      <c r="N914" s="789"/>
      <c r="O914" s="8"/>
      <c r="P914" s="8"/>
      <c r="Q914" s="8"/>
      <c r="R914" s="8"/>
      <c r="S914" s="789"/>
      <c r="T914" s="789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  <c r="BL914" s="8"/>
      <c r="BM914" s="8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</row>
    <row r="915" spans="1:93" ht="15.75" customHeight="1">
      <c r="A915" s="8"/>
      <c r="B915" s="8"/>
      <c r="C915" s="8"/>
      <c r="D915" s="8"/>
      <c r="E915" s="8"/>
      <c r="F915" s="8"/>
      <c r="G915" s="789"/>
      <c r="H915" s="789"/>
      <c r="I915" s="789"/>
      <c r="J915" s="790"/>
      <c r="K915" s="789"/>
      <c r="L915" s="789"/>
      <c r="M915" s="789"/>
      <c r="N915" s="789"/>
      <c r="O915" s="8"/>
      <c r="P915" s="8"/>
      <c r="Q915" s="8"/>
      <c r="R915" s="8"/>
      <c r="S915" s="789"/>
      <c r="T915" s="789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  <c r="BL915" s="8"/>
      <c r="BM915" s="8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</row>
    <row r="916" spans="1:93" ht="15.75" customHeight="1">
      <c r="A916" s="8"/>
      <c r="B916" s="8"/>
      <c r="C916" s="8"/>
      <c r="D916" s="8"/>
      <c r="E916" s="8"/>
      <c r="F916" s="8"/>
      <c r="G916" s="789"/>
      <c r="H916" s="789"/>
      <c r="I916" s="789"/>
      <c r="J916" s="790"/>
      <c r="K916" s="789"/>
      <c r="L916" s="789"/>
      <c r="M916" s="789"/>
      <c r="N916" s="789"/>
      <c r="O916" s="8"/>
      <c r="P916" s="8"/>
      <c r="Q916" s="8"/>
      <c r="R916" s="8"/>
      <c r="S916" s="789"/>
      <c r="T916" s="789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  <c r="BL916" s="8"/>
      <c r="BM916" s="8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</row>
    <row r="917" spans="1:93" ht="15.75" customHeight="1">
      <c r="A917" s="8"/>
      <c r="B917" s="8"/>
      <c r="C917" s="8"/>
      <c r="D917" s="8"/>
      <c r="E917" s="8"/>
      <c r="F917" s="8"/>
      <c r="G917" s="789"/>
      <c r="H917" s="789"/>
      <c r="I917" s="789"/>
      <c r="J917" s="790"/>
      <c r="K917" s="789"/>
      <c r="L917" s="789"/>
      <c r="M917" s="789"/>
      <c r="N917" s="789"/>
      <c r="O917" s="8"/>
      <c r="P917" s="8"/>
      <c r="Q917" s="8"/>
      <c r="R917" s="8"/>
      <c r="S917" s="789"/>
      <c r="T917" s="789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  <c r="BL917" s="8"/>
      <c r="BM917" s="8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</row>
    <row r="918" spans="1:93" ht="15.75" customHeight="1">
      <c r="A918" s="8"/>
      <c r="B918" s="8"/>
      <c r="C918" s="8"/>
      <c r="D918" s="8"/>
      <c r="E918" s="8"/>
      <c r="F918" s="8"/>
      <c r="G918" s="789"/>
      <c r="H918" s="789"/>
      <c r="I918" s="789"/>
      <c r="J918" s="790"/>
      <c r="K918" s="789"/>
      <c r="L918" s="789"/>
      <c r="M918" s="789"/>
      <c r="N918" s="789"/>
      <c r="O918" s="8"/>
      <c r="P918" s="8"/>
      <c r="Q918" s="8"/>
      <c r="R918" s="8"/>
      <c r="S918" s="789"/>
      <c r="T918" s="789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  <c r="BL918" s="8"/>
      <c r="BM918" s="8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</row>
    <row r="919" spans="1:93" ht="15.75" customHeight="1">
      <c r="A919" s="8"/>
      <c r="B919" s="8"/>
      <c r="C919" s="8"/>
      <c r="D919" s="8"/>
      <c r="E919" s="8"/>
      <c r="F919" s="8"/>
      <c r="G919" s="789"/>
      <c r="H919" s="789"/>
      <c r="I919" s="789"/>
      <c r="J919" s="790"/>
      <c r="K919" s="789"/>
      <c r="L919" s="789"/>
      <c r="M919" s="789"/>
      <c r="N919" s="789"/>
      <c r="O919" s="8"/>
      <c r="P919" s="8"/>
      <c r="Q919" s="8"/>
      <c r="R919" s="8"/>
      <c r="S919" s="789"/>
      <c r="T919" s="789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  <c r="BL919" s="8"/>
      <c r="BM919" s="8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</row>
    <row r="920" spans="1:93" ht="15.75" customHeight="1">
      <c r="A920" s="8"/>
      <c r="B920" s="8"/>
      <c r="C920" s="8"/>
      <c r="D920" s="8"/>
      <c r="E920" s="8"/>
      <c r="F920" s="8"/>
      <c r="G920" s="789"/>
      <c r="H920" s="789"/>
      <c r="I920" s="789"/>
      <c r="J920" s="790"/>
      <c r="K920" s="789"/>
      <c r="L920" s="789"/>
      <c r="M920" s="789"/>
      <c r="N920" s="789"/>
      <c r="O920" s="8"/>
      <c r="P920" s="8"/>
      <c r="Q920" s="8"/>
      <c r="R920" s="8"/>
      <c r="S920" s="789"/>
      <c r="T920" s="789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  <c r="BL920" s="8"/>
      <c r="BM920" s="8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</row>
    <row r="921" spans="1:93" ht="15.75" customHeight="1">
      <c r="A921" s="8"/>
      <c r="B921" s="8"/>
      <c r="C921" s="8"/>
      <c r="D921" s="8"/>
      <c r="E921" s="8"/>
      <c r="F921" s="8"/>
      <c r="G921" s="789"/>
      <c r="H921" s="789"/>
      <c r="I921" s="789"/>
      <c r="J921" s="790"/>
      <c r="K921" s="789"/>
      <c r="L921" s="789"/>
      <c r="M921" s="789"/>
      <c r="N921" s="789"/>
      <c r="O921" s="8"/>
      <c r="P921" s="8"/>
      <c r="Q921" s="8"/>
      <c r="R921" s="8"/>
      <c r="S921" s="789"/>
      <c r="T921" s="789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  <c r="BL921" s="8"/>
      <c r="BM921" s="8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</row>
    <row r="922" spans="1:93" ht="15.75" customHeight="1">
      <c r="A922" s="8"/>
      <c r="B922" s="8"/>
      <c r="C922" s="8"/>
      <c r="D922" s="8"/>
      <c r="E922" s="8"/>
      <c r="F922" s="8"/>
      <c r="G922" s="789"/>
      <c r="H922" s="789"/>
      <c r="I922" s="789"/>
      <c r="J922" s="790"/>
      <c r="K922" s="789"/>
      <c r="L922" s="789"/>
      <c r="M922" s="789"/>
      <c r="N922" s="789"/>
      <c r="O922" s="8"/>
      <c r="P922" s="8"/>
      <c r="Q922" s="8"/>
      <c r="R922" s="8"/>
      <c r="S922" s="789"/>
      <c r="T922" s="789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  <c r="BL922" s="8"/>
      <c r="BM922" s="8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</row>
    <row r="923" spans="1:93" ht="15.75" customHeight="1">
      <c r="A923" s="8"/>
      <c r="B923" s="8"/>
      <c r="C923" s="8"/>
      <c r="D923" s="8"/>
      <c r="E923" s="8"/>
      <c r="F923" s="8"/>
      <c r="G923" s="789"/>
      <c r="H923" s="789"/>
      <c r="I923" s="789"/>
      <c r="J923" s="790"/>
      <c r="K923" s="789"/>
      <c r="L923" s="789"/>
      <c r="M923" s="789"/>
      <c r="N923" s="789"/>
      <c r="O923" s="8"/>
      <c r="P923" s="8"/>
      <c r="Q923" s="8"/>
      <c r="R923" s="8"/>
      <c r="S923" s="789"/>
      <c r="T923" s="789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  <c r="BL923" s="8"/>
      <c r="BM923" s="8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</row>
    <row r="924" spans="1:93" ht="15.75" customHeight="1">
      <c r="A924" s="8"/>
      <c r="B924" s="8"/>
      <c r="C924" s="8"/>
      <c r="D924" s="8"/>
      <c r="E924" s="8"/>
      <c r="F924" s="8"/>
      <c r="G924" s="789"/>
      <c r="H924" s="789"/>
      <c r="I924" s="789"/>
      <c r="J924" s="790"/>
      <c r="K924" s="789"/>
      <c r="L924" s="789"/>
      <c r="M924" s="789"/>
      <c r="N924" s="789"/>
      <c r="O924" s="8"/>
      <c r="P924" s="8"/>
      <c r="Q924" s="8"/>
      <c r="R924" s="8"/>
      <c r="S924" s="789"/>
      <c r="T924" s="789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  <c r="BL924" s="8"/>
      <c r="BM924" s="8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</row>
    <row r="925" spans="1:93" ht="15.75" customHeight="1">
      <c r="A925" s="8"/>
      <c r="B925" s="8"/>
      <c r="C925" s="8"/>
      <c r="D925" s="8"/>
      <c r="E925" s="8"/>
      <c r="F925" s="8"/>
      <c r="G925" s="789"/>
      <c r="H925" s="789"/>
      <c r="I925" s="789"/>
      <c r="J925" s="790"/>
      <c r="K925" s="789"/>
      <c r="L925" s="789"/>
      <c r="M925" s="789"/>
      <c r="N925" s="789"/>
      <c r="O925" s="8"/>
      <c r="P925" s="8"/>
      <c r="Q925" s="8"/>
      <c r="R925" s="8"/>
      <c r="S925" s="789"/>
      <c r="T925" s="789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  <c r="BL925" s="8"/>
      <c r="BM925" s="8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</row>
    <row r="926" spans="1:93" ht="15.75" customHeight="1">
      <c r="A926" s="8"/>
      <c r="B926" s="8"/>
      <c r="C926" s="8"/>
      <c r="D926" s="8"/>
      <c r="E926" s="8"/>
      <c r="F926" s="8"/>
      <c r="G926" s="789"/>
      <c r="H926" s="789"/>
      <c r="I926" s="789"/>
      <c r="J926" s="790"/>
      <c r="K926" s="789"/>
      <c r="L926" s="789"/>
      <c r="M926" s="789"/>
      <c r="N926" s="789"/>
      <c r="O926" s="8"/>
      <c r="P926" s="8"/>
      <c r="Q926" s="8"/>
      <c r="R926" s="8"/>
      <c r="S926" s="789"/>
      <c r="T926" s="789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  <c r="BL926" s="8"/>
      <c r="BM926" s="8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</row>
    <row r="927" spans="1:93" ht="15.75" customHeight="1">
      <c r="A927" s="8"/>
      <c r="B927" s="8"/>
      <c r="C927" s="8"/>
      <c r="D927" s="8"/>
      <c r="E927" s="8"/>
      <c r="F927" s="8"/>
      <c r="G927" s="789"/>
      <c r="H927" s="789"/>
      <c r="I927" s="789"/>
      <c r="J927" s="790"/>
      <c r="K927" s="789"/>
      <c r="L927" s="789"/>
      <c r="M927" s="789"/>
      <c r="N927" s="789"/>
      <c r="O927" s="8"/>
      <c r="P927" s="8"/>
      <c r="Q927" s="8"/>
      <c r="R927" s="8"/>
      <c r="S927" s="789"/>
      <c r="T927" s="789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  <c r="BL927" s="8"/>
      <c r="BM927" s="8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</row>
    <row r="928" spans="1:93" ht="15.75" customHeight="1">
      <c r="A928" s="8"/>
      <c r="B928" s="8"/>
      <c r="C928" s="8"/>
      <c r="D928" s="8"/>
      <c r="E928" s="8"/>
      <c r="F928" s="8"/>
      <c r="G928" s="789"/>
      <c r="H928" s="789"/>
      <c r="I928" s="789"/>
      <c r="J928" s="790"/>
      <c r="K928" s="789"/>
      <c r="L928" s="789"/>
      <c r="M928" s="789"/>
      <c r="N928" s="789"/>
      <c r="O928" s="8"/>
      <c r="P928" s="8"/>
      <c r="Q928" s="8"/>
      <c r="R928" s="8"/>
      <c r="S928" s="789"/>
      <c r="T928" s="789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  <c r="BL928" s="8"/>
      <c r="BM928" s="8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</row>
    <row r="929" spans="1:93" ht="15.75" customHeight="1">
      <c r="A929" s="8"/>
      <c r="B929" s="8"/>
      <c r="C929" s="8"/>
      <c r="D929" s="8"/>
      <c r="E929" s="8"/>
      <c r="F929" s="8"/>
      <c r="G929" s="789"/>
      <c r="H929" s="789"/>
      <c r="I929" s="789"/>
      <c r="J929" s="790"/>
      <c r="K929" s="789"/>
      <c r="L929" s="789"/>
      <c r="M929" s="789"/>
      <c r="N929" s="789"/>
      <c r="O929" s="8"/>
      <c r="P929" s="8"/>
      <c r="Q929" s="8"/>
      <c r="R929" s="8"/>
      <c r="S929" s="789"/>
      <c r="T929" s="789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  <c r="BL929" s="8"/>
      <c r="BM929" s="8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</row>
    <row r="930" spans="1:93" ht="15.75" customHeight="1">
      <c r="A930" s="8"/>
      <c r="B930" s="8"/>
      <c r="C930" s="8"/>
      <c r="D930" s="8"/>
      <c r="E930" s="8"/>
      <c r="F930" s="8"/>
      <c r="G930" s="789"/>
      <c r="H930" s="789"/>
      <c r="I930" s="789"/>
      <c r="J930" s="790"/>
      <c r="K930" s="789"/>
      <c r="L930" s="789"/>
      <c r="M930" s="789"/>
      <c r="N930" s="789"/>
      <c r="O930" s="8"/>
      <c r="P930" s="8"/>
      <c r="Q930" s="8"/>
      <c r="R930" s="8"/>
      <c r="S930" s="789"/>
      <c r="T930" s="789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  <c r="BL930" s="8"/>
      <c r="BM930" s="8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</row>
    <row r="931" spans="1:93" ht="15.75" customHeight="1">
      <c r="A931" s="8"/>
      <c r="B931" s="8"/>
      <c r="C931" s="8"/>
      <c r="D931" s="8"/>
      <c r="E931" s="8"/>
      <c r="F931" s="8"/>
      <c r="G931" s="789"/>
      <c r="H931" s="789"/>
      <c r="I931" s="789"/>
      <c r="J931" s="790"/>
      <c r="K931" s="789"/>
      <c r="L931" s="789"/>
      <c r="M931" s="789"/>
      <c r="N931" s="789"/>
      <c r="O931" s="8"/>
      <c r="P931" s="8"/>
      <c r="Q931" s="8"/>
      <c r="R931" s="8"/>
      <c r="S931" s="789"/>
      <c r="T931" s="789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  <c r="BL931" s="8"/>
      <c r="BM931" s="8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</row>
    <row r="932" spans="1:93" ht="15.75" customHeight="1">
      <c r="A932" s="8"/>
      <c r="B932" s="8"/>
      <c r="C932" s="8"/>
      <c r="D932" s="8"/>
      <c r="E932" s="8"/>
      <c r="F932" s="8"/>
      <c r="G932" s="789"/>
      <c r="H932" s="789"/>
      <c r="I932" s="789"/>
      <c r="J932" s="790"/>
      <c r="K932" s="789"/>
      <c r="L932" s="789"/>
      <c r="M932" s="789"/>
      <c r="N932" s="789"/>
      <c r="O932" s="8"/>
      <c r="P932" s="8"/>
      <c r="Q932" s="8"/>
      <c r="R932" s="8"/>
      <c r="S932" s="789"/>
      <c r="T932" s="789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  <c r="BL932" s="8"/>
      <c r="BM932" s="8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</row>
    <row r="933" spans="1:93" ht="15.75" customHeight="1">
      <c r="A933" s="8"/>
      <c r="B933" s="8"/>
      <c r="C933" s="8"/>
      <c r="D933" s="8"/>
      <c r="E933" s="8"/>
      <c r="F933" s="8"/>
      <c r="G933" s="789"/>
      <c r="H933" s="789"/>
      <c r="I933" s="789"/>
      <c r="J933" s="790"/>
      <c r="K933" s="789"/>
      <c r="L933" s="789"/>
      <c r="M933" s="789"/>
      <c r="N933" s="789"/>
      <c r="O933" s="8"/>
      <c r="P933" s="8"/>
      <c r="Q933" s="8"/>
      <c r="R933" s="8"/>
      <c r="S933" s="789"/>
      <c r="T933" s="789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  <c r="BL933" s="8"/>
      <c r="BM933" s="8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</row>
    <row r="934" spans="1:93" ht="15.75" customHeight="1">
      <c r="A934" s="8"/>
      <c r="B934" s="8"/>
      <c r="C934" s="8"/>
      <c r="D934" s="8"/>
      <c r="E934" s="8"/>
      <c r="F934" s="8"/>
      <c r="G934" s="789"/>
      <c r="H934" s="789"/>
      <c r="I934" s="789"/>
      <c r="J934" s="790"/>
      <c r="K934" s="789"/>
      <c r="L934" s="789"/>
      <c r="M934" s="789"/>
      <c r="N934" s="789"/>
      <c r="O934" s="8"/>
      <c r="P934" s="8"/>
      <c r="Q934" s="8"/>
      <c r="R934" s="8"/>
      <c r="S934" s="789"/>
      <c r="T934" s="789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  <c r="BL934" s="8"/>
      <c r="BM934" s="8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</row>
    <row r="935" spans="1:93" ht="15.75" customHeight="1">
      <c r="A935" s="8"/>
      <c r="B935" s="8"/>
      <c r="C935" s="8"/>
      <c r="D935" s="8"/>
      <c r="E935" s="8"/>
      <c r="F935" s="8"/>
      <c r="G935" s="789"/>
      <c r="H935" s="789"/>
      <c r="I935" s="789"/>
      <c r="J935" s="790"/>
      <c r="K935" s="789"/>
      <c r="L935" s="789"/>
      <c r="M935" s="789"/>
      <c r="N935" s="789"/>
      <c r="O935" s="8"/>
      <c r="P935" s="8"/>
      <c r="Q935" s="8"/>
      <c r="R935" s="8"/>
      <c r="S935" s="789"/>
      <c r="T935" s="789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  <c r="BL935" s="8"/>
      <c r="BM935" s="8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</row>
    <row r="936" spans="1:93" ht="15.75" customHeight="1">
      <c r="A936" s="8"/>
      <c r="B936" s="8"/>
      <c r="C936" s="8"/>
      <c r="D936" s="8"/>
      <c r="E936" s="8"/>
      <c r="F936" s="8"/>
      <c r="G936" s="789"/>
      <c r="H936" s="789"/>
      <c r="I936" s="789"/>
      <c r="J936" s="790"/>
      <c r="K936" s="789"/>
      <c r="L936" s="789"/>
      <c r="M936" s="789"/>
      <c r="N936" s="789"/>
      <c r="O936" s="8"/>
      <c r="P936" s="8"/>
      <c r="Q936" s="8"/>
      <c r="R936" s="8"/>
      <c r="S936" s="789"/>
      <c r="T936" s="789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  <c r="BL936" s="8"/>
      <c r="BM936" s="8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</row>
    <row r="937" spans="1:93" ht="15.75" customHeight="1">
      <c r="A937" s="8"/>
      <c r="B937" s="8"/>
      <c r="C937" s="8"/>
      <c r="D937" s="8"/>
      <c r="E937" s="8"/>
      <c r="F937" s="8"/>
      <c r="G937" s="789"/>
      <c r="H937" s="789"/>
      <c r="I937" s="789"/>
      <c r="J937" s="790"/>
      <c r="K937" s="789"/>
      <c r="L937" s="789"/>
      <c r="M937" s="789"/>
      <c r="N937" s="789"/>
      <c r="O937" s="8"/>
      <c r="P937" s="8"/>
      <c r="Q937" s="8"/>
      <c r="R937" s="8"/>
      <c r="S937" s="789"/>
      <c r="T937" s="789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  <c r="BL937" s="8"/>
      <c r="BM937" s="8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</row>
    <row r="938" spans="1:93" ht="15.75" customHeight="1">
      <c r="A938" s="8"/>
      <c r="B938" s="8"/>
      <c r="C938" s="8"/>
      <c r="D938" s="8"/>
      <c r="E938" s="8"/>
      <c r="F938" s="8"/>
      <c r="G938" s="789"/>
      <c r="H938" s="789"/>
      <c r="I938" s="789"/>
      <c r="J938" s="790"/>
      <c r="K938" s="789"/>
      <c r="L938" s="789"/>
      <c r="M938" s="789"/>
      <c r="N938" s="789"/>
      <c r="O938" s="8"/>
      <c r="P938" s="8"/>
      <c r="Q938" s="8"/>
      <c r="R938" s="8"/>
      <c r="S938" s="789"/>
      <c r="T938" s="789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  <c r="BL938" s="8"/>
      <c r="BM938" s="8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</row>
    <row r="939" spans="1:93" ht="15.75" customHeight="1">
      <c r="A939" s="8"/>
      <c r="B939" s="8"/>
      <c r="C939" s="8"/>
      <c r="D939" s="8"/>
      <c r="E939" s="8"/>
      <c r="F939" s="8"/>
      <c r="G939" s="789"/>
      <c r="H939" s="789"/>
      <c r="I939" s="789"/>
      <c r="J939" s="790"/>
      <c r="K939" s="789"/>
      <c r="L939" s="789"/>
      <c r="M939" s="789"/>
      <c r="N939" s="789"/>
      <c r="O939" s="8"/>
      <c r="P939" s="8"/>
      <c r="Q939" s="8"/>
      <c r="R939" s="8"/>
      <c r="S939" s="789"/>
      <c r="T939" s="789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  <c r="BL939" s="8"/>
      <c r="BM939" s="8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</row>
    <row r="940" spans="1:93" ht="15.75" customHeight="1">
      <c r="A940" s="8"/>
      <c r="B940" s="8"/>
      <c r="C940" s="8"/>
      <c r="D940" s="8"/>
      <c r="E940" s="8"/>
      <c r="F940" s="8"/>
      <c r="G940" s="789"/>
      <c r="H940" s="789"/>
      <c r="I940" s="789"/>
      <c r="J940" s="790"/>
      <c r="K940" s="789"/>
      <c r="L940" s="789"/>
      <c r="M940" s="789"/>
      <c r="N940" s="789"/>
      <c r="O940" s="8"/>
      <c r="P940" s="8"/>
      <c r="Q940" s="8"/>
      <c r="R940" s="8"/>
      <c r="S940" s="789"/>
      <c r="T940" s="789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  <c r="BL940" s="8"/>
      <c r="BM940" s="8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</row>
    <row r="941" spans="1:93" ht="15.75" customHeight="1">
      <c r="A941" s="8"/>
      <c r="B941" s="8"/>
      <c r="C941" s="8"/>
      <c r="D941" s="8"/>
      <c r="E941" s="8"/>
      <c r="F941" s="8"/>
      <c r="G941" s="789"/>
      <c r="H941" s="789"/>
      <c r="I941" s="789"/>
      <c r="J941" s="790"/>
      <c r="K941" s="789"/>
      <c r="L941" s="789"/>
      <c r="M941" s="789"/>
      <c r="N941" s="789"/>
      <c r="O941" s="8"/>
      <c r="P941" s="8"/>
      <c r="Q941" s="8"/>
      <c r="R941" s="8"/>
      <c r="S941" s="789"/>
      <c r="T941" s="789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  <c r="BL941" s="8"/>
      <c r="BM941" s="8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</row>
    <row r="942" spans="1:93" ht="15.75" customHeight="1">
      <c r="A942" s="8"/>
      <c r="B942" s="8"/>
      <c r="C942" s="8"/>
      <c r="D942" s="8"/>
      <c r="E942" s="8"/>
      <c r="F942" s="8"/>
      <c r="G942" s="789"/>
      <c r="H942" s="789"/>
      <c r="I942" s="789"/>
      <c r="J942" s="790"/>
      <c r="K942" s="789"/>
      <c r="L942" s="789"/>
      <c r="M942" s="789"/>
      <c r="N942" s="789"/>
      <c r="O942" s="8"/>
      <c r="P942" s="8"/>
      <c r="Q942" s="8"/>
      <c r="R942" s="8"/>
      <c r="S942" s="789"/>
      <c r="T942" s="789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  <c r="BL942" s="8"/>
      <c r="BM942" s="8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</row>
    <row r="943" spans="1:93" ht="15.75" customHeight="1">
      <c r="A943" s="8"/>
      <c r="B943" s="8"/>
      <c r="C943" s="8"/>
      <c r="D943" s="8"/>
      <c r="E943" s="8"/>
      <c r="F943" s="8"/>
      <c r="G943" s="789"/>
      <c r="H943" s="789"/>
      <c r="I943" s="789"/>
      <c r="J943" s="790"/>
      <c r="K943" s="789"/>
      <c r="L943" s="789"/>
      <c r="M943" s="789"/>
      <c r="N943" s="789"/>
      <c r="O943" s="8"/>
      <c r="P943" s="8"/>
      <c r="Q943" s="8"/>
      <c r="R943" s="8"/>
      <c r="S943" s="789"/>
      <c r="T943" s="789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  <c r="BL943" s="8"/>
      <c r="BM943" s="8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</row>
    <row r="944" spans="1:93" ht="15.75" customHeight="1">
      <c r="A944" s="8"/>
      <c r="B944" s="8"/>
      <c r="C944" s="8"/>
      <c r="D944" s="8"/>
      <c r="E944" s="8"/>
      <c r="F944" s="8"/>
      <c r="G944" s="789"/>
      <c r="H944" s="789"/>
      <c r="I944" s="789"/>
      <c r="J944" s="790"/>
      <c r="K944" s="789"/>
      <c r="L944" s="789"/>
      <c r="M944" s="789"/>
      <c r="N944" s="789"/>
      <c r="O944" s="8"/>
      <c r="P944" s="8"/>
      <c r="Q944" s="8"/>
      <c r="R944" s="8"/>
      <c r="S944" s="789"/>
      <c r="T944" s="789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  <c r="BL944" s="8"/>
      <c r="BM944" s="8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</row>
    <row r="945" spans="1:93" ht="15.75" customHeight="1">
      <c r="A945" s="8"/>
      <c r="B945" s="8"/>
      <c r="C945" s="8"/>
      <c r="D945" s="8"/>
      <c r="E945" s="8"/>
      <c r="F945" s="8"/>
      <c r="G945" s="789"/>
      <c r="H945" s="789"/>
      <c r="I945" s="789"/>
      <c r="J945" s="790"/>
      <c r="K945" s="789"/>
      <c r="L945" s="789"/>
      <c r="M945" s="789"/>
      <c r="N945" s="789"/>
      <c r="O945" s="8"/>
      <c r="P945" s="8"/>
      <c r="Q945" s="8"/>
      <c r="R945" s="8"/>
      <c r="S945" s="789"/>
      <c r="T945" s="789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  <c r="BL945" s="8"/>
      <c r="BM945" s="8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</row>
    <row r="946" spans="1:93" ht="15.75" customHeight="1">
      <c r="A946" s="8"/>
      <c r="B946" s="8"/>
      <c r="C946" s="8"/>
      <c r="D946" s="8"/>
      <c r="E946" s="8"/>
      <c r="F946" s="8"/>
      <c r="G946" s="789"/>
      <c r="H946" s="789"/>
      <c r="I946" s="789"/>
      <c r="J946" s="790"/>
      <c r="K946" s="789"/>
      <c r="L946" s="789"/>
      <c r="M946" s="789"/>
      <c r="N946" s="789"/>
      <c r="O946" s="8"/>
      <c r="P946" s="8"/>
      <c r="Q946" s="8"/>
      <c r="R946" s="8"/>
      <c r="S946" s="789"/>
      <c r="T946" s="789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  <c r="BL946" s="8"/>
      <c r="BM946" s="8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</row>
    <row r="947" spans="1:93" ht="15.75" customHeight="1">
      <c r="A947" s="8"/>
      <c r="B947" s="8"/>
      <c r="C947" s="8"/>
      <c r="D947" s="8"/>
      <c r="E947" s="8"/>
      <c r="F947" s="8"/>
      <c r="G947" s="789"/>
      <c r="H947" s="789"/>
      <c r="I947" s="789"/>
      <c r="J947" s="790"/>
      <c r="K947" s="789"/>
      <c r="L947" s="789"/>
      <c r="M947" s="789"/>
      <c r="N947" s="789"/>
      <c r="O947" s="8"/>
      <c r="P947" s="8"/>
      <c r="Q947" s="8"/>
      <c r="R947" s="8"/>
      <c r="S947" s="789"/>
      <c r="T947" s="789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  <c r="BL947" s="8"/>
      <c r="BM947" s="8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</row>
    <row r="948" spans="1:93" ht="15.75" customHeight="1">
      <c r="A948" s="8"/>
      <c r="B948" s="8"/>
      <c r="C948" s="8"/>
      <c r="D948" s="8"/>
      <c r="E948" s="8"/>
      <c r="F948" s="8"/>
      <c r="G948" s="789"/>
      <c r="H948" s="789"/>
      <c r="I948" s="789"/>
      <c r="J948" s="790"/>
      <c r="K948" s="789"/>
      <c r="L948" s="789"/>
      <c r="M948" s="789"/>
      <c r="N948" s="789"/>
      <c r="O948" s="8"/>
      <c r="P948" s="8"/>
      <c r="Q948" s="8"/>
      <c r="R948" s="8"/>
      <c r="S948" s="789"/>
      <c r="T948" s="789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  <c r="BL948" s="8"/>
      <c r="BM948" s="8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</row>
    <row r="949" spans="1:93" ht="15.75" customHeight="1">
      <c r="A949" s="8"/>
      <c r="B949" s="8"/>
      <c r="C949" s="8"/>
      <c r="D949" s="8"/>
      <c r="E949" s="8"/>
      <c r="F949" s="8"/>
      <c r="G949" s="789"/>
      <c r="H949" s="789"/>
      <c r="I949" s="789"/>
      <c r="J949" s="790"/>
      <c r="K949" s="789"/>
      <c r="L949" s="789"/>
      <c r="M949" s="789"/>
      <c r="N949" s="789"/>
      <c r="O949" s="8"/>
      <c r="P949" s="8"/>
      <c r="Q949" s="8"/>
      <c r="R949" s="8"/>
      <c r="S949" s="789"/>
      <c r="T949" s="789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  <c r="BL949" s="8"/>
      <c r="BM949" s="8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</row>
    <row r="950" spans="1:93" ht="15.75" customHeight="1">
      <c r="A950" s="8"/>
      <c r="B950" s="8"/>
      <c r="C950" s="8"/>
      <c r="D950" s="8"/>
      <c r="E950" s="8"/>
      <c r="F950" s="8"/>
      <c r="G950" s="789"/>
      <c r="H950" s="789"/>
      <c r="I950" s="789"/>
      <c r="J950" s="790"/>
      <c r="K950" s="789"/>
      <c r="L950" s="789"/>
      <c r="M950" s="789"/>
      <c r="N950" s="789"/>
      <c r="O950" s="8"/>
      <c r="P950" s="8"/>
      <c r="Q950" s="8"/>
      <c r="R950" s="8"/>
      <c r="S950" s="789"/>
      <c r="T950" s="789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  <c r="BL950" s="8"/>
      <c r="BM950" s="8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</row>
    <row r="951" spans="1:93" ht="15.75" customHeight="1">
      <c r="A951" s="8"/>
      <c r="B951" s="8"/>
      <c r="C951" s="8"/>
      <c r="D951" s="8"/>
      <c r="E951" s="8"/>
      <c r="F951" s="8"/>
      <c r="G951" s="789"/>
      <c r="H951" s="789"/>
      <c r="I951" s="789"/>
      <c r="J951" s="790"/>
      <c r="K951" s="789"/>
      <c r="L951" s="789"/>
      <c r="M951" s="789"/>
      <c r="N951" s="789"/>
      <c r="O951" s="8"/>
      <c r="P951" s="8"/>
      <c r="Q951" s="8"/>
      <c r="R951" s="8"/>
      <c r="S951" s="789"/>
      <c r="T951" s="789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</row>
    <row r="952" spans="1:93" ht="15.75" customHeight="1">
      <c r="A952" s="8"/>
      <c r="B952" s="8"/>
      <c r="C952" s="8"/>
      <c r="D952" s="8"/>
      <c r="E952" s="8"/>
      <c r="F952" s="8"/>
      <c r="G952" s="789"/>
      <c r="H952" s="789"/>
      <c r="I952" s="789"/>
      <c r="J952" s="790"/>
      <c r="K952" s="789"/>
      <c r="L952" s="789"/>
      <c r="M952" s="789"/>
      <c r="N952" s="789"/>
      <c r="O952" s="8"/>
      <c r="P952" s="8"/>
      <c r="Q952" s="8"/>
      <c r="R952" s="8"/>
      <c r="S952" s="789"/>
      <c r="T952" s="789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  <c r="BL952" s="8"/>
      <c r="BM952" s="8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</row>
    <row r="953" spans="1:93" ht="15.75" customHeight="1">
      <c r="A953" s="8"/>
      <c r="B953" s="8"/>
      <c r="C953" s="8"/>
      <c r="D953" s="8"/>
      <c r="E953" s="8"/>
      <c r="F953" s="8"/>
      <c r="G953" s="789"/>
      <c r="H953" s="789"/>
      <c r="I953" s="789"/>
      <c r="J953" s="790"/>
      <c r="K953" s="789"/>
      <c r="L953" s="789"/>
      <c r="M953" s="789"/>
      <c r="N953" s="789"/>
      <c r="O953" s="8"/>
      <c r="P953" s="8"/>
      <c r="Q953" s="8"/>
      <c r="R953" s="8"/>
      <c r="S953" s="789"/>
      <c r="T953" s="789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</row>
    <row r="954" spans="1:93" ht="15.75" customHeight="1">
      <c r="A954" s="8"/>
      <c r="B954" s="8"/>
      <c r="C954" s="8"/>
      <c r="D954" s="8"/>
      <c r="E954" s="8"/>
      <c r="F954" s="8"/>
      <c r="G954" s="789"/>
      <c r="H954" s="789"/>
      <c r="I954" s="789"/>
      <c r="J954" s="790"/>
      <c r="K954" s="789"/>
      <c r="L954" s="789"/>
      <c r="M954" s="789"/>
      <c r="N954" s="789"/>
      <c r="O954" s="8"/>
      <c r="P954" s="8"/>
      <c r="Q954" s="8"/>
      <c r="R954" s="8"/>
      <c r="S954" s="789"/>
      <c r="T954" s="789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  <c r="BL954" s="8"/>
      <c r="BM954" s="8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</row>
    <row r="955" spans="1:93" ht="15.75" customHeight="1">
      <c r="A955" s="8"/>
      <c r="B955" s="8"/>
      <c r="C955" s="8"/>
      <c r="D955" s="8"/>
      <c r="E955" s="8"/>
      <c r="F955" s="8"/>
      <c r="G955" s="789"/>
      <c r="H955" s="789"/>
      <c r="I955" s="789"/>
      <c r="J955" s="790"/>
      <c r="K955" s="789"/>
      <c r="L955" s="789"/>
      <c r="M955" s="789"/>
      <c r="N955" s="789"/>
      <c r="O955" s="8"/>
      <c r="P955" s="8"/>
      <c r="Q955" s="8"/>
      <c r="R955" s="8"/>
      <c r="S955" s="789"/>
      <c r="T955" s="789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</row>
    <row r="956" spans="1:93" ht="15.75" customHeight="1">
      <c r="A956" s="8"/>
      <c r="B956" s="8"/>
      <c r="C956" s="8"/>
      <c r="D956" s="8"/>
      <c r="E956" s="8"/>
      <c r="F956" s="8"/>
      <c r="G956" s="789"/>
      <c r="H956" s="789"/>
      <c r="I956" s="789"/>
      <c r="J956" s="790"/>
      <c r="K956" s="789"/>
      <c r="L956" s="789"/>
      <c r="M956" s="789"/>
      <c r="N956" s="789"/>
      <c r="O956" s="8"/>
      <c r="P956" s="8"/>
      <c r="Q956" s="8"/>
      <c r="R956" s="8"/>
      <c r="S956" s="789"/>
      <c r="T956" s="789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  <c r="BL956" s="8"/>
      <c r="BM956" s="8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</row>
    <row r="957" spans="1:93" ht="15.75" customHeight="1">
      <c r="A957" s="8"/>
      <c r="B957" s="8"/>
      <c r="C957" s="8"/>
      <c r="D957" s="8"/>
      <c r="E957" s="8"/>
      <c r="F957" s="8"/>
      <c r="G957" s="789"/>
      <c r="H957" s="789"/>
      <c r="I957" s="789"/>
      <c r="J957" s="790"/>
      <c r="K957" s="789"/>
      <c r="L957" s="789"/>
      <c r="M957" s="789"/>
      <c r="N957" s="789"/>
      <c r="O957" s="8"/>
      <c r="P957" s="8"/>
      <c r="Q957" s="8"/>
      <c r="R957" s="8"/>
      <c r="S957" s="789"/>
      <c r="T957" s="789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</row>
    <row r="958" spans="1:93" ht="15.75" customHeight="1">
      <c r="A958" s="8"/>
      <c r="B958" s="8"/>
      <c r="C958" s="8"/>
      <c r="D958" s="8"/>
      <c r="E958" s="8"/>
      <c r="F958" s="8"/>
      <c r="G958" s="789"/>
      <c r="H958" s="789"/>
      <c r="I958" s="789"/>
      <c r="J958" s="790"/>
      <c r="K958" s="789"/>
      <c r="L958" s="789"/>
      <c r="M958" s="789"/>
      <c r="N958" s="789"/>
      <c r="O958" s="8"/>
      <c r="P958" s="8"/>
      <c r="Q958" s="8"/>
      <c r="R958" s="8"/>
      <c r="S958" s="789"/>
      <c r="T958" s="789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  <c r="BL958" s="8"/>
      <c r="BM958" s="8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</row>
    <row r="959" spans="1:93" ht="15.75" customHeight="1">
      <c r="A959" s="8"/>
      <c r="B959" s="8"/>
      <c r="C959" s="8"/>
      <c r="D959" s="8"/>
      <c r="E959" s="8"/>
      <c r="F959" s="8"/>
      <c r="G959" s="789"/>
      <c r="H959" s="789"/>
      <c r="I959" s="789"/>
      <c r="J959" s="790"/>
      <c r="K959" s="789"/>
      <c r="L959" s="789"/>
      <c r="M959" s="789"/>
      <c r="N959" s="789"/>
      <c r="O959" s="8"/>
      <c r="P959" s="8"/>
      <c r="Q959" s="8"/>
      <c r="R959" s="8"/>
      <c r="S959" s="789"/>
      <c r="T959" s="789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</row>
    <row r="960" spans="1:93" ht="15.75" customHeight="1">
      <c r="A960" s="8"/>
      <c r="B960" s="8"/>
      <c r="C960" s="8"/>
      <c r="D960" s="8"/>
      <c r="E960" s="8"/>
      <c r="F960" s="8"/>
      <c r="G960" s="789"/>
      <c r="H960" s="789"/>
      <c r="I960" s="789"/>
      <c r="J960" s="790"/>
      <c r="K960" s="789"/>
      <c r="L960" s="789"/>
      <c r="M960" s="789"/>
      <c r="N960" s="789"/>
      <c r="O960" s="8"/>
      <c r="P960" s="8"/>
      <c r="Q960" s="8"/>
      <c r="R960" s="8"/>
      <c r="S960" s="789"/>
      <c r="T960" s="789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  <c r="BL960" s="8"/>
      <c r="BM960" s="8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</row>
    <row r="961" spans="1:93" ht="15.75" customHeight="1">
      <c r="A961" s="8"/>
      <c r="B961" s="8"/>
      <c r="C961" s="8"/>
      <c r="D961" s="8"/>
      <c r="E961" s="8"/>
      <c r="F961" s="8"/>
      <c r="G961" s="789"/>
      <c r="H961" s="789"/>
      <c r="I961" s="789"/>
      <c r="J961" s="790"/>
      <c r="K961" s="789"/>
      <c r="L961" s="789"/>
      <c r="M961" s="789"/>
      <c r="N961" s="789"/>
      <c r="O961" s="8"/>
      <c r="P961" s="8"/>
      <c r="Q961" s="8"/>
      <c r="R961" s="8"/>
      <c r="S961" s="789"/>
      <c r="T961" s="789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</row>
    <row r="962" spans="1:93" ht="15.75" customHeight="1">
      <c r="A962" s="8"/>
      <c r="B962" s="8"/>
      <c r="C962" s="8"/>
      <c r="D962" s="8"/>
      <c r="E962" s="8"/>
      <c r="F962" s="8"/>
      <c r="G962" s="789"/>
      <c r="H962" s="789"/>
      <c r="I962" s="789"/>
      <c r="J962" s="790"/>
      <c r="K962" s="789"/>
      <c r="L962" s="789"/>
      <c r="M962" s="789"/>
      <c r="N962" s="789"/>
      <c r="O962" s="8"/>
      <c r="P962" s="8"/>
      <c r="Q962" s="8"/>
      <c r="R962" s="8"/>
      <c r="S962" s="789"/>
      <c r="T962" s="789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  <c r="BL962" s="8"/>
      <c r="BM962" s="8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</row>
    <row r="963" spans="1:93" ht="15.75" customHeight="1">
      <c r="A963" s="8"/>
      <c r="B963" s="8"/>
      <c r="C963" s="8"/>
      <c r="D963" s="8"/>
      <c r="E963" s="8"/>
      <c r="F963" s="8"/>
      <c r="G963" s="789"/>
      <c r="H963" s="789"/>
      <c r="I963" s="789"/>
      <c r="J963" s="790"/>
      <c r="K963" s="789"/>
      <c r="L963" s="789"/>
      <c r="M963" s="789"/>
      <c r="N963" s="789"/>
      <c r="O963" s="8"/>
      <c r="P963" s="8"/>
      <c r="Q963" s="8"/>
      <c r="R963" s="8"/>
      <c r="S963" s="789"/>
      <c r="T963" s="789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</row>
    <row r="964" spans="1:93" ht="15.75" customHeight="1">
      <c r="A964" s="8"/>
      <c r="B964" s="8"/>
      <c r="C964" s="8"/>
      <c r="D964" s="8"/>
      <c r="E964" s="8"/>
      <c r="F964" s="8"/>
      <c r="G964" s="789"/>
      <c r="H964" s="789"/>
      <c r="I964" s="789"/>
      <c r="J964" s="790"/>
      <c r="K964" s="789"/>
      <c r="L964" s="789"/>
      <c r="M964" s="789"/>
      <c r="N964" s="789"/>
      <c r="O964" s="8"/>
      <c r="P964" s="8"/>
      <c r="Q964" s="8"/>
      <c r="R964" s="8"/>
      <c r="S964" s="789"/>
      <c r="T964" s="789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  <c r="BL964" s="8"/>
      <c r="BM964" s="8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</row>
    <row r="965" spans="1:93" ht="15.75" customHeight="1">
      <c r="A965" s="8"/>
      <c r="B965" s="8"/>
      <c r="C965" s="8"/>
      <c r="D965" s="8"/>
      <c r="E965" s="8"/>
      <c r="F965" s="8"/>
      <c r="G965" s="789"/>
      <c r="H965" s="789"/>
      <c r="I965" s="789"/>
      <c r="J965" s="790"/>
      <c r="K965" s="789"/>
      <c r="L965" s="789"/>
      <c r="M965" s="789"/>
      <c r="N965" s="789"/>
      <c r="O965" s="8"/>
      <c r="P965" s="8"/>
      <c r="Q965" s="8"/>
      <c r="R965" s="8"/>
      <c r="S965" s="789"/>
      <c r="T965" s="789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</row>
    <row r="966" spans="1:93" ht="15.75" customHeight="1">
      <c r="A966" s="8"/>
      <c r="B966" s="8"/>
      <c r="C966" s="8"/>
      <c r="D966" s="8"/>
      <c r="E966" s="8"/>
      <c r="F966" s="8"/>
      <c r="G966" s="789"/>
      <c r="H966" s="789"/>
      <c r="I966" s="789"/>
      <c r="J966" s="790"/>
      <c r="K966" s="789"/>
      <c r="L966" s="789"/>
      <c r="M966" s="789"/>
      <c r="N966" s="789"/>
      <c r="O966" s="8"/>
      <c r="P966" s="8"/>
      <c r="Q966" s="8"/>
      <c r="R966" s="8"/>
      <c r="S966" s="789"/>
      <c r="T966" s="789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  <c r="BL966" s="8"/>
      <c r="BM966" s="8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</row>
    <row r="967" spans="1:93" ht="15.75" customHeight="1">
      <c r="A967" s="8"/>
      <c r="B967" s="8"/>
      <c r="C967" s="8"/>
      <c r="D967" s="8"/>
      <c r="E967" s="8"/>
      <c r="F967" s="8"/>
      <c r="G967" s="789"/>
      <c r="H967" s="789"/>
      <c r="I967" s="789"/>
      <c r="J967" s="790"/>
      <c r="K967" s="789"/>
      <c r="L967" s="789"/>
      <c r="M967" s="789"/>
      <c r="N967" s="789"/>
      <c r="O967" s="8"/>
      <c r="P967" s="8"/>
      <c r="Q967" s="8"/>
      <c r="R967" s="8"/>
      <c r="S967" s="789"/>
      <c r="T967" s="789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</row>
    <row r="968" spans="1:93" ht="15.75" customHeight="1">
      <c r="A968" s="8"/>
      <c r="B968" s="8"/>
      <c r="C968" s="8"/>
      <c r="D968" s="8"/>
      <c r="E968" s="8"/>
      <c r="F968" s="8"/>
      <c r="G968" s="789"/>
      <c r="H968" s="789"/>
      <c r="I968" s="789"/>
      <c r="J968" s="790"/>
      <c r="K968" s="789"/>
      <c r="L968" s="789"/>
      <c r="M968" s="789"/>
      <c r="N968" s="789"/>
      <c r="O968" s="8"/>
      <c r="P968" s="8"/>
      <c r="Q968" s="8"/>
      <c r="R968" s="8"/>
      <c r="S968" s="789"/>
      <c r="T968" s="789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  <c r="BL968" s="8"/>
      <c r="BM968" s="8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</row>
    <row r="969" spans="1:93" ht="15.75" customHeight="1">
      <c r="A969" s="8"/>
      <c r="B969" s="8"/>
      <c r="C969" s="8"/>
      <c r="D969" s="8"/>
      <c r="E969" s="8"/>
      <c r="F969" s="8"/>
      <c r="G969" s="789"/>
      <c r="H969" s="789"/>
      <c r="I969" s="789"/>
      <c r="J969" s="790"/>
      <c r="K969" s="789"/>
      <c r="L969" s="789"/>
      <c r="M969" s="789"/>
      <c r="N969" s="789"/>
      <c r="O969" s="8"/>
      <c r="P969" s="8"/>
      <c r="Q969" s="8"/>
      <c r="R969" s="8"/>
      <c r="S969" s="789"/>
      <c r="T969" s="789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</row>
    <row r="970" spans="1:93" ht="15.75" customHeight="1">
      <c r="A970" s="8"/>
      <c r="B970" s="8"/>
      <c r="C970" s="8"/>
      <c r="D970" s="8"/>
      <c r="E970" s="8"/>
      <c r="F970" s="8"/>
      <c r="G970" s="789"/>
      <c r="H970" s="789"/>
      <c r="I970" s="789"/>
      <c r="J970" s="790"/>
      <c r="K970" s="789"/>
      <c r="L970" s="789"/>
      <c r="M970" s="789"/>
      <c r="N970" s="789"/>
      <c r="O970" s="8"/>
      <c r="P970" s="8"/>
      <c r="Q970" s="8"/>
      <c r="R970" s="8"/>
      <c r="S970" s="789"/>
      <c r="T970" s="789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  <c r="BL970" s="8"/>
      <c r="BM970" s="8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</row>
    <row r="971" spans="1:93" ht="15.75" customHeight="1">
      <c r="A971" s="8"/>
      <c r="B971" s="8"/>
      <c r="C971" s="8"/>
      <c r="D971" s="8"/>
      <c r="E971" s="8"/>
      <c r="F971" s="8"/>
      <c r="G971" s="789"/>
      <c r="H971" s="789"/>
      <c r="I971" s="789"/>
      <c r="J971" s="790"/>
      <c r="K971" s="789"/>
      <c r="L971" s="789"/>
      <c r="M971" s="789"/>
      <c r="N971" s="789"/>
      <c r="O971" s="8"/>
      <c r="P971" s="8"/>
      <c r="Q971" s="8"/>
      <c r="R971" s="8"/>
      <c r="S971" s="789"/>
      <c r="T971" s="789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</row>
    <row r="972" spans="1:93" ht="15.75" customHeight="1">
      <c r="A972" s="8"/>
      <c r="B972" s="8"/>
      <c r="C972" s="8"/>
      <c r="D972" s="8"/>
      <c r="E972" s="8"/>
      <c r="F972" s="8"/>
      <c r="G972" s="789"/>
      <c r="H972" s="789"/>
      <c r="I972" s="789"/>
      <c r="J972" s="790"/>
      <c r="K972" s="789"/>
      <c r="L972" s="789"/>
      <c r="M972" s="789"/>
      <c r="N972" s="789"/>
      <c r="O972" s="8"/>
      <c r="P972" s="8"/>
      <c r="Q972" s="8"/>
      <c r="R972" s="8"/>
      <c r="S972" s="789"/>
      <c r="T972" s="789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  <c r="BL972" s="8"/>
      <c r="BM972" s="8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</row>
    <row r="973" spans="1:93" ht="15.75" customHeight="1">
      <c r="A973" s="8"/>
      <c r="B973" s="8"/>
      <c r="C973" s="8"/>
      <c r="D973" s="8"/>
      <c r="E973" s="8"/>
      <c r="F973" s="8"/>
      <c r="G973" s="789"/>
      <c r="H973" s="789"/>
      <c r="I973" s="789"/>
      <c r="J973" s="790"/>
      <c r="K973" s="789"/>
      <c r="L973" s="789"/>
      <c r="M973" s="789"/>
      <c r="N973" s="789"/>
      <c r="O973" s="8"/>
      <c r="P973" s="8"/>
      <c r="Q973" s="8"/>
      <c r="R973" s="8"/>
      <c r="S973" s="789"/>
      <c r="T973" s="789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</row>
    <row r="974" spans="1:93" ht="15.75" customHeight="1">
      <c r="A974" s="8"/>
      <c r="B974" s="8"/>
      <c r="C974" s="8"/>
      <c r="D974" s="8"/>
      <c r="E974" s="8"/>
      <c r="F974" s="8"/>
      <c r="G974" s="789"/>
      <c r="H974" s="789"/>
      <c r="I974" s="789"/>
      <c r="J974" s="790"/>
      <c r="K974" s="789"/>
      <c r="L974" s="789"/>
      <c r="M974" s="789"/>
      <c r="N974" s="789"/>
      <c r="O974" s="8"/>
      <c r="P974" s="8"/>
      <c r="Q974" s="8"/>
      <c r="R974" s="8"/>
      <c r="S974" s="789"/>
      <c r="T974" s="789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  <c r="BL974" s="8"/>
      <c r="BM974" s="8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</row>
    <row r="975" spans="1:93" ht="15.75" customHeight="1">
      <c r="A975" s="8"/>
      <c r="B975" s="8"/>
      <c r="C975" s="8"/>
      <c r="D975" s="8"/>
      <c r="E975" s="8"/>
      <c r="F975" s="8"/>
      <c r="G975" s="789"/>
      <c r="H975" s="789"/>
      <c r="I975" s="789"/>
      <c r="J975" s="790"/>
      <c r="K975" s="789"/>
      <c r="L975" s="789"/>
      <c r="M975" s="789"/>
      <c r="N975" s="789"/>
      <c r="O975" s="8"/>
      <c r="P975" s="8"/>
      <c r="Q975" s="8"/>
      <c r="R975" s="8"/>
      <c r="S975" s="789"/>
      <c r="T975" s="789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</row>
    <row r="976" spans="1:93" ht="15.75" customHeight="1">
      <c r="A976" s="8"/>
      <c r="B976" s="8"/>
      <c r="C976" s="8"/>
      <c r="D976" s="8"/>
      <c r="E976" s="8"/>
      <c r="F976" s="8"/>
      <c r="G976" s="789"/>
      <c r="H976" s="789"/>
      <c r="I976" s="789"/>
      <c r="J976" s="790"/>
      <c r="K976" s="789"/>
      <c r="L976" s="789"/>
      <c r="M976" s="789"/>
      <c r="N976" s="789"/>
      <c r="O976" s="8"/>
      <c r="P976" s="8"/>
      <c r="Q976" s="8"/>
      <c r="R976" s="8"/>
      <c r="S976" s="789"/>
      <c r="T976" s="789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  <c r="BL976" s="8"/>
      <c r="BM976" s="8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</row>
    <row r="977" spans="1:93" ht="15.75" customHeight="1">
      <c r="A977" s="8"/>
      <c r="B977" s="8"/>
      <c r="C977" s="8"/>
      <c r="D977" s="8"/>
      <c r="E977" s="8"/>
      <c r="F977" s="8"/>
      <c r="G977" s="789"/>
      <c r="H977" s="789"/>
      <c r="I977" s="789"/>
      <c r="J977" s="790"/>
      <c r="K977" s="789"/>
      <c r="L977" s="789"/>
      <c r="M977" s="789"/>
      <c r="N977" s="789"/>
      <c r="O977" s="8"/>
      <c r="P977" s="8"/>
      <c r="Q977" s="8"/>
      <c r="R977" s="8"/>
      <c r="S977" s="789"/>
      <c r="T977" s="789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</row>
    <row r="978" spans="1:93" ht="15.75" customHeight="1">
      <c r="A978" s="8"/>
      <c r="B978" s="8"/>
      <c r="C978" s="8"/>
      <c r="D978" s="8"/>
      <c r="E978" s="8"/>
      <c r="F978" s="8"/>
      <c r="G978" s="789"/>
      <c r="H978" s="789"/>
      <c r="I978" s="789"/>
      <c r="J978" s="790"/>
      <c r="K978" s="789"/>
      <c r="L978" s="789"/>
      <c r="M978" s="789"/>
      <c r="N978" s="789"/>
      <c r="O978" s="8"/>
      <c r="P978" s="8"/>
      <c r="Q978" s="8"/>
      <c r="R978" s="8"/>
      <c r="S978" s="789"/>
      <c r="T978" s="789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  <c r="BL978" s="8"/>
      <c r="BM978" s="8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</row>
    <row r="979" spans="1:93" ht="15.75" customHeight="1">
      <c r="A979" s="8"/>
      <c r="B979" s="8"/>
      <c r="C979" s="8"/>
      <c r="D979" s="8"/>
      <c r="E979" s="8"/>
      <c r="F979" s="8"/>
      <c r="G979" s="789"/>
      <c r="H979" s="789"/>
      <c r="I979" s="789"/>
      <c r="J979" s="790"/>
      <c r="K979" s="789"/>
      <c r="L979" s="789"/>
      <c r="M979" s="789"/>
      <c r="N979" s="789"/>
      <c r="O979" s="8"/>
      <c r="P979" s="8"/>
      <c r="Q979" s="8"/>
      <c r="R979" s="8"/>
      <c r="S979" s="789"/>
      <c r="T979" s="789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</row>
    <row r="980" spans="1:93" ht="15.75" customHeight="1">
      <c r="A980" s="8"/>
      <c r="B980" s="8"/>
      <c r="C980" s="8"/>
      <c r="D980" s="8"/>
      <c r="E980" s="8"/>
      <c r="F980" s="8"/>
      <c r="G980" s="789"/>
      <c r="H980" s="789"/>
      <c r="I980" s="789"/>
      <c r="J980" s="790"/>
      <c r="K980" s="789"/>
      <c r="L980" s="789"/>
      <c r="M980" s="789"/>
      <c r="N980" s="789"/>
      <c r="O980" s="8"/>
      <c r="P980" s="8"/>
      <c r="Q980" s="8"/>
      <c r="R980" s="8"/>
      <c r="S980" s="789"/>
      <c r="T980" s="789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  <c r="BL980" s="8"/>
      <c r="BM980" s="8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</row>
    <row r="981" spans="1:93" ht="15.75" customHeight="1">
      <c r="A981" s="8"/>
      <c r="B981" s="8"/>
      <c r="C981" s="8"/>
      <c r="D981" s="8"/>
      <c r="E981" s="8"/>
      <c r="F981" s="8"/>
      <c r="G981" s="789"/>
      <c r="H981" s="789"/>
      <c r="I981" s="789"/>
      <c r="J981" s="790"/>
      <c r="K981" s="789"/>
      <c r="L981" s="789"/>
      <c r="M981" s="789"/>
      <c r="N981" s="789"/>
      <c r="O981" s="8"/>
      <c r="P981" s="8"/>
      <c r="Q981" s="8"/>
      <c r="R981" s="8"/>
      <c r="S981" s="789"/>
      <c r="T981" s="789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</row>
    <row r="982" spans="1:93" ht="15.75" customHeight="1">
      <c r="A982" s="8"/>
      <c r="B982" s="8"/>
      <c r="C982" s="8"/>
      <c r="D982" s="8"/>
      <c r="E982" s="8"/>
      <c r="F982" s="8"/>
      <c r="G982" s="789"/>
      <c r="H982" s="789"/>
      <c r="I982" s="789"/>
      <c r="J982" s="790"/>
      <c r="K982" s="789"/>
      <c r="L982" s="789"/>
      <c r="M982" s="789"/>
      <c r="N982" s="789"/>
      <c r="O982" s="8"/>
      <c r="P982" s="8"/>
      <c r="Q982" s="8"/>
      <c r="R982" s="8"/>
      <c r="S982" s="789"/>
      <c r="T982" s="789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  <c r="BL982" s="8"/>
      <c r="BM982" s="8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</row>
    <row r="983" spans="1:93" ht="15.75" customHeight="1">
      <c r="A983" s="8"/>
      <c r="B983" s="8"/>
      <c r="C983" s="8"/>
      <c r="D983" s="8"/>
      <c r="E983" s="8"/>
      <c r="F983" s="8"/>
      <c r="G983" s="789"/>
      <c r="H983" s="789"/>
      <c r="I983" s="789"/>
      <c r="J983" s="790"/>
      <c r="K983" s="789"/>
      <c r="L983" s="789"/>
      <c r="M983" s="789"/>
      <c r="N983" s="789"/>
      <c r="O983" s="8"/>
      <c r="P983" s="8"/>
      <c r="Q983" s="8"/>
      <c r="R983" s="8"/>
      <c r="S983" s="789"/>
      <c r="T983" s="789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</row>
    <row r="984" spans="1:93" ht="15.75" customHeight="1">
      <c r="A984" s="8"/>
      <c r="B984" s="8"/>
      <c r="C984" s="8"/>
      <c r="D984" s="8"/>
      <c r="E984" s="8"/>
      <c r="F984" s="8"/>
      <c r="G984" s="789"/>
      <c r="H984" s="789"/>
      <c r="I984" s="789"/>
      <c r="J984" s="790"/>
      <c r="K984" s="789"/>
      <c r="L984" s="789"/>
      <c r="M984" s="789"/>
      <c r="N984" s="789"/>
      <c r="O984" s="8"/>
      <c r="P984" s="8"/>
      <c r="Q984" s="8"/>
      <c r="R984" s="8"/>
      <c r="S984" s="789"/>
      <c r="T984" s="789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  <c r="BL984" s="8"/>
      <c r="BM984" s="8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</row>
    <row r="985" spans="1:93" ht="15.75" customHeight="1">
      <c r="A985" s="8"/>
      <c r="B985" s="8"/>
      <c r="C985" s="8"/>
      <c r="D985" s="8"/>
      <c r="E985" s="8"/>
      <c r="F985" s="8"/>
      <c r="G985" s="789"/>
      <c r="H985" s="789"/>
      <c r="I985" s="789"/>
      <c r="J985" s="790"/>
      <c r="K985" s="789"/>
      <c r="L985" s="789"/>
      <c r="M985" s="789"/>
      <c r="N985" s="789"/>
      <c r="O985" s="8"/>
      <c r="P985" s="8"/>
      <c r="Q985" s="8"/>
      <c r="R985" s="8"/>
      <c r="S985" s="789"/>
      <c r="T985" s="789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</row>
    <row r="986" spans="1:93" ht="15.75" customHeight="1">
      <c r="A986" s="8"/>
      <c r="B986" s="8"/>
      <c r="C986" s="8"/>
      <c r="D986" s="8"/>
      <c r="E986" s="8"/>
      <c r="F986" s="8"/>
      <c r="G986" s="789"/>
      <c r="H986" s="789"/>
      <c r="I986" s="789"/>
      <c r="J986" s="790"/>
      <c r="K986" s="789"/>
      <c r="L986" s="789"/>
      <c r="M986" s="789"/>
      <c r="N986" s="789"/>
      <c r="O986" s="8"/>
      <c r="P986" s="8"/>
      <c r="Q986" s="8"/>
      <c r="R986" s="8"/>
      <c r="S986" s="789"/>
      <c r="T986" s="789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  <c r="BL986" s="8"/>
      <c r="BM986" s="8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</row>
    <row r="987" spans="1:93" ht="15.75" customHeight="1">
      <c r="A987" s="8"/>
      <c r="B987" s="8"/>
      <c r="C987" s="8"/>
      <c r="D987" s="8"/>
      <c r="E987" s="8"/>
      <c r="F987" s="8"/>
      <c r="G987" s="789"/>
      <c r="H987" s="789"/>
      <c r="I987" s="789"/>
      <c r="J987" s="790"/>
      <c r="K987" s="789"/>
      <c r="L987" s="789"/>
      <c r="M987" s="789"/>
      <c r="N987" s="789"/>
      <c r="O987" s="8"/>
      <c r="P987" s="8"/>
      <c r="Q987" s="8"/>
      <c r="R987" s="8"/>
      <c r="S987" s="789"/>
      <c r="T987" s="789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</row>
    <row r="988" spans="1:93" ht="15.75" customHeight="1">
      <c r="A988" s="8"/>
      <c r="B988" s="8"/>
      <c r="C988" s="8"/>
      <c r="D988" s="8"/>
      <c r="E988" s="8"/>
      <c r="F988" s="8"/>
      <c r="G988" s="789"/>
      <c r="H988" s="789"/>
      <c r="I988" s="789"/>
      <c r="J988" s="790"/>
      <c r="K988" s="789"/>
      <c r="L988" s="789"/>
      <c r="M988" s="789"/>
      <c r="N988" s="789"/>
      <c r="O988" s="8"/>
      <c r="P988" s="8"/>
      <c r="Q988" s="8"/>
      <c r="R988" s="8"/>
      <c r="S988" s="789"/>
      <c r="T988" s="789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  <c r="BL988" s="8"/>
      <c r="BM988" s="8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</row>
    <row r="989" spans="1:93" ht="15.75" customHeight="1">
      <c r="A989" s="8"/>
      <c r="B989" s="8"/>
      <c r="C989" s="8"/>
      <c r="D989" s="8"/>
      <c r="E989" s="8"/>
      <c r="F989" s="8"/>
      <c r="G989" s="789"/>
      <c r="H989" s="789"/>
      <c r="I989" s="789"/>
      <c r="J989" s="790"/>
      <c r="K989" s="789"/>
      <c r="L989" s="789"/>
      <c r="M989" s="789"/>
      <c r="N989" s="789"/>
      <c r="O989" s="8"/>
      <c r="P989" s="8"/>
      <c r="Q989" s="8"/>
      <c r="R989" s="8"/>
      <c r="S989" s="789"/>
      <c r="T989" s="789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</row>
    <row r="990" spans="1:93" ht="15.75" customHeight="1">
      <c r="A990" s="8"/>
      <c r="B990" s="8"/>
      <c r="C990" s="8"/>
      <c r="D990" s="8"/>
      <c r="E990" s="8"/>
      <c r="F990" s="8"/>
      <c r="G990" s="789"/>
      <c r="H990" s="789"/>
      <c r="I990" s="789"/>
      <c r="J990" s="790"/>
      <c r="K990" s="789"/>
      <c r="L990" s="789"/>
      <c r="M990" s="789"/>
      <c r="N990" s="789"/>
      <c r="O990" s="8"/>
      <c r="P990" s="8"/>
      <c r="Q990" s="8"/>
      <c r="R990" s="8"/>
      <c r="S990" s="789"/>
      <c r="T990" s="789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  <c r="BL990" s="8"/>
      <c r="BM990" s="8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</row>
    <row r="991" spans="1:93" ht="15.75" customHeight="1">
      <c r="A991" s="8"/>
      <c r="B991" s="8"/>
      <c r="C991" s="8"/>
      <c r="D991" s="8"/>
      <c r="E991" s="8"/>
      <c r="F991" s="8"/>
      <c r="G991" s="789"/>
      <c r="H991" s="789"/>
      <c r="I991" s="789"/>
      <c r="J991" s="790"/>
      <c r="K991" s="789"/>
      <c r="L991" s="789"/>
      <c r="M991" s="789"/>
      <c r="N991" s="789"/>
      <c r="O991" s="8"/>
      <c r="P991" s="8"/>
      <c r="Q991" s="8"/>
      <c r="R991" s="8"/>
      <c r="S991" s="789"/>
      <c r="T991" s="789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</row>
    <row r="992" spans="1:93" ht="15.75" customHeight="1">
      <c r="A992" s="8"/>
      <c r="B992" s="8"/>
      <c r="C992" s="8"/>
      <c r="D992" s="8"/>
      <c r="E992" s="8"/>
      <c r="F992" s="8"/>
      <c r="G992" s="789"/>
      <c r="H992" s="789"/>
      <c r="I992" s="789"/>
      <c r="J992" s="790"/>
      <c r="K992" s="789"/>
      <c r="L992" s="789"/>
      <c r="M992" s="789"/>
      <c r="N992" s="789"/>
      <c r="O992" s="8"/>
      <c r="P992" s="8"/>
      <c r="Q992" s="8"/>
      <c r="R992" s="8"/>
      <c r="S992" s="789"/>
      <c r="T992" s="789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  <c r="BL992" s="8"/>
      <c r="BM992" s="8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</row>
    <row r="993" spans="1:93" ht="15.75" customHeight="1">
      <c r="A993" s="8"/>
      <c r="B993" s="8"/>
      <c r="C993" s="8"/>
      <c r="D993" s="8"/>
      <c r="E993" s="8"/>
      <c r="F993" s="8"/>
      <c r="G993" s="789"/>
      <c r="H993" s="789"/>
      <c r="I993" s="789"/>
      <c r="J993" s="790"/>
      <c r="K993" s="789"/>
      <c r="L993" s="789"/>
      <c r="M993" s="789"/>
      <c r="N993" s="789"/>
      <c r="O993" s="8"/>
      <c r="P993" s="8"/>
      <c r="Q993" s="8"/>
      <c r="R993" s="8"/>
      <c r="S993" s="789"/>
      <c r="T993" s="789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</row>
    <row r="994" spans="1:93" ht="15.75" customHeight="1">
      <c r="A994" s="8"/>
      <c r="B994" s="8"/>
      <c r="C994" s="8"/>
      <c r="D994" s="8"/>
      <c r="E994" s="8"/>
      <c r="F994" s="8"/>
      <c r="G994" s="789"/>
      <c r="H994" s="789"/>
      <c r="I994" s="789"/>
      <c r="J994" s="790"/>
      <c r="K994" s="789"/>
      <c r="L994" s="789"/>
      <c r="M994" s="789"/>
      <c r="N994" s="789"/>
      <c r="O994" s="8"/>
      <c r="P994" s="8"/>
      <c r="Q994" s="8"/>
      <c r="R994" s="8"/>
      <c r="S994" s="789"/>
      <c r="T994" s="789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  <c r="BL994" s="8"/>
      <c r="BM994" s="8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</row>
    <row r="995" spans="1:93" ht="15.75" customHeight="1">
      <c r="A995" s="8"/>
      <c r="B995" s="8"/>
      <c r="C995" s="8"/>
      <c r="D995" s="8"/>
      <c r="E995" s="8"/>
      <c r="F995" s="8"/>
      <c r="G995" s="789"/>
      <c r="H995" s="789"/>
      <c r="I995" s="789"/>
      <c r="J995" s="790"/>
      <c r="K995" s="789"/>
      <c r="L995" s="789"/>
      <c r="M995" s="789"/>
      <c r="N995" s="789"/>
      <c r="O995" s="8"/>
      <c r="P995" s="8"/>
      <c r="Q995" s="8"/>
      <c r="R995" s="8"/>
      <c r="S995" s="789"/>
      <c r="T995" s="789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</row>
    <row r="996" spans="1:93" ht="15.75" customHeight="1">
      <c r="A996" s="8"/>
      <c r="B996" s="8"/>
      <c r="C996" s="8"/>
      <c r="D996" s="8"/>
      <c r="E996" s="8"/>
      <c r="F996" s="8"/>
      <c r="G996" s="789"/>
      <c r="H996" s="789"/>
      <c r="I996" s="789"/>
      <c r="J996" s="790"/>
      <c r="K996" s="789"/>
      <c r="L996" s="789"/>
      <c r="M996" s="789"/>
      <c r="N996" s="789"/>
      <c r="O996" s="8"/>
      <c r="P996" s="8"/>
      <c r="Q996" s="8"/>
      <c r="R996" s="8"/>
      <c r="S996" s="789"/>
      <c r="T996" s="789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  <c r="BL996" s="8"/>
      <c r="BM996" s="8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</row>
    <row r="997" spans="1:93" ht="15.75" customHeight="1">
      <c r="A997" s="8"/>
      <c r="B997" s="8"/>
      <c r="C997" s="8"/>
      <c r="D997" s="8"/>
      <c r="E997" s="8"/>
      <c r="F997" s="8"/>
      <c r="G997" s="789"/>
      <c r="H997" s="789"/>
      <c r="I997" s="789"/>
      <c r="J997" s="790"/>
      <c r="K997" s="789"/>
      <c r="L997" s="789"/>
      <c r="M997" s="789"/>
      <c r="N997" s="789"/>
      <c r="O997" s="8"/>
      <c r="P997" s="8"/>
      <c r="Q997" s="8"/>
      <c r="R997" s="8"/>
      <c r="S997" s="789"/>
      <c r="T997" s="789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</row>
    <row r="998" spans="1:93" ht="15.75" customHeight="1">
      <c r="A998" s="8"/>
      <c r="B998" s="8"/>
      <c r="C998" s="8"/>
      <c r="D998" s="8"/>
      <c r="E998" s="8"/>
      <c r="F998" s="8"/>
      <c r="G998" s="789"/>
      <c r="H998" s="789"/>
      <c r="I998" s="789"/>
      <c r="J998" s="790"/>
      <c r="K998" s="789"/>
      <c r="L998" s="789"/>
      <c r="M998" s="789"/>
      <c r="N998" s="789"/>
      <c r="O998" s="8"/>
      <c r="P998" s="8"/>
      <c r="Q998" s="8"/>
      <c r="R998" s="8"/>
      <c r="S998" s="789"/>
      <c r="T998" s="789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  <c r="BL998" s="8"/>
      <c r="BM998" s="8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</row>
    <row r="999" spans="1:93" ht="15.75" customHeight="1">
      <c r="A999" s="8"/>
      <c r="B999" s="8"/>
      <c r="C999" s="8"/>
      <c r="D999" s="8"/>
      <c r="E999" s="8"/>
      <c r="F999" s="8"/>
      <c r="G999" s="789"/>
      <c r="H999" s="789"/>
      <c r="I999" s="789"/>
      <c r="J999" s="790"/>
      <c r="K999" s="789"/>
      <c r="L999" s="789"/>
      <c r="M999" s="789"/>
      <c r="N999" s="789"/>
      <c r="O999" s="8"/>
      <c r="P999" s="8"/>
      <c r="Q999" s="8"/>
      <c r="R999" s="8"/>
      <c r="S999" s="789"/>
      <c r="T999" s="789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</row>
    <row r="1000" spans="1:93" ht="15.75" customHeight="1">
      <c r="A1000" s="8"/>
      <c r="B1000" s="8"/>
      <c r="C1000" s="8"/>
      <c r="D1000" s="8"/>
      <c r="E1000" s="8"/>
      <c r="F1000" s="8"/>
      <c r="G1000" s="789"/>
      <c r="H1000" s="789"/>
      <c r="I1000" s="789"/>
      <c r="J1000" s="790"/>
      <c r="K1000" s="789"/>
      <c r="L1000" s="789"/>
      <c r="M1000" s="789"/>
      <c r="N1000" s="789"/>
      <c r="O1000" s="8"/>
      <c r="P1000" s="8"/>
      <c r="Q1000" s="8"/>
      <c r="R1000" s="8"/>
      <c r="S1000" s="789"/>
      <c r="T1000" s="789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  <c r="BL1000" s="8"/>
      <c r="BM1000" s="8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</row>
    <row r="1001" spans="1:93" ht="15.75" customHeight="1">
      <c r="A1001" s="8"/>
      <c r="B1001" s="8"/>
      <c r="C1001" s="8"/>
      <c r="D1001" s="8"/>
      <c r="E1001" s="8"/>
      <c r="F1001" s="8"/>
      <c r="G1001" s="789"/>
      <c r="H1001" s="789"/>
      <c r="I1001" s="789"/>
      <c r="J1001" s="790"/>
      <c r="K1001" s="789"/>
      <c r="L1001" s="789"/>
      <c r="M1001" s="789"/>
      <c r="N1001" s="789"/>
      <c r="O1001" s="8"/>
      <c r="P1001" s="8"/>
      <c r="Q1001" s="8"/>
      <c r="R1001" s="8"/>
      <c r="S1001" s="789"/>
      <c r="T1001" s="789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</row>
    <row r="1002" spans="1:93" ht="15.75" customHeight="1">
      <c r="A1002" s="8"/>
      <c r="B1002" s="8"/>
      <c r="C1002" s="8"/>
      <c r="D1002" s="8"/>
      <c r="E1002" s="8"/>
      <c r="F1002" s="8"/>
      <c r="G1002" s="789"/>
      <c r="H1002" s="789"/>
      <c r="I1002" s="789"/>
      <c r="J1002" s="790"/>
      <c r="K1002" s="789"/>
      <c r="L1002" s="789"/>
      <c r="M1002" s="789"/>
      <c r="N1002" s="789"/>
      <c r="O1002" s="8"/>
      <c r="P1002" s="8"/>
      <c r="Q1002" s="8"/>
      <c r="R1002" s="8"/>
      <c r="S1002" s="789"/>
      <c r="T1002" s="789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  <c r="AZ1002" s="8"/>
      <c r="BA1002" s="8"/>
      <c r="BB1002" s="8"/>
      <c r="BC1002" s="8"/>
      <c r="BD1002" s="8"/>
      <c r="BE1002" s="8"/>
      <c r="BF1002" s="8"/>
      <c r="BG1002" s="8"/>
      <c r="BH1002" s="8"/>
      <c r="BI1002" s="8"/>
      <c r="BJ1002" s="8"/>
      <c r="BK1002" s="8"/>
      <c r="BL1002" s="8"/>
      <c r="BM1002" s="8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</row>
    <row r="1003" spans="1:93" ht="15.75" customHeight="1">
      <c r="A1003" s="8"/>
      <c r="B1003" s="8"/>
      <c r="C1003" s="8"/>
      <c r="D1003" s="8"/>
      <c r="E1003" s="8"/>
      <c r="F1003" s="8"/>
      <c r="G1003" s="789"/>
      <c r="H1003" s="789"/>
      <c r="I1003" s="789"/>
      <c r="J1003" s="790"/>
      <c r="K1003" s="789"/>
      <c r="L1003" s="789"/>
      <c r="M1003" s="789"/>
      <c r="N1003" s="789"/>
      <c r="O1003" s="8"/>
      <c r="P1003" s="8"/>
      <c r="Q1003" s="8"/>
      <c r="R1003" s="8"/>
      <c r="S1003" s="789"/>
      <c r="T1003" s="789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</row>
    <row r="1004" spans="1:93" ht="15.75" customHeight="1">
      <c r="A1004" s="8"/>
      <c r="B1004" s="8"/>
      <c r="C1004" s="8"/>
      <c r="D1004" s="8"/>
      <c r="E1004" s="8"/>
      <c r="F1004" s="8"/>
      <c r="G1004" s="789"/>
      <c r="H1004" s="789"/>
      <c r="I1004" s="789"/>
      <c r="J1004" s="790"/>
      <c r="K1004" s="789"/>
      <c r="L1004" s="789"/>
      <c r="M1004" s="789"/>
      <c r="N1004" s="789"/>
      <c r="O1004" s="8"/>
      <c r="P1004" s="8"/>
      <c r="Q1004" s="8"/>
      <c r="R1004" s="8"/>
      <c r="S1004" s="789"/>
      <c r="T1004" s="789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  <c r="AZ1004" s="8"/>
      <c r="BA1004" s="8"/>
      <c r="BB1004" s="8"/>
      <c r="BC1004" s="8"/>
      <c r="BD1004" s="8"/>
      <c r="BE1004" s="8"/>
      <c r="BF1004" s="8"/>
      <c r="BG1004" s="8"/>
      <c r="BH1004" s="8"/>
      <c r="BI1004" s="8"/>
      <c r="BJ1004" s="8"/>
      <c r="BK1004" s="8"/>
      <c r="BL1004" s="8"/>
      <c r="BM1004" s="8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</row>
    <row r="1005" spans="1:93" ht="15.75" customHeight="1">
      <c r="A1005" s="8"/>
      <c r="B1005" s="8"/>
      <c r="C1005" s="8"/>
      <c r="D1005" s="8"/>
      <c r="E1005" s="8"/>
      <c r="F1005" s="8"/>
      <c r="G1005" s="789"/>
      <c r="H1005" s="789"/>
      <c r="I1005" s="789"/>
      <c r="J1005" s="790"/>
      <c r="K1005" s="789"/>
      <c r="L1005" s="789"/>
      <c r="M1005" s="789"/>
      <c r="N1005" s="789"/>
      <c r="O1005" s="8"/>
      <c r="P1005" s="8"/>
      <c r="Q1005" s="8"/>
      <c r="R1005" s="8"/>
      <c r="S1005" s="789"/>
      <c r="T1005" s="789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</row>
    <row r="1006" spans="1:93" ht="15.75" customHeight="1">
      <c r="A1006" s="8"/>
      <c r="B1006" s="8"/>
      <c r="C1006" s="8"/>
      <c r="D1006" s="8"/>
      <c r="E1006" s="8"/>
      <c r="F1006" s="8"/>
      <c r="G1006" s="789"/>
      <c r="H1006" s="789"/>
      <c r="I1006" s="789"/>
      <c r="J1006" s="790"/>
      <c r="K1006" s="789"/>
      <c r="L1006" s="789"/>
      <c r="M1006" s="789"/>
      <c r="N1006" s="789"/>
      <c r="O1006" s="8"/>
      <c r="P1006" s="8"/>
      <c r="Q1006" s="8"/>
      <c r="R1006" s="8"/>
      <c r="S1006" s="789"/>
      <c r="T1006" s="789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  <c r="AZ1006" s="8"/>
      <c r="BA1006" s="8"/>
      <c r="BB1006" s="8"/>
      <c r="BC1006" s="8"/>
      <c r="BD1006" s="8"/>
      <c r="BE1006" s="8"/>
      <c r="BF1006" s="8"/>
      <c r="BG1006" s="8"/>
      <c r="BH1006" s="8"/>
      <c r="BI1006" s="8"/>
      <c r="BJ1006" s="8"/>
      <c r="BK1006" s="8"/>
      <c r="BL1006" s="8"/>
      <c r="BM1006" s="8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</row>
    <row r="1007" spans="1:93" ht="15.75" customHeight="1">
      <c r="A1007" s="8"/>
      <c r="B1007" s="8"/>
      <c r="C1007" s="8"/>
      <c r="D1007" s="8"/>
      <c r="E1007" s="8"/>
      <c r="F1007" s="8"/>
      <c r="G1007" s="789"/>
      <c r="H1007" s="789"/>
      <c r="I1007" s="789"/>
      <c r="J1007" s="790"/>
      <c r="K1007" s="789"/>
      <c r="L1007" s="789"/>
      <c r="M1007" s="789"/>
      <c r="N1007" s="789"/>
      <c r="O1007" s="8"/>
      <c r="P1007" s="8"/>
      <c r="Q1007" s="8"/>
      <c r="R1007" s="8"/>
      <c r="S1007" s="789"/>
      <c r="T1007" s="789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</row>
    <row r="1008" spans="1:93" ht="15.75" customHeight="1">
      <c r="A1008" s="8"/>
      <c r="B1008" s="8"/>
      <c r="C1008" s="8"/>
      <c r="D1008" s="8"/>
      <c r="E1008" s="8"/>
      <c r="F1008" s="8"/>
      <c r="G1008" s="789"/>
      <c r="H1008" s="789"/>
      <c r="I1008" s="789"/>
      <c r="J1008" s="790"/>
      <c r="K1008" s="789"/>
      <c r="L1008" s="789"/>
      <c r="M1008" s="789"/>
      <c r="N1008" s="789"/>
      <c r="O1008" s="8"/>
      <c r="P1008" s="8"/>
      <c r="Q1008" s="8"/>
      <c r="R1008" s="8"/>
      <c r="S1008" s="789"/>
      <c r="T1008" s="789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  <c r="AZ1008" s="8"/>
      <c r="BA1008" s="8"/>
      <c r="BB1008" s="8"/>
      <c r="BC1008" s="8"/>
      <c r="BD1008" s="8"/>
      <c r="BE1008" s="8"/>
      <c r="BF1008" s="8"/>
      <c r="BG1008" s="8"/>
      <c r="BH1008" s="8"/>
      <c r="BI1008" s="8"/>
      <c r="BJ1008" s="8"/>
      <c r="BK1008" s="8"/>
      <c r="BL1008" s="8"/>
      <c r="BM1008" s="8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</row>
    <row r="1009" spans="1:93" ht="15.75" customHeight="1">
      <c r="A1009" s="8"/>
      <c r="B1009" s="8"/>
      <c r="C1009" s="8"/>
      <c r="D1009" s="8"/>
      <c r="E1009" s="8"/>
      <c r="F1009" s="8"/>
      <c r="G1009" s="789"/>
      <c r="H1009" s="789"/>
      <c r="I1009" s="789"/>
      <c r="J1009" s="790"/>
      <c r="K1009" s="789"/>
      <c r="L1009" s="789"/>
      <c r="M1009" s="789"/>
      <c r="N1009" s="789"/>
      <c r="O1009" s="8"/>
      <c r="P1009" s="8"/>
      <c r="Q1009" s="8"/>
      <c r="R1009" s="8"/>
      <c r="S1009" s="789"/>
      <c r="T1009" s="789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</row>
    <row r="1010" spans="1:93" ht="15.75" customHeight="1">
      <c r="A1010" s="8"/>
      <c r="B1010" s="8"/>
      <c r="C1010" s="8"/>
      <c r="D1010" s="8"/>
      <c r="E1010" s="8"/>
      <c r="F1010" s="8"/>
      <c r="G1010" s="789"/>
      <c r="H1010" s="789"/>
      <c r="I1010" s="789"/>
      <c r="J1010" s="790"/>
      <c r="K1010" s="789"/>
      <c r="L1010" s="789"/>
      <c r="M1010" s="789"/>
      <c r="N1010" s="789"/>
      <c r="O1010" s="8"/>
      <c r="P1010" s="8"/>
      <c r="Q1010" s="8"/>
      <c r="R1010" s="8"/>
      <c r="S1010" s="789"/>
      <c r="T1010" s="789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  <c r="AZ1010" s="8"/>
      <c r="BA1010" s="8"/>
      <c r="BB1010" s="8"/>
      <c r="BC1010" s="8"/>
      <c r="BD1010" s="8"/>
      <c r="BE1010" s="8"/>
      <c r="BF1010" s="8"/>
      <c r="BG1010" s="8"/>
      <c r="BH1010" s="8"/>
      <c r="BI1010" s="8"/>
      <c r="BJ1010" s="8"/>
      <c r="BK1010" s="8"/>
      <c r="BL1010" s="8"/>
      <c r="BM1010" s="8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</row>
    <row r="1011" spans="1:93" ht="15.75" customHeight="1">
      <c r="A1011" s="8"/>
      <c r="B1011" s="8"/>
      <c r="C1011" s="8"/>
      <c r="D1011" s="8"/>
      <c r="E1011" s="8"/>
      <c r="F1011" s="8"/>
      <c r="G1011" s="789"/>
      <c r="H1011" s="789"/>
      <c r="I1011" s="789"/>
      <c r="J1011" s="790"/>
      <c r="K1011" s="789"/>
      <c r="L1011" s="789"/>
      <c r="M1011" s="789"/>
      <c r="N1011" s="789"/>
      <c r="O1011" s="8"/>
      <c r="P1011" s="8"/>
      <c r="Q1011" s="8"/>
      <c r="R1011" s="8"/>
      <c r="S1011" s="789"/>
      <c r="T1011" s="789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</row>
    <row r="1012" spans="1:93" ht="15.75" customHeight="1">
      <c r="A1012" s="8"/>
      <c r="B1012" s="8"/>
      <c r="C1012" s="8"/>
      <c r="D1012" s="8"/>
      <c r="E1012" s="8"/>
      <c r="F1012" s="8"/>
      <c r="G1012" s="789"/>
      <c r="H1012" s="789"/>
      <c r="I1012" s="789"/>
      <c r="J1012" s="790"/>
      <c r="K1012" s="789"/>
      <c r="L1012" s="789"/>
      <c r="M1012" s="789"/>
      <c r="N1012" s="789"/>
      <c r="O1012" s="8"/>
      <c r="P1012" s="8"/>
      <c r="Q1012" s="8"/>
      <c r="R1012" s="8"/>
      <c r="S1012" s="789"/>
      <c r="T1012" s="789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</row>
    <row r="1013" spans="1:93" ht="15.75" customHeight="1">
      <c r="A1013" s="8"/>
      <c r="B1013" s="8"/>
      <c r="C1013" s="8"/>
      <c r="D1013" s="8"/>
      <c r="E1013" s="8"/>
      <c r="F1013" s="8"/>
      <c r="G1013" s="789"/>
      <c r="H1013" s="789"/>
      <c r="I1013" s="789"/>
      <c r="J1013" s="790"/>
      <c r="K1013" s="789"/>
      <c r="L1013" s="789"/>
      <c r="M1013" s="789"/>
      <c r="N1013" s="789"/>
      <c r="O1013" s="8"/>
      <c r="P1013" s="8"/>
      <c r="Q1013" s="8"/>
      <c r="R1013" s="8"/>
      <c r="S1013" s="789"/>
      <c r="T1013" s="789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</row>
    <row r="1014" spans="1:93" ht="15.75" customHeight="1">
      <c r="A1014" s="8"/>
      <c r="B1014" s="8"/>
      <c r="C1014" s="8"/>
      <c r="D1014" s="8"/>
      <c r="E1014" s="8"/>
      <c r="F1014" s="8"/>
      <c r="G1014" s="789"/>
      <c r="H1014" s="789"/>
      <c r="I1014" s="789"/>
      <c r="J1014" s="790"/>
      <c r="K1014" s="789"/>
      <c r="L1014" s="789"/>
      <c r="M1014" s="789"/>
      <c r="N1014" s="789"/>
      <c r="O1014" s="8"/>
      <c r="P1014" s="8"/>
      <c r="Q1014" s="8"/>
      <c r="R1014" s="8"/>
      <c r="S1014" s="789"/>
      <c r="T1014" s="789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</row>
    <row r="1015" spans="1:93" ht="15.75" customHeight="1">
      <c r="A1015" s="8"/>
      <c r="B1015" s="8"/>
      <c r="C1015" s="8"/>
      <c r="D1015" s="8"/>
      <c r="E1015" s="8"/>
      <c r="F1015" s="8"/>
      <c r="G1015" s="789"/>
      <c r="H1015" s="789"/>
      <c r="I1015" s="789"/>
      <c r="J1015" s="790"/>
      <c r="K1015" s="789"/>
      <c r="L1015" s="789"/>
      <c r="M1015" s="789"/>
      <c r="N1015" s="789"/>
      <c r="O1015" s="8"/>
      <c r="P1015" s="8"/>
      <c r="Q1015" s="8"/>
      <c r="R1015" s="8"/>
      <c r="S1015" s="789"/>
      <c r="T1015" s="789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</row>
    <row r="1016" spans="1:93" ht="15.75" customHeight="1">
      <c r="A1016" s="8"/>
      <c r="B1016" s="8"/>
      <c r="C1016" s="8"/>
      <c r="D1016" s="8"/>
      <c r="E1016" s="8"/>
      <c r="F1016" s="8"/>
      <c r="G1016" s="789"/>
      <c r="H1016" s="789"/>
      <c r="I1016" s="789"/>
      <c r="J1016" s="790"/>
      <c r="K1016" s="789"/>
      <c r="L1016" s="789"/>
      <c r="M1016" s="789"/>
      <c r="N1016" s="789"/>
      <c r="O1016" s="8"/>
      <c r="P1016" s="8"/>
      <c r="Q1016" s="8"/>
      <c r="R1016" s="8"/>
      <c r="S1016" s="789"/>
      <c r="T1016" s="789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</row>
    <row r="1017" spans="1:93" ht="15.75" customHeight="1">
      <c r="A1017" s="8"/>
      <c r="B1017" s="8"/>
      <c r="C1017" s="8"/>
      <c r="D1017" s="8"/>
      <c r="E1017" s="8"/>
      <c r="F1017" s="8"/>
      <c r="G1017" s="789"/>
      <c r="H1017" s="789"/>
      <c r="I1017" s="789"/>
      <c r="J1017" s="790"/>
      <c r="K1017" s="789"/>
      <c r="L1017" s="789"/>
      <c r="M1017" s="789"/>
      <c r="N1017" s="789"/>
      <c r="O1017" s="8"/>
      <c r="P1017" s="8"/>
      <c r="Q1017" s="8"/>
      <c r="R1017" s="8"/>
      <c r="S1017" s="789"/>
      <c r="T1017" s="789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  <c r="BB1017" s="8"/>
      <c r="BC1017" s="8"/>
      <c r="BD1017" s="8"/>
      <c r="BE1017" s="8"/>
      <c r="BF1017" s="8"/>
      <c r="BG1017" s="8"/>
      <c r="BH1017" s="8"/>
      <c r="BI1017" s="8"/>
      <c r="BJ1017" s="8"/>
      <c r="BK1017" s="8"/>
      <c r="BL1017" s="8"/>
      <c r="BM1017" s="8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</row>
  </sheetData>
  <mergeCells count="25">
    <mergeCell ref="A1:A2"/>
    <mergeCell ref="B1:D1"/>
    <mergeCell ref="H1:N1"/>
    <mergeCell ref="O1:U1"/>
    <mergeCell ref="V1:X1"/>
    <mergeCell ref="AB1:AD1"/>
    <mergeCell ref="AH2:CO2"/>
    <mergeCell ref="AH3:AO3"/>
    <mergeCell ref="AP3:BA3"/>
    <mergeCell ref="BB3:BM3"/>
    <mergeCell ref="BQ3:CB3"/>
    <mergeCell ref="CC3:CN3"/>
    <mergeCell ref="E78:F78"/>
    <mergeCell ref="C83:D83"/>
    <mergeCell ref="C92:K92"/>
    <mergeCell ref="C93:K93"/>
    <mergeCell ref="C94:K94"/>
    <mergeCell ref="C95:K95"/>
    <mergeCell ref="C85:K85"/>
    <mergeCell ref="C86:K86"/>
    <mergeCell ref="C87:K87"/>
    <mergeCell ref="C88:K88"/>
    <mergeCell ref="C89:K89"/>
    <mergeCell ref="C90:K90"/>
    <mergeCell ref="C91:K91"/>
  </mergeCells>
  <conditionalFormatting sqref="D54:D57">
    <cfRule type="cellIs" dxfId="19" priority="6" operator="lessThan">
      <formula>1</formula>
    </cfRule>
    <cfRule type="cellIs" dxfId="18" priority="7" operator="greaterThanOrEqual">
      <formula>1</formula>
    </cfRule>
  </conditionalFormatting>
  <conditionalFormatting sqref="D63:D65">
    <cfRule type="cellIs" dxfId="17" priority="8" operator="lessThan">
      <formula>1</formula>
    </cfRule>
    <cfRule type="cellIs" dxfId="16" priority="9" operator="greaterThanOrEqual">
      <formula>1</formula>
    </cfRule>
  </conditionalFormatting>
  <conditionalFormatting sqref="D69:D70">
    <cfRule type="cellIs" dxfId="15" priority="10" operator="lessThan">
      <formula>1</formula>
    </cfRule>
    <cfRule type="cellIs" dxfId="14" priority="11" operator="greaterThanOrEqual">
      <formula>1</formula>
    </cfRule>
  </conditionalFormatting>
  <conditionalFormatting sqref="G13:G22">
    <cfRule type="cellIs" dxfId="13" priority="13" operator="greaterThanOrEqual">
      <formula>1</formula>
    </cfRule>
  </conditionalFormatting>
  <conditionalFormatting sqref="G13:G28 G30:G31 G34">
    <cfRule type="cellIs" dxfId="12" priority="3" operator="lessThan">
      <formula>1</formula>
    </cfRule>
  </conditionalFormatting>
  <conditionalFormatting sqref="G43">
    <cfRule type="cellIs" dxfId="11" priority="17" operator="lessThan">
      <formula>1</formula>
    </cfRule>
    <cfRule type="cellIs" dxfId="10" priority="18" operator="greaterThanOrEqual">
      <formula>1</formula>
    </cfRule>
  </conditionalFormatting>
  <conditionalFormatting sqref="G50:G51 G54:G57">
    <cfRule type="cellIs" dxfId="9" priority="4" operator="lessThan">
      <formula>1</formula>
    </cfRule>
    <cfRule type="cellIs" dxfId="8" priority="5" operator="greaterThanOrEqual">
      <formula>1</formula>
    </cfRule>
  </conditionalFormatting>
  <conditionalFormatting sqref="G63:G67 G69:G70">
    <cfRule type="cellIs" dxfId="7" priority="14" operator="lessThan">
      <formula>1</formula>
    </cfRule>
    <cfRule type="cellIs" dxfId="6" priority="15" operator="greaterThanOrEqual">
      <formula>1</formula>
    </cfRule>
  </conditionalFormatting>
  <conditionalFormatting sqref="G78:G80">
    <cfRule type="cellIs" dxfId="5" priority="1" operator="lessThan">
      <formula>1</formula>
    </cfRule>
    <cfRule type="cellIs" dxfId="4" priority="2" operator="greaterThanOrEqual">
      <formula>1</formula>
    </cfRule>
  </conditionalFormatting>
  <conditionalFormatting sqref="U4:U76">
    <cfRule type="cellIs" dxfId="3" priority="29" operator="greaterThanOrEqual">
      <formula>1</formula>
    </cfRule>
    <cfRule type="cellIs" dxfId="2" priority="30" operator="lessThan">
      <formula>1</formula>
    </cfRule>
  </conditionalFormatting>
  <conditionalFormatting sqref="AD4:AD76">
    <cfRule type="cellIs" dxfId="1" priority="27" operator="greaterThanOrEqual">
      <formula>1</formula>
    </cfRule>
    <cfRule type="cellIs" dxfId="0" priority="28" operator="lessThan">
      <formula>1</formula>
    </cfRule>
  </conditionalFormatting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Metadatos</vt:lpstr>
      <vt:lpstr>Base</vt:lpstr>
      <vt:lpstr>Datos</vt:lpstr>
      <vt:lpstr>Copia de Cuadro Mando</vt:lpstr>
      <vt:lpstr>Simulacion cierre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Mora Betancourt</dc:creator>
  <cp:lastModifiedBy>Natalia  Escobar Santander - Directora de Estrategia e</cp:lastModifiedBy>
  <cp:lastPrinted>2024-01-15T22:39:13Z</cp:lastPrinted>
  <dcterms:created xsi:type="dcterms:W3CDTF">2024-02-01T11:17:19Z</dcterms:created>
  <dcterms:modified xsi:type="dcterms:W3CDTF">2025-12-18T02:43:12Z</dcterms:modified>
</cp:coreProperties>
</file>