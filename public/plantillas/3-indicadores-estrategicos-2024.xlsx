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ndacionluker-my.sharepoint.com/personal/nescobar_funluker_org_co/Documents/Junta directiva/Plataforma junta/Información/Indicadores estratégicos/"/>
    </mc:Choice>
  </mc:AlternateContent>
  <xr:revisionPtr revIDLastSave="9" documentId="8_{577F922D-12B1-4FFC-8332-4BDF799BDFC6}" xr6:coauthVersionLast="47" xr6:coauthVersionMax="47" xr10:uidLastSave="{5DC2A079-6AEC-4FDF-9CA2-574F5D657187}"/>
  <bookViews>
    <workbookView xWindow="-110" yWindow="-110" windowWidth="19420" windowHeight="11620" xr2:uid="{00000000-000D-0000-FFFF-FFFF00000000}"/>
  </bookViews>
  <sheets>
    <sheet name="Junta Directiva 2024" sheetId="1" r:id="rId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</calcChain>
</file>

<file path=xl/sharedStrings.xml><?xml version="1.0" encoding="utf-8"?>
<sst xmlns="http://schemas.openxmlformats.org/spreadsheetml/2006/main" count="56" uniqueCount="42">
  <si>
    <t>Indicador</t>
  </si>
  <si>
    <t>PALABRA CLAVE</t>
  </si>
  <si>
    <t>Unidad</t>
  </si>
  <si>
    <t>Peso</t>
  </si>
  <si>
    <t>Tope</t>
  </si>
  <si>
    <t>Meta año</t>
  </si>
  <si>
    <t>Valor acumulado</t>
  </si>
  <si>
    <t>% acumulado</t>
  </si>
  <si>
    <t>Porcentaje</t>
  </si>
  <si>
    <t>Egresados UTC ocupados</t>
  </si>
  <si>
    <t>Pesos</t>
  </si>
  <si>
    <t>Unidades</t>
  </si>
  <si>
    <t>Educación</t>
  </si>
  <si>
    <t>Emprendimiento</t>
  </si>
  <si>
    <t>Desarrollo rural</t>
  </si>
  <si>
    <t>Proyectos especiales</t>
  </si>
  <si>
    <t>Innovación</t>
  </si>
  <si>
    <t>Area</t>
  </si>
  <si>
    <t>Avance anual 2024</t>
  </si>
  <si>
    <t>2024</t>
  </si>
  <si>
    <t>% de estudiantes de primero que alcanzan o superan el estándar de lectura en Manizales</t>
  </si>
  <si>
    <t>% de estudiantes de quinto que alcanzan o superan el estándar de lectura en Manizales</t>
  </si>
  <si>
    <t>% de jóvenes egresados vinculados en el mundo productivo y/o estudiando</t>
  </si>
  <si>
    <t>Utilidad bruta spinoff (ingresos – costos directos)</t>
  </si>
  <si>
    <t># de personas impactadas a través del spin off</t>
  </si>
  <si>
    <t>Diseño de instrumento para medir el ecosistema de emprendimiento</t>
  </si>
  <si>
    <t># de instituciones participantes en vehículo de acción colectiva Jóvenes Rurales</t>
  </si>
  <si>
    <t>% de implementación de estrategia de fortalecimiento al ecosistema social de la ciudad</t>
  </si>
  <si>
    <t>% de implementación de la ruta de gestión del conocimiento</t>
  </si>
  <si>
    <t>Recursos movilizados por cooperación internacional (aplica para Jacobs)</t>
  </si>
  <si>
    <t>Cooperación</t>
  </si>
  <si>
    <t>Lectura 1ero</t>
  </si>
  <si>
    <t>Lectura 5to</t>
  </si>
  <si>
    <t>Utilidad Spin Off</t>
  </si>
  <si>
    <t>Beneficiarios Spin Off</t>
  </si>
  <si>
    <t>Evaluación emprendimiento</t>
  </si>
  <si>
    <t>Vehículo jóvenes rurales</t>
  </si>
  <si>
    <t>Modelo pedagógico</t>
  </si>
  <si>
    <t>Ecosistema social</t>
  </si>
  <si>
    <t>Gestión del conocimiento</t>
  </si>
  <si>
    <t>Cooperación Jacobs</t>
  </si>
  <si>
    <t>Propuesta de modelo pedagógico construido a partir de motivaciones de jóvenes (Descubre Cacao)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</si>
</sst>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justify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5">
    <dxf>
      <font>
        <b/>
        <color rgb="FFFFFFFF"/>
      </font>
      <fill>
        <patternFill patternType="solid">
          <bgColor rgb="FF0000FF"/>
        </patternFill>
      </fill>
    </dxf>
    <dxf>
      <font>
        <b/>
        <color rgb="FFFFFFFF"/>
      </font>
      <fill>
        <patternFill patternType="solid">
          <bgColor rgb="FF008000"/>
        </patternFill>
      </fill>
    </dxf>
    <dxf>
      <font>
        <b/>
        <color rgb="FFFFFFFF"/>
      </font>
      <fill>
        <patternFill patternType="solid">
          <bgColor rgb="FFFFA5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000000"/>
      </font>
      <fill>
        <patternFill patternType="solid">
          <bgColor rgb="FFC9C9C9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18"/>
  <sheetViews>
    <sheetView tabSelected="1" zoomScale="75" workbookViewId="0">
      <pane xSplit="4" ySplit="1" topLeftCell="E2" activePane="bottomRight" state="frozen"/>
      <selection pane="topRight"/>
      <selection pane="bottomLeft"/>
      <selection pane="bottomRight" activeCell="A12" sqref="A12"/>
    </sheetView>
  </sheetViews>
  <sheetFormatPr baseColWidth="10" defaultColWidth="8.7265625" defaultRowHeight="14.5" x14ac:dyDescent="0.35"/>
  <cols>
    <col min="1" max="1" width="76.90625" bestFit="1" customWidth="1"/>
    <col min="7" max="9" width="15" customWidth="1"/>
  </cols>
  <sheetData>
    <row r="5" spans="1:9" ht="14.5" customHeight="1" x14ac:dyDescent="0.35">
      <c r="A5" s="9" t="s">
        <v>0</v>
      </c>
      <c r="B5" s="12" t="s">
        <v>17</v>
      </c>
      <c r="C5" s="12" t="s">
        <v>1</v>
      </c>
      <c r="D5" s="9" t="s">
        <v>2</v>
      </c>
      <c r="E5" s="7" t="s">
        <v>3</v>
      </c>
      <c r="F5" s="7" t="s">
        <v>4</v>
      </c>
      <c r="G5" s="9" t="s">
        <v>18</v>
      </c>
      <c r="H5" s="9"/>
      <c r="I5" s="9"/>
    </row>
    <row r="6" spans="1:9" ht="29" customHeight="1" x14ac:dyDescent="0.35">
      <c r="A6" s="10"/>
      <c r="B6" s="11"/>
      <c r="C6" s="11"/>
      <c r="D6" s="11"/>
      <c r="E6" s="7" t="s">
        <v>19</v>
      </c>
      <c r="F6" s="7" t="s">
        <v>19</v>
      </c>
      <c r="G6" s="6" t="s">
        <v>5</v>
      </c>
      <c r="H6" s="6" t="s">
        <v>6</v>
      </c>
      <c r="I6" s="6" t="s">
        <v>7</v>
      </c>
    </row>
    <row r="7" spans="1:9" x14ac:dyDescent="0.35">
      <c r="A7" s="5" t="s">
        <v>20</v>
      </c>
      <c r="B7" s="4" t="s">
        <v>12</v>
      </c>
      <c r="C7" s="4" t="s">
        <v>31</v>
      </c>
      <c r="D7" s="1" t="s">
        <v>8</v>
      </c>
      <c r="E7" s="2">
        <v>0.1</v>
      </c>
      <c r="F7" s="2">
        <v>1.1000000000000001</v>
      </c>
      <c r="G7" s="3">
        <v>60</v>
      </c>
      <c r="H7" s="3">
        <v>61</v>
      </c>
      <c r="I7" s="1">
        <v>102</v>
      </c>
    </row>
    <row r="8" spans="1:9" x14ac:dyDescent="0.35">
      <c r="A8" s="5" t="s">
        <v>21</v>
      </c>
      <c r="B8" s="4" t="s">
        <v>12</v>
      </c>
      <c r="C8" s="4" t="s">
        <v>32</v>
      </c>
      <c r="D8" s="1" t="s">
        <v>8</v>
      </c>
      <c r="E8" s="2">
        <v>0.1</v>
      </c>
      <c r="F8" s="2">
        <v>1.1000000000000001</v>
      </c>
      <c r="G8" s="3">
        <v>80</v>
      </c>
      <c r="H8" s="3">
        <v>85</v>
      </c>
      <c r="I8" s="1">
        <v>107</v>
      </c>
    </row>
    <row r="9" spans="1:9" x14ac:dyDescent="0.35">
      <c r="A9" s="5" t="s">
        <v>22</v>
      </c>
      <c r="B9" s="4" t="s">
        <v>12</v>
      </c>
      <c r="C9" s="4" t="s">
        <v>9</v>
      </c>
      <c r="D9" s="1" t="s">
        <v>8</v>
      </c>
      <c r="E9" s="2">
        <v>0.1</v>
      </c>
      <c r="F9" s="2">
        <v>1.1000000000000001</v>
      </c>
      <c r="G9" s="3">
        <v>75</v>
      </c>
      <c r="H9" s="3">
        <v>71</v>
      </c>
      <c r="I9" s="1">
        <v>95</v>
      </c>
    </row>
    <row r="10" spans="1:9" x14ac:dyDescent="0.35">
      <c r="A10" s="5" t="s">
        <v>23</v>
      </c>
      <c r="B10" s="4" t="s">
        <v>12</v>
      </c>
      <c r="C10" s="4" t="s">
        <v>33</v>
      </c>
      <c r="D10" s="1" t="s">
        <v>10</v>
      </c>
      <c r="E10" s="2">
        <v>0.1</v>
      </c>
      <c r="F10" s="2">
        <v>1.2</v>
      </c>
      <c r="G10" s="3">
        <v>0.1</v>
      </c>
      <c r="H10" s="8">
        <v>308730685</v>
      </c>
      <c r="I10" s="1">
        <v>120</v>
      </c>
    </row>
    <row r="11" spans="1:9" x14ac:dyDescent="0.35">
      <c r="A11" s="5" t="s">
        <v>24</v>
      </c>
      <c r="B11" s="4" t="s">
        <v>12</v>
      </c>
      <c r="C11" s="4" t="s">
        <v>34</v>
      </c>
      <c r="D11" s="1" t="s">
        <v>11</v>
      </c>
      <c r="E11" s="2">
        <v>0.1</v>
      </c>
      <c r="F11" s="2">
        <v>1.1000000000000001</v>
      </c>
      <c r="G11" s="3">
        <v>17000</v>
      </c>
      <c r="H11" s="3">
        <v>23872</v>
      </c>
      <c r="I11" s="1">
        <v>110</v>
      </c>
    </row>
    <row r="12" spans="1:9" x14ac:dyDescent="0.35">
      <c r="A12" s="5" t="s">
        <v>25</v>
      </c>
      <c r="B12" s="4" t="s">
        <v>13</v>
      </c>
      <c r="C12" s="4" t="s">
        <v>35</v>
      </c>
      <c r="D12" s="1" t="s">
        <v>11</v>
      </c>
      <c r="E12" s="2">
        <v>0.5</v>
      </c>
      <c r="F12" s="2">
        <v>1.1000000000000001</v>
      </c>
      <c r="G12" s="3">
        <v>1</v>
      </c>
      <c r="H12" s="3">
        <v>1</v>
      </c>
      <c r="I12" s="1">
        <v>100</v>
      </c>
    </row>
    <row r="13" spans="1:9" x14ac:dyDescent="0.35">
      <c r="A13" s="5" t="s">
        <v>26</v>
      </c>
      <c r="B13" s="4" t="s">
        <v>14</v>
      </c>
      <c r="C13" s="4" t="s">
        <v>36</v>
      </c>
      <c r="D13" s="1" t="s">
        <v>11</v>
      </c>
      <c r="E13" s="2">
        <v>0.25</v>
      </c>
      <c r="F13" s="2">
        <v>1.1000000000000001</v>
      </c>
      <c r="G13" s="3">
        <v>4</v>
      </c>
      <c r="H13" s="3">
        <v>8</v>
      </c>
      <c r="I13" s="1">
        <v>110</v>
      </c>
    </row>
    <row r="14" spans="1:9" ht="29" x14ac:dyDescent="0.35">
      <c r="A14" s="5" t="s">
        <v>41</v>
      </c>
      <c r="B14" s="4" t="s">
        <v>14</v>
      </c>
      <c r="C14" s="4" t="s">
        <v>37</v>
      </c>
      <c r="D14" s="1" t="s">
        <v>11</v>
      </c>
      <c r="E14" s="2">
        <v>0.25</v>
      </c>
      <c r="F14" s="2">
        <v>1.1000000000000001</v>
      </c>
      <c r="G14" s="3">
        <v>1</v>
      </c>
      <c r="H14" s="3">
        <v>1</v>
      </c>
      <c r="I14" s="1">
        <v>100</v>
      </c>
    </row>
    <row r="15" spans="1:9" x14ac:dyDescent="0.35">
      <c r="A15" s="5" t="s">
        <v>27</v>
      </c>
      <c r="B15" s="4" t="s">
        <v>15</v>
      </c>
      <c r="C15" s="4" t="s">
        <v>38</v>
      </c>
      <c r="D15" s="1" t="s">
        <v>8</v>
      </c>
      <c r="E15" s="2">
        <v>0.5</v>
      </c>
      <c r="F15" s="2">
        <v>1.1000000000000001</v>
      </c>
      <c r="G15" s="3">
        <v>90</v>
      </c>
      <c r="H15" s="3">
        <v>90</v>
      </c>
      <c r="I15" s="1">
        <v>100</v>
      </c>
    </row>
    <row r="16" spans="1:9" x14ac:dyDescent="0.35">
      <c r="A16" s="5" t="s">
        <v>28</v>
      </c>
      <c r="B16" s="4" t="s">
        <v>16</v>
      </c>
      <c r="C16" s="4" t="s">
        <v>39</v>
      </c>
      <c r="D16" s="1" t="s">
        <v>8</v>
      </c>
      <c r="E16" s="2">
        <v>0.25</v>
      </c>
      <c r="F16" s="2">
        <v>1.1000000000000001</v>
      </c>
      <c r="G16" s="3">
        <v>90</v>
      </c>
      <c r="H16" s="3">
        <v>94</v>
      </c>
      <c r="I16" s="1">
        <v>104</v>
      </c>
    </row>
    <row r="17" spans="1:9" x14ac:dyDescent="0.35">
      <c r="A17" s="5" t="s">
        <v>29</v>
      </c>
      <c r="B17" s="4" t="s">
        <v>30</v>
      </c>
      <c r="C17" s="4" t="s">
        <v>40</v>
      </c>
      <c r="D17" s="1" t="s">
        <v>10</v>
      </c>
      <c r="E17" s="2">
        <v>0.25</v>
      </c>
      <c r="F17" s="2">
        <v>1.1000000000000001</v>
      </c>
      <c r="G17" s="3">
        <v>1000000000</v>
      </c>
      <c r="H17" s="3">
        <v>3600000000</v>
      </c>
      <c r="I17" s="1">
        <v>110</v>
      </c>
    </row>
    <row r="18" spans="1:9" x14ac:dyDescent="0.35">
      <c r="I18">
        <f>AVERAGE(I7:I17)</f>
        <v>105.27272727272727</v>
      </c>
    </row>
  </sheetData>
  <mergeCells count="5">
    <mergeCell ref="G5:I5"/>
    <mergeCell ref="A5:A6"/>
    <mergeCell ref="D5:D6"/>
    <mergeCell ref="B5:B6"/>
    <mergeCell ref="C5:C6"/>
  </mergeCells>
  <conditionalFormatting sqref="I7:I17">
    <cfRule type="cellIs" dxfId="4" priority="1" operator="equal">
      <formula>""</formula>
    </cfRule>
    <cfRule type="cellIs" dxfId="3" priority="2" operator="between">
      <formula>-1E+30</formula>
      <formula>78.99</formula>
    </cfRule>
    <cfRule type="cellIs" dxfId="2" priority="3" operator="between">
      <formula>79</formula>
      <formula>89.99</formula>
    </cfRule>
    <cfRule type="cellIs" dxfId="1" priority="4" operator="between">
      <formula>90</formula>
      <formula>104.99</formula>
    </cfRule>
    <cfRule type="cellIs" dxfId="0" priority="5" operator="between">
      <formula>105</formula>
      <formula>1E+30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Junta Directiva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Natalia  Escobar Santander - Directora de Estrategia e</cp:lastModifiedBy>
  <cp:revision/>
  <dcterms:created xsi:type="dcterms:W3CDTF">2023-11-28T13:48:22Z</dcterms:created>
  <dcterms:modified xsi:type="dcterms:W3CDTF">2025-04-08T14:44:44Z</dcterms:modified>
  <cp:category/>
  <cp:contentStatus/>
</cp:coreProperties>
</file>